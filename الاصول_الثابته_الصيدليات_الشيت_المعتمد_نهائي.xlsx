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c4c7cbbd2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جدول الاصول الثابته الجديد" sheetId="1" r:id="R5f356157724941b7"/>
    <x:sheet xmlns:r="http://schemas.openxmlformats.org/officeDocument/2006/relationships" name="قيد الاهلاك" sheetId="2" r:id="Rfd043375bfb94d5a"/>
    <x:sheet xmlns:r="http://schemas.openxmlformats.org/officeDocument/2006/relationships" name="القوائم المرجعية" sheetId="3" r:id="R56f5d7de91534630"/>
    <x:sheet xmlns:r="http://schemas.openxmlformats.org/officeDocument/2006/relationships" name="لوحة التحكم" sheetId="4" r:id="R64ddcc3b95f94809"/>
    <x:sheet xmlns:r="http://schemas.openxmlformats.org/officeDocument/2006/relationships" name="تحليل مراكز التكلفة" sheetId="5" r:id="R841be5c36e4b4897"/>
    <x:sheet xmlns:r="http://schemas.openxmlformats.org/officeDocument/2006/relationships" name="إضافة أصل جديد" sheetId="6" r:id="Re3c5e82324fa4a18"/>
    <x:sheet xmlns:r="http://schemas.openxmlformats.org/officeDocument/2006/relationships" name="ربط حسابات الإهلاك" sheetId="7" r:id="R60debeab0acf466e"/>
  </x:sheets>
</x:workbook>
</file>

<file path=xl/sharedStrings.xml><?xml version="1.0" encoding="utf-8"?>
<x:sst xmlns:x="http://schemas.openxmlformats.org/spreadsheetml/2006/main">
  <x:si>
    <x:t xml:space="preserve">قائمة الاصول الثابته</x:t>
  </x:si>
  <x:si>
    <x:t xml:space="preserve">التاريخ</x:t>
  </x:si>
  <x:si>
    <x:t xml:space="preserve">مسلسل</x:t>
  </x:si>
  <x:si>
    <x:t xml:space="preserve">مركز التكلفة</x:t>
  </x:si>
  <x:si>
    <x:t xml:space="preserve">الجروب</x:t>
  </x:si>
  <x:si>
    <x:t xml:space="preserve">تاريخ الشراء</x:t>
  </x:si>
  <x:si>
    <x:t xml:space="preserve">إسم الأصل</x:t>
  </x:si>
  <x:si>
    <x:t xml:space="preserve">عدد الوحدات</x:t>
  </x:si>
  <x:si>
    <x:t xml:space="preserve">اجمالي التكلفة</x:t>
  </x:si>
  <x:si>
    <x:t xml:space="preserve">أيام الاهلاك</x:t>
  </x:si>
  <x:si>
    <x:t xml:space="preserve">نسبة الاهلاك</x:t>
  </x:si>
  <x:si>
    <x:t xml:space="preserve">مجمع الاهلاك</x:t>
  </x:si>
  <x:si>
    <x:t xml:space="preserve">القيمه الصافيه</x:t>
  </x:si>
  <x:si>
    <x:t xml:space="preserve">الاهلاك الشهري</x:t>
  </x:si>
  <x:si>
    <x:t xml:space="preserve">الحالة</x:t>
  </x:si>
  <x:si>
    <x:t xml:space="preserve">المستودع الرئيسي للصيدليات</x:t>
  </x:si>
  <x:si>
    <x:t xml:space="preserve">الاجهزة الكهربائية</x:t>
  </x:si>
  <x:si>
    <x:t xml:space="preserve"> ثلاجة عرض هام تبريد بابين اسود 8 ارفف</x:t>
  </x:si>
  <x:si>
    <x:t xml:space="preserve">Active</x:t>
  </x:si>
  <x:si>
    <x:t xml:space="preserve">مركز التكلفة العام الصيدلية</x:t>
  </x:si>
  <x:si>
    <x:t xml:space="preserve"> ثلاجة هام</x:t>
  </x:si>
  <x:si>
    <x:t xml:space="preserve">البرامج والأنظمة</x:t>
  </x:si>
  <x:si>
    <x:t xml:space="preserve"> اضافة فرع التخصصي بدلا من الروضه</x:t>
  </x:si>
  <x:si>
    <x:t xml:space="preserve">ديكورات</x:t>
  </x:si>
  <x:si>
    <x:t xml:space="preserve"> صندوق كاشير 5 خانه</x:t>
  </x:si>
  <x:si>
    <x:t xml:space="preserve"> جهاز تلفاز ايكون ليد سمارت فور كية</x:t>
  </x:si>
  <x:si>
    <x:t xml:space="preserve"> ثلاجة هام ابيض 9 قدم  4 ارفف</x:t>
  </x:si>
  <x:si>
    <x:t xml:space="preserve">الاجهزة الالكترونية والحاسب الالي وملحقاته</x:t>
  </x:si>
  <x:si>
    <x:t xml:space="preserve"> لينوفو تاور كور اى 7 رام 16 جيجا</x:t>
  </x:si>
  <x:si>
    <x:t xml:space="preserve"> طابعة ابسون حراريه 2</x:t>
  </x:si>
  <x:si>
    <x:t xml:space="preserve"> هارديسك ويسترن ديجيتل 10 تيرا</x:t>
  </x:si>
  <x:si>
    <x:t xml:space="preserve"> جهاز حضور وانصراف</x:t>
  </x:si>
  <x:si>
    <x:t xml:space="preserve"> طابعة باركود</x:t>
  </x:si>
  <x:si>
    <x:t xml:space="preserve"> طابعة باركود  زيبرا اسكنر</x:t>
  </x:si>
  <x:si>
    <x:t xml:space="preserve"> جهاز تسجيل 24 مخرج - كابينه 6 وحده</x:t>
  </x:si>
  <x:si>
    <x:t xml:space="preserve"> جهاز تسجيل كاميرا هيكفيجن شبكي</x:t>
  </x:si>
  <x:si>
    <x:t xml:space="preserve"> كاميرا هيكفيجن 4 ميجا شبكة صغيرة خارجي</x:t>
  </x:si>
  <x:si>
    <x:t xml:space="preserve"> كاميرا هيكفيجن 4 ميجا شبكة داخلي</x:t>
  </x:si>
  <x:si>
    <x:t xml:space="preserve"> طابعة اتش بي ليزر جت</x:t>
  </x:si>
  <x:si>
    <x:t xml:space="preserve"> شاشة لينوفو</x:t>
  </x:si>
  <x:si>
    <x:t xml:space="preserve"> البرنامج EXSYS الحلول</x:t>
  </x:si>
  <x:si>
    <x:t xml:space="preserve">تحسينات على مباني</x:t>
  </x:si>
  <x:si>
    <x:t xml:space="preserve"> تحسينات علي المباني  - صيدلية الجمعيه</x:t>
  </x:si>
  <x:si>
    <x:t xml:space="preserve">اجهزة التكييف</x:t>
  </x:si>
  <x:si>
    <x:t xml:space="preserve"> اعمال تجهيز التكييف</x:t>
  </x:si>
  <x:si>
    <x:t xml:space="preserve"> اعمال اجهزة التكييف</x:t>
  </x:si>
  <x:si>
    <x:t xml:space="preserve">صيدلية لنا الرئيسية</x:t>
  </x:si>
  <x:si>
    <x:t xml:space="preserve"> سويتش هيكفيجن 16 مخرج</x:t>
  </x:si>
  <x:si>
    <x:t xml:space="preserve"> اعمال ديكور ارفف الصيدلية</x:t>
  </x:si>
  <x:si>
    <x:t xml:space="preserve"> اعمال فلين مع ديكورات الجبس والكهرباء للصيدلية</x:t>
  </x:si>
  <x:si>
    <x:t xml:space="preserve"> اعمال المرايا الزجاجية والديكورات للصيدلية</x:t>
  </x:si>
  <x:si>
    <x:t xml:space="preserve"> كمبيوتر مكتبي اتش بي 3*1</x:t>
  </x:si>
  <x:si>
    <x:t xml:space="preserve"> طابعة باركود زيبرا</x:t>
  </x:si>
  <x:si>
    <x:t xml:space="preserve"> طابعة اسود 135</x:t>
  </x:si>
  <x:si>
    <x:t xml:space="preserve"> قارئ باركود</x:t>
  </x:si>
  <x:si>
    <x:t xml:space="preserve"> طابعة حراري ايبسون</x:t>
  </x:si>
  <x:si>
    <x:t xml:space="preserve">  قاري باركود</x:t>
  </x:si>
  <x:si>
    <x:t xml:space="preserve"> طابعة زيبرا</x:t>
  </x:si>
  <x:si>
    <x:t xml:space="preserve"> جهاز سويتش 328</x:t>
  </x:si>
  <x:si>
    <x:t xml:space="preserve">صيدلية لنا السدحان 15</x:t>
  </x:si>
  <x:si>
    <x:t xml:space="preserve"> جهاز كمبيوتر لينوفو كوراى 7 16 جيجا</x:t>
  </x:si>
  <x:si>
    <x:t xml:space="preserve"> شاشة كمبيوتر</x:t>
  </x:si>
  <x:si>
    <x:t xml:space="preserve"> طابعه اتش بي ليزر جت</x:t>
  </x:si>
  <x:si>
    <x:t xml:space="preserve"> شاشات عرض صغيره  عدد8 صيدلية السدحان</x:t>
  </x:si>
  <x:si>
    <x:t xml:space="preserve"> شاشة تلفزيون كلاس برو 65 بوصه</x:t>
  </x:si>
  <x:si>
    <x:t xml:space="preserve"> ثلاجة هام ابيض 8 قدم 4 ارفف</x:t>
  </x:si>
  <x:si>
    <x:t xml:space="preserve">اجهزة ومعدات طبية</x:t>
  </x:si>
  <x:si>
    <x:t xml:space="preserve"> جهاز بروكير للقياسات المتكاملة</x:t>
  </x:si>
  <x:si>
    <x:t xml:space="preserve"> تحسينات علي المباني - صيدلية السدحان</x:t>
  </x:si>
  <x:si>
    <x:t xml:space="preserve"> مكيف جدارى جري بولر 27400 وحدة  بارد فقط خط 220   5</x:t>
  </x:si>
  <x:si>
    <x:t xml:space="preserve"> وحدة تكثيف خارجية 5.0 طن TYKB60U1H0AA (عاكس 60 هرتز)</x:t>
  </x:si>
  <x:si>
    <x:t xml:space="preserve"> وحدة تكثيف داخليه 5.0 طن TYKB60U1H0AA (عاكس 60 هرتز)</x:t>
  </x:si>
  <x:si>
    <x:t xml:space="preserve"> وحدة تكييف 4 طن</x:t>
  </x:si>
  <x:si>
    <x:t xml:space="preserve"> وحدة تكييف 12.5 طن</x:t>
  </x:si>
  <x:si>
    <x:t xml:space="preserve">صيدلية لنا النهضه12</x:t>
  </x:si>
  <x:si>
    <x:t xml:space="preserve"> مؤسسة ريعان للمقاولات شراء لوح خشب اكسسوارات زوريه فضيه جهتين</x:t>
  </x:si>
  <x:si>
    <x:t xml:space="preserve"> تحسينات علي المباني</x:t>
  </x:si>
  <x:si>
    <x:t xml:space="preserve"> مكيف جدارى وحدة داخلية جري بولر 18500 وحده</x:t>
  </x:si>
  <x:si>
    <x:t xml:space="preserve"> مكيف جدارى وحدة داخليه 27400 وحدة عدد (4)</x:t>
  </x:si>
  <x:si>
    <x:t xml:space="preserve"> اضافة فرع جديد صيدلية النهضه</x:t>
  </x:si>
  <x:si>
    <x:t xml:space="preserve"> كاميرات هيكفيجن عدد 13</x:t>
  </x:si>
  <x:si>
    <x:t xml:space="preserve"> قارى باركود للصيدلية عدد 3 اجهزة</x:t>
  </x:si>
  <x:si>
    <x:t xml:space="preserve">صيدلية لنا جابر الصباح 13</x:t>
  </x:si>
  <x:si>
    <x:t xml:space="preserve"> مؤسسة نوافذ التقنيات الامنيه شراء 4 كاميرات جهاز تسجيل شبكي وكبينه 4 يونيت</x:t>
  </x:si>
  <x:si>
    <x:t xml:space="preserve"> اعمال ديكورات واعمال زجاج </x:t>
  </x:si>
  <x:si>
    <x:t xml:space="preserve"> تحسينات على المباني</x:t>
  </x:si>
  <x:si>
    <x:t xml:space="preserve"> كاميراهيكفيجن 4 ميجا شبكة</x:t>
  </x:si>
  <x:si>
    <x:t xml:space="preserve"> شاشه هام 50 بوصه</x:t>
  </x:si>
  <x:si>
    <x:t xml:space="preserve"> اعمال تحسينات الكهرباء</x:t>
  </x:si>
  <x:si>
    <x:t xml:space="preserve"> اعمال تحسينات علي الكهرباء</x:t>
  </x:si>
  <x:si>
    <x:t xml:space="preserve"> برنامج حلول EXSYS</x:t>
  </x:si>
  <x:si>
    <x:t xml:space="preserve"> مكيف جدارى جري بولر  خط 220</x:t>
  </x:si>
  <x:si>
    <x:t xml:space="preserve"> مكيف جدارى جري بولر وحدة داخليه خط 220</x:t>
  </x:si>
  <x:si>
    <x:t xml:space="preserve"> كاميرا هيكفيجن 4 ميجا شبكية خارجي 4 متر</x:t>
  </x:si>
  <x:si>
    <x:t xml:space="preserve"> سويتش ال جي 328 ميجا 24 مخرج</x:t>
  </x:si>
  <x:si>
    <x:t xml:space="preserve"> كابينه 6 يو 600*600</x:t>
  </x:si>
  <x:si>
    <x:t xml:space="preserve"> قارئ باركود زيبرا</x:t>
  </x:si>
  <x:si>
    <x:t xml:space="preserve"> جهاز بصمة حضور وانصراف</x:t>
  </x:si>
  <x:si>
    <x:t xml:space="preserve"> طابعة فواتير ابسون حراريه</x:t>
  </x:si>
  <x:si>
    <x:t xml:space="preserve"> جهاز كمبيوتر لينوفو تاور كور اى 7 الجيل 13 8 رام</x:t>
  </x:si>
  <x:si>
    <x:t xml:space="preserve"> شاشة لينوفو ثنك فيجن</x:t>
  </x:si>
  <x:si>
    <x:t xml:space="preserve"> طابعة اتش بي ليزر اسود</x:t>
  </x:si>
  <x:si>
    <x:t xml:space="preserve"> صندوق كاشير بايونير</x:t>
  </x:si>
  <x:si>
    <x:t xml:space="preserve"> كايبل شبكة كات 6 كورنينج 305م</x:t>
  </x:si>
  <x:si>
    <x:t xml:space="preserve"> شاشة عرض سامسونج</x:t>
  </x:si>
  <x:si>
    <x:t xml:space="preserve"> ثلاجة عرض هام اسود 2.2 قدم</x:t>
  </x:si>
  <x:si>
    <x:t xml:space="preserve"> تحسينات علي المباني - صيدلية درايف ثرو</x:t>
  </x:si>
  <x:si>
    <x:t xml:space="preserve"> مكيف جدارى جرى بولر 22100 وحده عدد 8</x:t>
  </x:si>
  <x:si>
    <x:t xml:space="preserve"> مكيف جدارى جر يولر 18500 وحده  عدد  2</x:t>
  </x:si>
  <x:si>
    <x:t xml:space="preserve"> اضافة فرع جديد صيدلية درايف ثرو</x:t>
  </x:si>
  <x:si>
    <x:t xml:space="preserve">صيدلية لنا طويق - نمار فرع رقم 34</x:t>
  </x:si>
  <x:si>
    <x:t xml:space="preserve"> ثلاجة هام اسود 2 قدم</x:t>
  </x:si>
  <x:si>
    <x:t xml:space="preserve"> اضافة فرع جديد صيدلية طويق حي نمار</x:t>
  </x:si>
  <x:si>
    <x:t xml:space="preserve"> كاميرا خارجي بدقة 4 ميجا بكسل</x:t>
  </x:si>
  <x:si>
    <x:t xml:space="preserve"> كاميرا شبكية ذكية هجينة بدقة 4 ميجابكسل من هيكفيجن، مزودة بقبة ثابتة وإضاءة هجينة</x:t>
  </x:si>
  <x:si>
    <x:t xml:space="preserve"> كاميرا شبكيه 4 ميجا بيكسل</x:t>
  </x:si>
  <x:si>
    <x:t xml:space="preserve"> كابيينه 6 وحدات مقاس 600*450</x:t>
  </x:si>
  <x:si>
    <x:t xml:space="preserve"> KNVR جهاز تسجيل الكاميرات</x:t>
  </x:si>
  <x:si>
    <x:t xml:space="preserve"> هارديسك 8 تيرا توشيبا</x:t>
  </x:si>
  <x:si>
    <x:t xml:space="preserve"> كابل كورنينج من الفئة ال 6</x:t>
  </x:si>
  <x:si>
    <x:t xml:space="preserve"> فاير وول</x:t>
  </x:si>
  <x:si>
    <x:t xml:space="preserve"> جهاز شبكة 24 مخرج</x:t>
  </x:si>
  <x:si>
    <x:t xml:space="preserve"> طابعة كانون</x:t>
  </x:si>
  <x:si>
    <x:t xml:space="preserve"> طابعة فواتير</x:t>
  </x:si>
  <x:si>
    <x:t xml:space="preserve"> جهازين كمبيوتر + شاشتين</x:t>
  </x:si>
  <x:si>
    <x:t xml:space="preserve"> صندوق كاشير</x:t>
  </x:si>
  <x:si>
    <x:t xml:space="preserve"> قارى باركود زيبرا</x:t>
  </x:si>
  <x:si>
    <x:t xml:space="preserve">صيدلية لنا ظهرة لبن فرع رقم 36</x:t>
  </x:si>
  <x:si>
    <x:t xml:space="preserve"> اضافة فرع صيدلية ظهرة لبن - المجد</x:t>
  </x:si>
  <x:si>
    <x:t xml:space="preserve"> كاميرا داخلي وخارجي 4 ميجا بيكسل</x:t>
  </x:si>
  <x:si>
    <x:t xml:space="preserve"> كابينة 6 محدات مقاس 600*450</x:t>
  </x:si>
  <x:si>
    <x:t xml:space="preserve"> جهاز تسجيل الكاميرات 16 ميجا بيكسل KNVR</x:t>
  </x:si>
  <x:si>
    <x:t xml:space="preserve">صيدلية لنا ظهرة لبن لولو فرع رقم 35</x:t>
  </x:si>
  <x:si>
    <x:t xml:space="preserve"> اضافة فرع صيدلية لبن لولو</x:t>
  </x:si>
  <x:si>
    <x:t xml:space="preserve"> كاميرا خارجي وداخلي</x:t>
  </x:si>
  <x:si>
    <x:t xml:space="preserve"> جهاز تسجيل الكاميرات 16  KNVR</x:t>
  </x:si>
  <x:si>
    <x:t xml:space="preserve"> جهاز شبكه 24 مخرج</x:t>
  </x:si>
  <x:si>
    <x:t xml:space="preserve"> طابعه كانون</x:t>
  </x:si>
  <x:si>
    <x:t xml:space="preserve"> طابعه  فواتير</x:t>
  </x:si>
  <x:si>
    <x:t xml:space="preserve"> جهازين كمبيوتر مع شاشتين</x:t>
  </x:si>
  <x:si>
    <x:t xml:space="preserve">صيدلية لنا فرع المهدية 31</x:t>
  </x:si>
  <x:si>
    <x:t xml:space="preserve"> ثلاجة هام ابيض 9 قدم</x:t>
  </x:si>
  <x:si>
    <x:t xml:space="preserve"> شراء عدد 2 طابعه باركود</x:t>
  </x:si>
  <x:si>
    <x:t xml:space="preserve"> كمبيوتر عدد 2</x:t>
  </x:si>
  <x:si>
    <x:t xml:space="preserve"> شاشة لينوفو عدد 1</x:t>
  </x:si>
  <x:si>
    <x:t xml:space="preserve"> Linksys Lgs328mpc 24 Port Ge Poe</x:t>
  </x:si>
  <x:si>
    <x:t xml:space="preserve"> كابينة 6 يو  600*600</x:t>
  </x:si>
  <x:si>
    <x:t xml:space="preserve"> مكيف جدارى وحده داخليه جري بولر 27400 وحدة -GWC 30</x:t>
  </x:si>
  <x:si>
    <x:t xml:space="preserve"> مكيف كاسيت وحدة داخلية وخارجيه بيسك انفيرتر 3 طن BUAC / BCA36</x:t>
  </x:si>
  <x:si>
    <x:t xml:space="preserve"> اضافة فرع صيدلية المهديه</x:t>
  </x:si>
  <x:si>
    <x:t xml:space="preserve">أثاث و مفروشات السكن</x:t>
  </x:si>
  <x:si>
    <x:t xml:space="preserve"> غسالة دبليوبكس</x:t>
  </x:si>
  <x:si>
    <x:t xml:space="preserve"> كاميرا هيكفيجن 4 ميجا شبكة داخليه</x:t>
  </x:si>
  <x:si>
    <x:t xml:space="preserve"> جهاز تسجيل كاميرا هيكفيجن شبكي 32 مخرج</x:t>
  </x:si>
  <x:si>
    <x:t xml:space="preserve"> شراء عدد 2 هارديسك ويسترن ديجيتل 10 تيرا بايت</x:t>
  </x:si>
  <x:si>
    <x:t xml:space="preserve"> قاريء باركود ويرلس</x:t>
  </x:si>
  <x:si>
    <x:t xml:space="preserve"> قاريء باركود زيبرا</x:t>
  </x:si>
  <x:si>
    <x:t xml:space="preserve"> كاميرا هيكفيجن 4 ميجا شبكيه صغيره خارجي</x:t>
  </x:si>
  <x:si>
    <x:t xml:space="preserve">صيدلية لنا فرع طويق رقم 32</x:t>
  </x:si>
  <x:si>
    <x:t xml:space="preserve"> برنامج محاسبية - اضافة فرع جديد صيدلية طويق</x:t>
  </x:si>
  <x:si>
    <x:t xml:space="preserve"> كميرا هيكيفيجن داخلية تدعم صوت شبكيه</x:t>
  </x:si>
  <x:si>
    <x:t xml:space="preserve"> كاميرا هيكيفيجن 32 انش</x:t>
  </x:si>
  <x:si>
    <x:t xml:space="preserve"> جهاز فايروول - جهاز حماية</x:t>
  </x:si>
  <x:si>
    <x:t xml:space="preserve"> جهاز لينكسيس 24 مخرج</x:t>
  </x:si>
  <x:si>
    <x:t xml:space="preserve"> كابينة 6 يو 600*600</x:t>
  </x:si>
  <x:si>
    <x:t xml:space="preserve"> طابعة فواتير حراريه ابسون</x:t>
  </x:si>
  <x:si>
    <x:t xml:space="preserve"> شاشة لينوفو ثنك فيجن 21.5 بوضة</x:t>
  </x:si>
  <x:si>
    <x:t xml:space="preserve"> لينوفو ثنك كورى اى 7 16 جيجا رام 512 جيجا اس اس دي</x:t>
  </x:si>
  <x:si>
    <x:t xml:space="preserve"> صندوق كاشير معدني بايونير 5 خانه</x:t>
  </x:si>
  <x:si>
    <x:t xml:space="preserve"> ثلاجة هام أبيض</x:t>
  </x:si>
  <x:si>
    <x:t xml:space="preserve">صيدلية لنا فرع وادى لبن رقم 33</x:t>
  </x:si>
  <x:si>
    <x:t xml:space="preserve"> مكيف جدارى وحده داخليه جري بولر 22100 وحدة -GWC 24</x:t>
  </x:si>
  <x:si>
    <x:t xml:space="preserve"> برامج محاسبيه - اضافة فرع جديد صيدلية وادي لبن 33</x:t>
  </x:si>
  <x:si>
    <x:t xml:space="preserve"> شاشة لينوفو ثنك فيجن 21.50 بوصة</x:t>
  </x:si>
  <x:si>
    <x:t xml:space="preserve"> لينوفو ثنك كور اى 7 16 جيجا رام 512جيجا اس اس دي</x:t>
  </x:si>
  <x:si>
    <x:t xml:space="preserve"> مكيف دبليوبوكس شباك 18 بارد</x:t>
  </x:si>
  <x:si>
    <x:t xml:space="preserve"> فرن غاز فريش (60*90)ستاناس استيل</x:t>
  </x:si>
  <x:si>
    <x:t xml:space="preserve"> washing machine automatic 7 kilo</x:t>
  </x:si>
  <x:si>
    <x:t xml:space="preserve"> ثلاجة فيشر بابين 11.1 قدم ابيض</x:t>
  </x:si>
  <x:si>
    <x:t xml:space="preserve"> شاشة دانسات 43 بوصه</x:t>
  </x:si>
  <x:si>
    <x:t xml:space="preserve">السيارات</x:t>
  </x:si>
  <x:si>
    <x:t xml:space="preserve"> تايوتا هايس ديزل ركاب</x:t>
  </x:si>
  <x:si>
    <x:t xml:space="preserve"> سيارة صني موديل 2023 لوحة رقم ر ع ب 2906</x:t>
  </x:si>
  <x:si>
    <x:t xml:space="preserve"> نيسان صني موديل 2023 - لوحة رقم ر ع ب 2903</x:t>
  </x:si>
  <x:si>
    <x:t xml:space="preserve"> تويوتا لايت اس فان قير عادي قصير</x:t>
  </x:si>
  <x:si>
    <x:t xml:space="preserve"> تويوتا هايس ديزل ب ع ط 8515  -   هيكل  6024212</x:t>
  </x:si>
  <x:si>
    <x:t xml:space="preserve"> سيارة هونداي ستاريا - غرب الرياض ب ع ب 6775</x:t>
  </x:si>
  <x:si>
    <x:t xml:space="preserve"> سيارة نيسان صني - شاس رقم 546741 -</x:t>
  </x:si>
  <x:si>
    <x:t xml:space="preserve"> سيارة نيسان صني - هيكل رقم 61226</x:t>
  </x:si>
  <x:si>
    <x:t xml:space="preserve">أثاث و مفروشات</x:t>
  </x:si>
  <x:si>
    <x:t xml:space="preserve"> كرسي شبك اسود ظهر وسط</x:t>
  </x:si>
  <x:si>
    <x:t xml:space="preserve"> ثلاجة</x:t>
  </x:si>
  <x:si>
    <x:t xml:space="preserve"> HAM OVEN</x:t>
  </x:si>
  <x:si>
    <x:t xml:space="preserve"> غسالة دبليوكس  توماتيق</x:t>
  </x:si>
  <x:si>
    <x:t xml:space="preserve"> فرن</x:t>
  </x:si>
  <x:si>
    <x:t xml:space="preserve"> مكيف شباك</x:t>
  </x:si>
  <x:si>
    <x:t xml:space="preserve"> ثلاجه</x:t>
  </x:si>
  <x:si>
    <x:t xml:space="preserve"> غسالة</x:t>
  </x:si>
  <x:si>
    <x:t xml:space="preserve"> فرن غاز</x:t>
  </x:si>
  <x:si>
    <x:t xml:space="preserve"> أمبكس تلفاز شاشه</x:t>
  </x:si>
  <x:si>
    <x:t xml:space="preserve"> جهاز كمبيوتر لينوفو كور اي7 رام 8 جيجا اس اس دي 512</x:t>
  </x:si>
  <x:si>
    <x:t xml:space="preserve"> طابعه اتش بي ليزر اسود</x:t>
  </x:si>
  <x:si>
    <x:t xml:space="preserve"> رام كينجستون دي دي ار 4 8 جيجا</x:t>
  </x:si>
  <x:si>
    <x:t xml:space="preserve"> شاشة لينوفو ثنك فيجن 75 اتش زد</x:t>
  </x:si>
  <x:si>
    <x:t xml:space="preserve"> لاب توب اتش بي كور اى 7 الجيل 12 15.6 بوصه 8 جيجا اس اس دي</x:t>
  </x:si>
  <x:si>
    <x:t xml:space="preserve"> ابل ايباد الجيل التاسع واي فاي وخلوي</x:t>
  </x:si>
  <x:si>
    <x:t xml:space="preserve"> لابتوب اسر اى 7 16 جيجا</x:t>
  </x:si>
  <x:si>
    <x:t xml:space="preserve"> اتصال ألياف الانترنت</x:t>
  </x:si>
  <x:si>
    <x:t xml:space="preserve"> HAM 50-inch Android Smart screen</x:t>
  </x:si>
  <x:si>
    <x:t xml:space="preserve"> لينوفو ال او كيو كور اى 7 24 جيجا</x:t>
  </x:si>
  <x:si>
    <x:t xml:space="preserve"> لاب توب اتش بي نوت بوك</x:t>
  </x:si>
  <x:si>
    <x:t xml:space="preserve"> ديل أوبتيبليكس كمبيتر الهرديس والرام</x:t>
  </x:si>
  <x:si>
    <x:t xml:space="preserve"> عدد 4 أجهزة  كمبيوتر لينوفو اي 7 مع الشاشة</x:t>
  </x:si>
  <x:si>
    <x:t xml:space="preserve"> طابعات ايبسون</x:t>
  </x:si>
  <x:si>
    <x:t xml:space="preserve"> طابعة 135</x:t>
  </x:si>
  <x:si>
    <x:t xml:space="preserve"> جهاز بصمة مع الكميرا</x:t>
  </x:si>
  <x:si>
    <x:t xml:space="preserve"> درج كاشير كبير</x:t>
  </x:si>
  <x:si>
    <x:t xml:space="preserve"> جهاز سويتش</x:t>
  </x:si>
  <x:si>
    <x:t xml:space="preserve"> جهاز لينوفو مع الشاشة</x:t>
  </x:si>
  <x:si>
    <x:t xml:space="preserve"> قاري باركود زيبرا</x:t>
  </x:si>
  <x:si>
    <x:t xml:space="preserve"> لينوفو نيو 16جيبي رام كمبيوتر مكتبي</x:t>
  </x:si>
  <x:si>
    <x:t xml:space="preserve"> شاشة لينوفو ليد 22 س</x:t>
  </x:si>
  <x:si>
    <x:t xml:space="preserve"> طابعة كانون 6030</x:t>
  </x:si>
  <x:si>
    <x:t xml:space="preserve"> ثلاجة  استار واي 203 لتر 7.1 قدم</x:t>
  </x:si>
  <x:si>
    <x:t xml:space="preserve"> فرن استار واي تركي 55*50 كهربائي</x:t>
  </x:si>
  <x:si>
    <x:t xml:space="preserve"> غسالة حوضين ستار واي 6 كيلو</x:t>
  </x:si>
  <x:si>
    <x:t xml:space="preserve"> شاومي ريدمي مونيل</x:t>
  </x:si>
  <x:si>
    <x:t xml:space="preserve"> جنرال سوبريم فريون مكيف</x:t>
  </x:si>
  <x:si>
    <x:t xml:space="preserve"> INTERNET FIBER CONNECTION XHD</x:t>
  </x:si>
  <x:si>
    <x:t xml:space="preserve"> WIFI INTERNET CONNECTION AF-5G30</x:t>
  </x:si>
  <x:si>
    <x:t xml:space="preserve"> INSTALLATION AND CONFIGURATION FOR ABOVE ITEM</x:t>
  </x:si>
  <x:si>
    <x:t xml:space="preserve"> برنامج ايسكون المحاسبي للصيدليات</x:t>
  </x:si>
  <x:si>
    <x:t xml:space="preserve">مستودع الصيانه و نظم المعلومات</x:t>
  </x:si>
  <x:si>
    <x:t xml:space="preserve"> هواوي ميت  محمول بوك انتل كور اي 7 - 13 بوصه</x:t>
  </x:si>
  <x:si>
    <x:t xml:space="preserve">INVO:1363 HONEYWELL FOR INVENORY</x:t>
  </x:si>
  <x:si>
    <x:t xml:space="preserve">سداد فاتورة برامج الخاصة بالجرد الصيدليات</x:t>
  </x:si>
  <x:si>
    <x:t xml:space="preserve">صيدلية النهضة 2</x:t>
  </x:si>
  <x:si>
    <x:t xml:space="preserve">مكيف اسبيلت جري بولار 30 بارد قدرة تبريد 28000 </x:t>
  </x:si>
  <x:si>
    <x:t xml:space="preserve">مكيف جري جداري بولار واي فاي قدرة 11600 وحده 120بار</x:t>
  </x:si>
  <x:si>
    <x:t xml:space="preserve">مروحة بيسك كاسيت 3 طن حار/ بارد احرف</x:t>
  </x:si>
  <x:si>
    <x:t xml:space="preserve">كمبروسر بيسك كاسيت 3 طن حار/ بارد احرف</x:t>
  </x:si>
  <x:si>
    <x:t xml:space="preserve">قيد الإهلاك الشهري المجمع حسب مركز التكلفة والحساب</x:t>
  </x:si>
  <x:si>
    <x:t xml:space="preserve">تاريخ القيد</x:t>
  </x:si>
  <x:si>
    <x:t xml:space="preserve">الشهر المحتسب</x:t>
  </x:si>
  <x:si>
    <x:t xml:space="preserve">رقم واسم حساب الأصل</x:t>
  </x:si>
  <x:si>
    <x:t xml:space="preserve">رقم واسم حساب مصروف الإهلاك / الإطفاء</x:t>
  </x:si>
  <x:si>
    <x:t xml:space="preserve">رقم واسم حساب مجمع الإهلاك / الإطفاء</x:t>
  </x:si>
  <x:si>
    <x:t xml:space="preserve">بيان القيد</x:t>
  </x:si>
  <x:si>
    <x:t xml:space="preserve">مدين (ر.س)</x:t>
  </x:si>
  <x:si>
    <x:t xml:space="preserve">دائن (ر.س)</x:t>
  </x:si>
  <x:si>
    <x:t xml:space="preserve">مفتاح حساب الأصل</x:t>
  </x:si>
  <x:si>
    <x:t xml:space="preserve">الإجمالي</x:t>
  </x:si>
  <x:si>
    <x:t xml:space="preserve">ملاحظة: أرقام حساب الأصل ومجمع الإهلاك ومصروف الإهلاك يتم استكمالها في ورقة «ربط حسابات الإهلاك».</x:t>
  </x:si>
  <x:si>
    <x:t xml:space="preserve">مراكز التكلفة</x:t>
  </x:si>
  <x:si>
    <x:t xml:space="preserve">الحسابات</x:t>
  </x:si>
  <x:si>
    <x:t xml:space="preserve">مجموعات الأصول</x:t>
  </x:si>
  <x:si>
    <x:t xml:space="preserve">1210001-اجهزة ومعدات طبية</x:t>
  </x:si>
  <x:si>
    <x:t xml:space="preserve">1210002-السيارات</x:t>
  </x:si>
  <x:si>
    <x:t xml:space="preserve">1210003-أثاث و مفروشات</x:t>
  </x:si>
  <x:si>
    <x:t xml:space="preserve">1210004-أثاث و مفروشات السكن</x:t>
  </x:si>
  <x:si>
    <x:t xml:space="preserve">1210005-الاجهزة الالكترونية والحاسب الالي وملحقاته</x:t>
  </x:si>
  <x:si>
    <x:t xml:space="preserve">1210006-الاجهزة الكهربائية</x:t>
  </x:si>
  <x:si>
    <x:t xml:space="preserve">1210007-تحسينات على مباني</x:t>
  </x:si>
  <x:si>
    <x:t xml:space="preserve">1210009-اجهزة التكييف</x:t>
  </x:si>
  <x:si>
    <x:t xml:space="preserve">1210011-ديكورات</x:t>
  </x:si>
  <x:si>
    <x:t xml:space="preserve">1220002-البرامج والأنظمة</x:t>
  </x:si>
  <x:si>
    <x:t xml:space="preserve">الاجهزة الالكترونية والحاسب الالي وطابعات وجولات</x:t>
  </x:si>
  <x:si>
    <x:t xml:space="preserve">لوحة التحكم التنفيذية للأصول الثابتة</x:t>
  </x:si>
  <x:si>
    <x:t xml:space="preserve">الحساب</x:t>
  </x:si>
  <x:si>
    <x:t xml:space="preserve">آخر تحديث</x:t>
  </x:si>
  <x:si>
    <x:t xml:space="preserve">الكل</x:t>
  </x:si>
  <x:si>
    <x:t xml:space="preserve">إجمالي تكلفة الأصول</x:t>
  </x:si>
  <x:si>
    <x:t xml:space="preserve">مجمع الإهلاك</x:t>
  </x:si>
  <x:si>
    <x:t xml:space="preserve">صافي القيمة الدفترية</x:t>
  </x:si>
  <x:si>
    <x:t xml:space="preserve">الإهلاك الشهري</x:t>
  </x:si>
  <x:si>
    <x:t xml:space="preserve">عدد الأصول</x:t>
  </x:si>
  <x:si>
    <x:t xml:space="preserve">عدد مراكز التكلفة</x:t>
  </x:si>
  <x:si>
    <x:t xml:space="preserve">إجمالي التكلفة</x:t>
  </x:si>
  <x:si>
    <x:t xml:space="preserve">صافي القيمة</x:t>
  </x:si>
  <x:si>
    <x:t xml:space="preserve">إهلاك الشهر</x:t>
  </x:si>
  <x:si>
    <x:t xml:space="preserve">تحليل مراكز التكلفة والحسابات</x:t>
  </x:si>
  <x:si>
    <x:t xml:space="preserve">اختر مركز التكلفة</x:t>
  </x:si>
  <x:si>
    <x:t xml:space="preserve">نسبة الإهلاك</x:t>
  </x:si>
  <x:si>
    <x:t xml:space="preserve">إضافة أصل ثابت جديد</x:t>
  </x:si>
  <x:si>
    <x:t xml:space="preserve">طريقة الإضافة</x:t>
  </x:si>
  <x:si>
    <x:t xml:space="preserve">1</x:t>
  </x:si>
  <x:si>
    <x:t xml:space="preserve">2</x:t>
  </x:si>
  <x:si>
    <x:t xml:space="preserve">انتقل إلى أول صف فارغ بعد آخر أصل</x:t>
  </x:si>
  <x:si>
    <x:t xml:space="preserve">3</x:t>
  </x:si>
  <x:si>
    <x:t xml:space="preserve">أدخل الخلايا ذات اللون الأصفر فقط؛ الخلايا الخضراء تحتوي على معادلات تلقائية</x:t>
  </x:si>
  <x:si>
    <x:t xml:space="preserve">4</x:t>
  </x:si>
  <x:si>
    <x:t xml:space="preserve">اختر مركز التكلفة والحساب والمجموعة والحالة من القوائم المنسدلة</x:t>
  </x:si>
  <x:si>
    <x:t xml:space="preserve">5</x:t>
  </x:si>
  <x:si>
    <x:t xml:space="preserve">ستتحدث لوحة التحكم وتحليل مراكز التكلفة تلقائيًا عند فتح الملف أو تغيير البيانات</x:t>
  </x:si>
  <x:si>
    <x:t xml:space="preserve">ملاحظة مهمة</x:t>
  </x:si>
  <x:si>
    <x:t xml:space="preserve">لا تستخدم نسخ/لصق صف كامل من ملف خارجي. الصق القيم فقط في أعمدة الإدخال حتى تظل المعادلات والتنسيقات سليمة.</x:t>
  </x:si>
  <x:si>
    <x:t xml:space="preserve">ربط حسابات الأصول ومجمع الإهلاك ومصروف الإهلاك</x:t>
  </x:si>
  <x:si>
    <x:t xml:space="preserve">يرجى إدخال أرقام حساب مجمع الإهلاك ومصروف الإهلاك في الخلايا الصفراء. تم تعبئة رقم حساب الأصل الحالي تلقائيًا من دليل الحسابات الموجود بالملف.</x:t>
  </x:si>
  <x:si>
    <x:t xml:space="preserve">م</x:t>
  </x:si>
  <x:si>
    <x:t xml:space="preserve">رقم حساب الأصل</x:t>
  </x:si>
  <x:si>
    <x:t xml:space="preserve">اسم حساب الأصل</x:t>
  </x:si>
  <x:si>
    <x:t xml:space="preserve">رقم حساب مجمع الإهلاك</x:t>
  </x:si>
  <x:si>
    <x:t xml:space="preserve">اسم حساب مجمع الإهلاك</x:t>
  </x:si>
  <x:si>
    <x:t xml:space="preserve">رقم حساب مصروف الإهلاك</x:t>
  </x:si>
  <x:si>
    <x:t xml:space="preserve">اسم حساب مصروف الإهلاك</x:t>
  </x:si>
  <x:si>
    <x:t xml:space="preserve">ملاحظات</x:t>
  </x:si>
  <x:si>
    <x:t xml:space="preserve">ملخص الإدخال</x:t>
  </x:si>
  <x:si>
    <x:t xml:space="preserve">القيمة</x:t>
  </x:si>
  <x:si>
    <x:t xml:space="preserve">120101009000</x:t>
  </x:si>
  <x:si>
    <x:t xml:space="preserve">120101009002</x:t>
  </x:si>
  <x:si>
    <x:t xml:space="preserve">مجمع إهلاك - اجهزة ومعدات طبية</x:t>
  </x:si>
  <x:si>
    <x:t xml:space="preserve">520401004000</x:t>
  </x:si>
  <x:si>
    <x:t xml:space="preserve">مصروف إهلاك - اجهزة ومعدات طبية</x:t>
  </x:si>
  <x:si>
    <x:t xml:space="preserve">عدد حسابات الأصول</x:t>
  </x:si>
  <x:si>
    <x:t xml:space="preserve">120101003000</x:t>
  </x:si>
  <x:si>
    <x:t xml:space="preserve">120101003001</x:t>
  </x:si>
  <x:si>
    <x:t xml:space="preserve">مجمع إهلاك - السيارات</x:t>
  </x:si>
  <x:si>
    <x:t xml:space="preserve">520401005000</x:t>
  </x:si>
  <x:si>
    <x:t xml:space="preserve">مصروف إهلاك - السيارات</x:t>
  </x:si>
  <x:si>
    <x:t xml:space="preserve">تم إدخال حساب المجمع</x:t>
  </x:si>
  <x:si>
    <x:t xml:space="preserve">120101005001</x:t>
  </x:si>
  <x:si>
    <x:t xml:space="preserve">120101005002</x:t>
  </x:si>
  <x:si>
    <x:t xml:space="preserve">مجمع إهلاك - أثاث و مفروشات</x:t>
  </x:si>
  <x:si>
    <x:t xml:space="preserve">520401006000</x:t>
  </x:si>
  <x:si>
    <x:t xml:space="preserve">مصروف إهلاك - أثاث و مفروشات</x:t>
  </x:si>
  <x:si>
    <x:t xml:space="preserve">تم إدخال حساب المصروف</x:t>
  </x:si>
  <x:si>
    <x:t xml:space="preserve">120101011001</x:t>
  </x:si>
  <x:si>
    <x:t xml:space="preserve">120101011002</x:t>
  </x:si>
  <x:si>
    <x:t xml:space="preserve">مجمع إهلاك - أثاث و مفروشات السكن</x:t>
  </x:si>
  <x:si>
    <x:t xml:space="preserve">520401007000</x:t>
  </x:si>
  <x:si>
    <x:t xml:space="preserve">مصروف إهلاك - أثاث و مفروشات السكن</x:t>
  </x:si>
  <x:si>
    <x:t xml:space="preserve">الحسابات المكتملة</x:t>
  </x:si>
  <x:si>
    <x:t xml:space="preserve">120101006001</x:t>
  </x:si>
  <x:si>
    <x:t xml:space="preserve">120101006002</x:t>
  </x:si>
  <x:si>
    <x:t xml:space="preserve">مجمع إهلاك - الاجهزة الالكترونية والحاسب الالي وملحقاته</x:t>
  </x:si>
  <x:si>
    <x:t xml:space="preserve">520401009000</x:t>
  </x:si>
  <x:si>
    <x:t xml:space="preserve">مصروف إهلاك - الاجهزة الالكترونية والحاسب الالي وملحقاته</x:t>
  </x:si>
  <x:si>
    <x:t xml:space="preserve">120101007001</x:t>
  </x:si>
  <x:si>
    <x:t xml:space="preserve">120101007002</x:t>
  </x:si>
  <x:si>
    <x:t xml:space="preserve">مجمع إهلاك - الاجهزة الكهربائية</x:t>
  </x:si>
  <x:si>
    <x:t xml:space="preserve">520401008000</x:t>
  </x:si>
  <x:si>
    <x:t xml:space="preserve">مصروف إهلاك - الاجهزة الكهربائية</x:t>
  </x:si>
  <x:si>
    <x:t xml:space="preserve">120101002000</x:t>
  </x:si>
  <x:si>
    <x:t xml:space="preserve">120101002002</x:t>
  </x:si>
  <x:si>
    <x:t xml:space="preserve">مجمع إهلاك - تحسينات على مباني</x:t>
  </x:si>
  <x:si>
    <x:t xml:space="preserve">520401001000</x:t>
  </x:si>
  <x:si>
    <x:t xml:space="preserve">مصروف إهلاك - تحسينات على مباني</x:t>
  </x:si>
  <x:si>
    <x:t xml:space="preserve">120101001000</x:t>
  </x:si>
  <x:si>
    <x:t xml:space="preserve">120101001002</x:t>
  </x:si>
  <x:si>
    <x:t xml:space="preserve">مجمع إهلاك - اجهزة التكييف</x:t>
  </x:si>
  <x:si>
    <x:t xml:space="preserve">520401002000</x:t>
  </x:si>
  <x:si>
    <x:t xml:space="preserve">مصروف إهلاك - اجهزة التكييف</x:t>
  </x:si>
  <x:si>
    <x:t xml:space="preserve">120101004000</x:t>
  </x:si>
  <x:si>
    <x:t xml:space="preserve">120101004002</x:t>
  </x:si>
  <x:si>
    <x:t xml:space="preserve">مجمع إهلاك - ديكورات</x:t>
  </x:si>
  <x:si>
    <x:t xml:space="preserve">520401003000</x:t>
  </x:si>
  <x:si>
    <x:t xml:space="preserve">مصروف إهلاك - ديكورات</x:t>
  </x:si>
  <x:si>
    <x:t xml:space="preserve">120102001001</x:t>
  </x:si>
  <x:si>
    <x:t xml:space="preserve">120102001002</x:t>
  </x:si>
  <x:si>
    <x:t xml:space="preserve">مجمع إطفاء - البرامج والأنظمة</x:t>
  </x:si>
  <x:si>
    <x:t xml:space="preserve">520401010000</x:t>
  </x:si>
  <x:si>
    <x:t xml:space="preserve">مصروف إطفاء - البرامج والأنظمة</x:t>
  </x:si>
</x:sst>
</file>

<file path=xl/styles.xml><?xml version="1.0" encoding="utf-8"?>
<x:styleSheet xmlns:x="http://schemas.openxmlformats.org/spreadsheetml/2006/main">
  <x:numFmts count="7">
    <x:numFmt numFmtId="164" formatCode="#,##0.00;[Red]\(#,##0.00\);\-"/>
    <x:numFmt numFmtId="165" formatCode="dd\-mm\-yyyy"/>
    <x:numFmt numFmtId="166" formatCode="#,##0.00;[Red]\-#,##0.00"/>
    <x:numFmt numFmtId="167" formatCode="0.0%"/>
    <x:numFmt numFmtId="168" formatCode="dd\-mm\-yyyy\ hh:mm"/>
    <x:numFmt numFmtId="200" formatCode="#,##0.00;[Red](#,##0.00);-"/>
    <x:numFmt numFmtId="201" formatCode="dd-mm-yyyy"/>
  </x:numFmts>
  <x:fonts count="29">
    <x:font>
      <x:sz val="11"/>
      <x:color theme="1"/>
      <x:name val="Calibri"/>
    </x:font>
    <x:font>
      <x:sz val="11"/>
      <x:color theme="1"/>
      <x:name val="Calibri"/>
    </x:font>
    <x:font>
      <x:b/>
      <x:sz val="14"/>
      <x:color theme="1"/>
      <x:name val="Calibri"/>
    </x:font>
    <x:font>
      <x:b/>
      <x:sz val="12"/>
      <x:color theme="1"/>
      <x:name val="Calibri"/>
    </x:font>
    <x:font>
      <x:b/>
      <x:sz val="15"/>
      <x:color rgb="FFFFFFFF"/>
      <x:name val="Calibri"/>
    </x:font>
    <x:font>
      <x:b/>
      <x:sz val="11"/>
      <x:color rgb="FF0000FF"/>
      <x:name val="Calibri"/>
    </x:font>
    <x:font>
      <x:i/>
      <x:sz val="11"/>
      <x:color theme="1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b/>
      <x:i/>
      <x:sz val="11"/>
      <x:color theme="1"/>
      <x:name val="Calibri"/>
    </x:font>
    <x:font>
      <x:b/>
      <x:sz val="11"/>
      <x:color rgb="FFFFFFFF"/>
      <x:name val="Aptos"/>
    </x:font>
    <x:font>
      <x:sz val="10"/>
      <x:color rgb="FF1F2937"/>
      <x:name val="Aptos"/>
    </x:font>
    <x:font>
      <x:sz val="10"/>
      <x:color theme="1"/>
      <x:name val="Aptos"/>
    </x:font>
    <x:font>
      <x:sz val="10"/>
      <x:name val="Aptos"/>
    </x:font>
    <x:font>
      <x:b/>
      <x:sz val="18"/>
      <x:color rgb="FFFFFFFF"/>
      <x:name val="Aptos Display"/>
    </x:font>
    <x:font>
      <x:b/>
      <x:sz val="11"/>
      <x:color rgb="FF173F35"/>
      <x:name val="Aptos"/>
    </x:font>
    <x:font>
      <x:b/>
      <x:sz val="10"/>
      <x:color rgb="FFFFFFFF"/>
      <x:name val="Aptos"/>
    </x:font>
    <x:font>
      <x:b/>
      <x:sz val="16"/>
      <x:color rgb="FF173F35"/>
      <x:name val="Aptos Display"/>
    </x:font>
    <x:font>
      <x:b/>
      <x:sz val="15"/>
      <x:color rgb="FF173F35"/>
      <x:name val="Aptos Display"/>
    </x:font>
    <x:font>
      <x:b/>
      <x:sz val="9"/>
      <x:color rgb="FF173F35"/>
      <x:name val="Aptos"/>
    </x:font>
    <x:font>
      <x:b/>
      <x:sz val="12"/>
      <x:color rgb="FF173F35"/>
      <x:name val="Aptos Display"/>
    </x:font>
    <x:font>
      <x:sz val="11"/>
      <x:color rgb="FF1F2937"/>
      <x:name val="Aptos"/>
    </x:font>
    <x:font>
      <x:sz val="11"/>
      <x:color rgb="FF173F35"/>
      <x:name val="Aptos"/>
    </x:font>
    <x:font>
      <x:b/>
      <x:sz val="10"/>
      <x:color rgb="FF173F35"/>
      <x:name val="Aptos"/>
    </x:font>
    <x:font>
      <x:b/>
      <x:sz val="16"/>
      <x:color rgb="FFFFFFFF"/>
      <x:name val="Calibri"/>
    </x:font>
    <x:font>
      <x:i/>
      <x:sz val="11"/>
      <x:color rgb="FF123B63"/>
      <x:name val="Calibri"/>
    </x:font>
    <x:font>
      <x:b/>
      <x:sz val="11"/>
      <x:color rgb="FF7F6000"/>
      <x:name val="Calibri"/>
    </x:font>
    <x:font>
      <x:i/>
      <x:sz val="11"/>
      <x:color rgb="FF808080"/>
      <x:name val="Calibri"/>
    </x:font>
    <x:font>
      <x:sz val="8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theme="4" tint="0.7998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0F6E4F"/>
      </x:patternFill>
    </x:fill>
    <x:fill>
      <x:patternFill patternType="solid">
        <x:fgColor rgb="FFF6F8F7"/>
      </x:patternFill>
    </x:fill>
    <x:fill>
      <x:patternFill patternType="solid">
        <x:fgColor rgb="FF173F35"/>
      </x:patternFill>
    </x:fill>
    <x:fill>
      <x:patternFill patternType="solid">
        <x:fgColor rgb="FFFFFFFF"/>
      </x:patternFill>
    </x:fill>
    <x:fill>
      <x:patternFill patternType="solid">
        <x:fgColor rgb="FFDDEFE8"/>
      </x:patternFill>
    </x:fill>
    <x:fill>
      <x:patternFill patternType="solid">
        <x:fgColor rgb="FFC8A951"/>
      </x:patternFill>
    </x:fill>
    <x:fill>
      <x:patternFill patternType="solid">
        <x:fgColor rgb="FFFFF8DB"/>
      </x:patternFill>
    </x:fill>
    <x:fill>
      <x:patternFill patternType="solid">
        <x:fgColor rgb="FF123B63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4">
    <x:border/>
    <x:border>
      <x:top style="thin">
        <x:color rgb="FF1F4E78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4DDD9"/>
      </x:left>
      <x:right style="thin">
        <x:color rgb="FFD4DDD9"/>
      </x:right>
      <x:top style="thin">
        <x:color rgb="FFD4DDD9"/>
      </x:top>
      <x:bottom style="thin">
        <x:color rgb="FFD4DDD9"/>
      </x:bottom>
    </x:border>
    <x:border>
      <x:left style="medium">
        <x:color indexed="64"/>
      </x:left>
      <x:top style="medium">
        <x:color indexed="64"/>
      </x:top>
    </x:border>
    <x:border>
      <x:left style="thin">
        <x:color indexed="64"/>
      </x:lef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rgb="FFD4DDD9"/>
      </x:left>
    </x:border>
    <x:border>
      <x:left style="thin">
        <x:color rgb="FFD4DDD9"/>
      </x:left>
      <x:right style="thin">
        <x:color rgb="FFD4DDD9"/>
      </x:right>
    </x:border>
    <x:border/>
    <x:border>
      <x:top style="thin">
        <x:color rgb="FF1F4E78"/>
      </x:top>
    </x:border>
    <x:border>
      <x:left style="thin">
        <x:color rgb="FFD4DDD9"/>
      </x:left>
      <x:right style="thin">
        <x:color rgb="FFD4DDD9"/>
      </x:right>
      <x:top style="thin">
        <x:color rgb="FFD4DDD9"/>
      </x:top>
      <x:bottom style="thin">
        <x:color rgb="FFD4DDD9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4DDD9"/>
      </x:left>
    </x:border>
    <x:border>
      <x:left style="thin">
        <x:color rgb="FFD4DDD9"/>
      </x:left>
      <x:right style="thin">
        <x:color rgb="FFD4DDD9"/>
      </x:right>
    </x:border>
    <x:border>
      <x:left style="medium">
        <x:color indexed="64"/>
      </x:left>
      <x:top style="medium">
        <x:color indexed="64"/>
      </x:top>
    </x:border>
    <x:border>
      <x:left style="thin">
        <x:color indexed="64"/>
      </x:lef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3">
    <x:xf numFmtId="0" fontId="0" fillId="0" borderId="0"/>
    <x:xf numFmtId="9" fontId="1" fillId="0" borderId="0" applyFont="0" applyFill="0" applyBorder="0" applyAlignment="0" applyProtection="0"/>
    <x:xf numFmtId="0" fontId="1" fillId="2" borderId="0" applyNumberFormat="0" applyBorder="0" applyAlignment="0" applyProtection="0"/>
  </x:cellStyleXfs>
  <x:cellXfs count="227">
    <x:xf numFmtId="0" fontId="0" fillId="0" borderId="0" xfId="0"/>
    <x:xf numFmtId="9" fontId="0" fillId="0" borderId="0" xfId="1" applyFont="1" applyFill="1" applyAlignment="1">
      <x:alignment horizontal="center" vertical="center"/>
    </x:xf>
    <x:xf numFmtId="0" fontId="7" fillId="6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165" fontId="5" fillId="4" borderId="0" xfId="0" applyNumberFormat="1" applyFont="1" applyFill="1" applyAlignment="1">
      <x:alignment horizontal="center" wrapText="1"/>
    </x:xf>
    <x:xf numFmtId="165" fontId="0" fillId="0" borderId="0" xfId="0" applyNumberFormat="1" applyAlignment="1">
      <x:alignment wrapText="1"/>
    </x:xf>
    <x:xf numFmtId="164" fontId="0" fillId="0" borderId="0" xfId="0" applyNumberFormat="1" applyAlignment="1">
      <x:alignment wrapText="1"/>
    </x:xf>
    <x:xf numFmtId="0" fontId="8" fillId="7" borderId="1" xfId="0" applyFont="1" applyFill="1" applyBorder="1" applyAlignment="1">
      <x:alignment wrapText="1"/>
    </x:xf>
    <x:xf numFmtId="164" fontId="8" fillId="7" borderId="1" xfId="0" applyNumberFormat="1" applyFont="1" applyFill="1" applyBorder="1" applyAlignment="1">
      <x:alignment wrapText="1"/>
    </x:xf>
    <x:xf numFmtId="0" fontId="10" fillId="8" borderId="3" xfId="0" applyFont="1" applyFill="1" applyBorder="1" applyAlignment="1">
      <x:alignment horizontal="center" vertical="center" wrapText="1"/>
    </x:xf>
    <x:xf numFmtId="0" fontId="11" fillId="0" borderId="3" xfId="0" applyFont="1" applyBorder="1" applyAlignment="1">
      <x:alignment vertical="center"/>
    </x:xf>
    <x:xf numFmtId="0" fontId="12" fillId="0" borderId="2" xfId="0" applyFont="1" applyBorder="1" applyAlignment="1">
      <x:alignment horizontal="center" vertical="center"/>
    </x:xf>
    <x:xf numFmtId="0" fontId="0" fillId="9" borderId="0" xfId="0" applyFill="1"/>
    <x:xf numFmtId="0" fontId="14" fillId="10" borderId="0" xfId="0" applyFont="1" applyFill="1" applyAlignment="1">
      <x:alignment horizontal="right" vertical="center"/>
    </x:xf>
    <x:xf numFmtId="0" fontId="15" fillId="11" borderId="3" xfId="0" applyFont="1" applyFill="1" applyBorder="1" applyAlignment="1">
      <x:alignment horizontal="right"/>
    </x:xf>
    <x:xf numFmtId="0" fontId="16" fillId="8" borderId="3" xfId="0" applyFont="1" applyFill="1" applyBorder="1" applyAlignment="1">
      <x:alignment horizontal="center"/>
    </x:xf>
    <x:xf numFmtId="0" fontId="16" fillId="8" borderId="3" xfId="0" applyFont="1" applyFill="1" applyBorder="1" applyAlignment="1">
      <x:alignment horizontal="center" vertical="center"/>
    </x:xf>
    <x:xf numFmtId="4" fontId="17" fillId="11" borderId="3" xfId="0" applyNumberFormat="1" applyFont="1" applyFill="1" applyBorder="1" applyAlignment="1">
      <x:alignment horizontal="center" vertical="center"/>
    </x:xf>
    <x:xf numFmtId="3" fontId="17" fillId="11" borderId="3" xfId="0" applyNumberFormat="1" applyFont="1" applyFill="1" applyBorder="1" applyAlignment="1">
      <x:alignment horizontal="center" vertical="center"/>
    </x:xf>
    <x:xf numFmtId="0" fontId="11" fillId="9" borderId="3" xfId="0" applyFont="1" applyFill="1" applyBorder="1" applyAlignment="1">
      <x:alignment vertical="center"/>
    </x:xf>
    <x:xf numFmtId="4" fontId="11" fillId="9" borderId="3" xfId="0" applyNumberFormat="1" applyFont="1" applyFill="1" applyBorder="1" applyAlignment="1">
      <x:alignment vertical="center"/>
    </x:xf>
    <x:xf numFmtId="4" fontId="18" fillId="11" borderId="3" xfId="0" applyNumberFormat="1" applyFont="1" applyFill="1" applyBorder="1" applyAlignment="1">
      <x:alignment horizontal="center" vertical="center"/>
    </x:xf>
    <x:xf numFmtId="3" fontId="18" fillId="11" borderId="3" xfId="0" applyNumberFormat="1" applyFont="1" applyFill="1" applyBorder="1" applyAlignment="1">
      <x:alignment horizontal="center" vertical="center"/>
    </x:xf>
    <x:xf numFmtId="0" fontId="16" fillId="10" borderId="3" xfId="0" applyFont="1" applyFill="1" applyBorder="1" applyAlignment="1">
      <x:alignment horizontal="right" vertical="center" wrapText="1"/>
    </x:xf>
    <x:xf numFmtId="0" fontId="19" fillId="12" borderId="3" xfId="0" applyFont="1" applyFill="1" applyBorder="1" applyAlignment="1">
      <x:alignment horizontal="center" vertical="center" wrapText="1"/>
    </x:xf>
    <x:xf numFmtId="0" fontId="20" fillId="11" borderId="3" xfId="0" applyFont="1" applyFill="1" applyBorder="1" applyAlignment="1">
      <x:alignment horizontal="center" vertical="center"/>
    </x:xf>
    <x:xf numFmtId="4" fontId="20" fillId="11" borderId="3" xfId="0" applyNumberFormat="1" applyFont="1" applyFill="1" applyBorder="1" applyAlignment="1">
      <x:alignment horizontal="center" vertical="center"/>
    </x:xf>
    <x:xf numFmtId="167" fontId="20" fillId="11" borderId="3" xfId="0" applyNumberFormat="1" applyFont="1" applyFill="1" applyBorder="1" applyAlignment="1">
      <x:alignment horizontal="center" vertical="center"/>
    </x:xf>
    <x:xf numFmtId="0" fontId="21" fillId="11" borderId="3" xfId="0" applyFont="1" applyFill="1" applyBorder="1" applyAlignment="1">
      <x:alignment horizontal="right" vertical="center" wrapText="1"/>
    </x:xf>
    <x:xf numFmtId="0" fontId="10" fillId="13" borderId="0" xfId="0" applyFont="1" applyFill="1" applyAlignment="1">
      <x:alignment horizontal="right"/>
    </x:xf>
    <x:xf numFmtId="0" fontId="22" fillId="14" borderId="3" xfId="0" applyFont="1" applyFill="1" applyBorder="1" applyAlignment="1">
      <x:alignment horizontal="right" wrapText="1"/>
    </x:xf>
    <x:xf numFmtId="168" fontId="23" fillId="11" borderId="3" xfId="0" applyNumberFormat="1" applyFont="1" applyFill="1" applyBorder="1" applyAlignment="1">
      <x:alignment horizontal="center"/>
    </x:xf>
    <x:xf numFmtId="0" fontId="7" fillId="17" borderId="0" xfId="0" applyFont="1" applyFill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18" borderId="0" xfId="0" applyFill="1" applyAlignment="1">
      <x:alignment vertical="center" wrapText="1"/>
    </x:xf>
    <x:xf numFmtId="49" fontId="0" fillId="0" borderId="0" xfId="0" applyNumberFormat="1" applyAlignment="1">
      <x:alignment horizontal="center" vertical="center" wrapText="1"/>
    </x:xf>
    <x:xf numFmtId="49" fontId="26" fillId="18" borderId="0" xfId="0" applyNumberFormat="1" applyFont="1" applyFill="1" applyAlignment="1">
      <x:alignment horizontal="center" vertical="center" wrapText="1"/>
    </x:xf>
    <x:xf numFmtId="0" fontId="7" fillId="17" borderId="0" xfId="0" applyFont="1" applyFill="1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165" fontId="0" fillId="0" borderId="0" xfId="0" applyNumberForma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40" fontId="10" fillId="0" borderId="10" xfId="0" applyNumberFormat="1" applyFont="1" applyBorder="1" applyAlignment="1">
      <x:alignment horizontal="center" vertical="center" wrapText="1"/>
    </x:xf>
    <x:xf numFmtId="40" fontId="10" fillId="0" borderId="11" xfId="0" applyNumberFormat="1" applyFont="1" applyBorder="1" applyAlignment="1">
      <x:alignment horizontal="center" vertical="center" wrapText="1"/>
    </x:xf>
    <x:xf numFmtId="0" fontId="12" fillId="0" borderId="4" xfId="0" applyFont="1" applyBorder="1" applyAlignment="1">
      <x:alignment horizontal="center" vertical="center"/>
    </x:xf>
    <x:xf numFmtId="0" fontId="12" fillId="0" borderId="5" xfId="0" applyFont="1" applyBorder="1" applyAlignment="1">
      <x:alignment horizontal="center" vertical="center"/>
    </x:xf>
    <x:xf numFmtId="165" fontId="12" fillId="0" borderId="5" xfId="0" applyNumberFormat="1" applyFont="1" applyBorder="1" applyAlignment="1">
      <x:alignment horizontal="center" vertical="center"/>
    </x:xf>
    <x:xf numFmtId="166" fontId="12" fillId="0" borderId="5" xfId="0" applyNumberFormat="1" applyFont="1" applyBorder="1" applyAlignment="1">
      <x:alignment horizontal="center" vertical="center"/>
    </x:xf>
    <x:xf numFmtId="10" fontId="12" fillId="0" borderId="5" xfId="0" applyNumberFormat="1" applyFont="1" applyBorder="1" applyAlignment="1">
      <x:alignment horizontal="center" vertical="center"/>
    </x:xf>
    <x:xf numFmtId="0" fontId="12" fillId="0" borderId="6" xfId="0" applyFont="1" applyBorder="1" applyAlignment="1">
      <x:alignment horizontal="center" vertical="center"/>
    </x:xf>
    <x:xf numFmtId="0" fontId="12" fillId="0" borderId="7" xfId="0" applyFont="1" applyBorder="1" applyAlignment="1">
      <x:alignment horizontal="center" vertical="center"/>
    </x:xf>
    <x:xf numFmtId="0" fontId="12" fillId="0" borderId="8" xfId="0" applyFont="1" applyBorder="1" applyAlignment="1">
      <x:alignment horizontal="center" vertical="center"/>
    </x:xf>
    <x:xf numFmtId="165" fontId="12" fillId="0" borderId="8" xfId="0" applyNumberFormat="1" applyFont="1" applyBorder="1" applyAlignment="1">
      <x:alignment horizontal="center" vertical="center"/>
    </x:xf>
    <x:xf numFmtId="166" fontId="12" fillId="0" borderId="8" xfId="0" applyNumberFormat="1" applyFont="1" applyBorder="1" applyAlignment="1">
      <x:alignment horizontal="center" vertical="center"/>
    </x:xf>
    <x:xf numFmtId="10" fontId="12" fillId="0" borderId="8" xfId="0" applyNumberFormat="1" applyFont="1" applyBorder="1" applyAlignment="1">
      <x:alignment horizontal="center" vertical="center"/>
    </x:xf>
    <x:xf numFmtId="0" fontId="12" fillId="0" borderId="9" xfId="0" applyFont="1" applyBorder="1" applyAlignment="1">
      <x:alignment horizontal="center" vertical="center"/>
    </x:xf>
    <x:xf numFmtId="166" fontId="13" fillId="0" borderId="8" xfId="0" applyNumberFormat="1" applyFont="1" applyBorder="1" applyAlignment="1">
      <x:alignment horizontal="center" vertical="center"/>
    </x:xf>
    <x:xf numFmtId="10" fontId="13" fillId="0" borderId="8" xfId="0" applyNumberFormat="1" applyFont="1" applyBorder="1" applyAlignment="1">
      <x:alignment horizontal="center" vertical="center"/>
    </x:xf>
    <x:xf numFmtId="0" fontId="12" fillId="0" borderId="0" xfId="0" applyFont="1"/>
    <x:xf numFmtId="165" fontId="12" fillId="0" borderId="0" xfId="0" applyNumberFormat="1" applyFont="1"/>
    <x:xf numFmtId="166" fontId="12" fillId="0" borderId="0" xfId="0" applyNumberFormat="1" applyFont="1"/>
    <x:xf numFmtId="10" fontId="12" fillId="0" borderId="0" xfId="0" applyNumberFormat="1" applyFont="1"/>
    <x:xf numFmtId="0" fontId="27" fillId="0" borderId="0" xfId="0" applyFont="1"/>
    <x:xf numFmtId="0" fontId="4" fillId="3" borderId="0" xfId="0" applyFont="1" applyFill="1" applyAlignment="1">
      <x:alignment horizontal="center" vertical="center" wrapText="1"/>
    </x:xf>
    <x:xf numFmtId="0" fontId="6" fillId="5" borderId="0" xfId="0" applyFont="1" applyFill="1" applyAlignment="1">
      <x:alignment wrapText="1"/>
    </x:xf>
    <x:xf numFmtId="0" fontId="9" fillId="5" borderId="0" xfId="0" applyFont="1" applyFill="1" applyAlignment="1">
      <x:alignment wrapText="1"/>
    </x:xf>
    <x:xf numFmtId="4" fontId="0" fillId="5" borderId="0" xfId="0" applyNumberFormat="1" applyFill="1" applyAlignment="1">
      <x:alignment wrapText="1"/>
    </x:xf>
    <x:xf numFmtId="0" fontId="26" fillId="18" borderId="0" xfId="0" applyFont="1" applyFill="1" applyAlignment="1">
      <x:alignment horizontal="center" wrapText="1"/>
    </x:xf>
    <x:xf numFmtId="0" fontId="14" fillId="10" borderId="0" xfId="0" applyFont="1" applyFill="1" applyAlignment="1">
      <x:alignment horizontal="center" vertical="center"/>
    </x:xf>
    <x:xf numFmtId="0" fontId="24" fillId="15" borderId="0" xfId="0" applyFont="1" applyFill="1" applyAlignment="1">
      <x:alignment horizontal="center" vertical="center"/>
    </x:xf>
    <x:xf numFmtId="0" fontId="25" fillId="16" borderId="0" xfId="0" applyFont="1" applyFill="1" applyAlignment="1">
      <x:alignment horizontal="right" vertical="center" wrapText="1"/>
    </x:xf>
    <x:xf numFmtId="0" fontId="0" fillId="0" borderId="12" xfId="0" applyNumberFormat="1" applyFont="1" applyFill="1" applyBorder="1"/>
    <x:xf numFmtId="9" fontId="0" fillId="0" borderId="12" xfId="0" applyNumberFormat="1" applyFont="1" applyFill="1" applyBorder="1" applyAlignment="1">
      <x:alignment horizontal="center" vertical="center"/>
    </x:xf>
    <x:xf numFmtId="0" fontId="7" fillId="6" borderId="12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wrapText="1"/>
    </x:xf>
    <x:xf numFmtId="165" fontId="5" fillId="4" borderId="12" xfId="0" applyNumberFormat="1" applyFont="1" applyFill="1" applyBorder="1" applyAlignment="1">
      <x:alignment horizontal="center" wrapText="1"/>
    </x:xf>
    <x:xf numFmtId="165" fontId="0" fillId="0" borderId="12" xfId="0" applyNumberFormat="1" applyFont="1" applyFill="1" applyBorder="1" applyAlignment="1">
      <x:alignment wrapText="1"/>
    </x:xf>
    <x:xf numFmtId="164" fontId="0" fillId="0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164" fontId="8" fillId="7" borderId="13" xfId="0" applyNumberFormat="1" applyFont="1" applyFill="1" applyBorder="1" applyAlignment="1">
      <x:alignment wrapText="1"/>
    </x:xf>
    <x:xf numFmtId="0" fontId="10" fillId="8" borderId="14" xfId="0" applyNumberFormat="1" applyFont="1" applyFill="1" applyBorder="1" applyAlignment="1">
      <x:alignment horizontal="center" vertical="center" wrapText="1"/>
    </x:xf>
    <x:xf numFmtId="0" fontId="11" fillId="0" borderId="14" xfId="0" applyNumberFormat="1" applyFont="1" applyFill="1" applyBorder="1" applyAlignment="1">
      <x:alignment vertical="center"/>
    </x:xf>
    <x:xf numFmtId="0" fontId="12" fillId="0" borderId="15" xfId="0" applyNumberFormat="1" applyFont="1" applyFill="1" applyBorder="1" applyAlignment="1">
      <x:alignment horizontal="center" vertical="center"/>
    </x:xf>
    <x:xf numFmtId="0" fontId="0" fillId="9" borderId="12" xfId="0" applyNumberFormat="1" applyFont="1" applyFill="1" applyBorder="1"/>
    <x:xf numFmtId="0" fontId="14" fillId="10" borderId="12" xfId="0" applyNumberFormat="1" applyFont="1" applyFill="1" applyBorder="1" applyAlignment="1">
      <x:alignment horizontal="right" vertical="center"/>
    </x:xf>
    <x:xf numFmtId="0" fontId="15" fillId="11" borderId="14" xfId="0" applyNumberFormat="1" applyFont="1" applyFill="1" applyBorder="1" applyAlignment="1">
      <x:alignment horizontal="right"/>
    </x:xf>
    <x:xf numFmtId="0" fontId="16" fillId="8" borderId="14" xfId="0" applyNumberFormat="1" applyFont="1" applyFill="1" applyBorder="1" applyAlignment="1">
      <x:alignment horizontal="center"/>
    </x:xf>
    <x:xf numFmtId="0" fontId="16" fillId="8" borderId="14" xfId="0" applyNumberFormat="1" applyFont="1" applyFill="1" applyBorder="1" applyAlignment="1">
      <x:alignment horizontal="center" vertical="center"/>
    </x:xf>
    <x:xf numFmtId="4" fontId="17" fillId="11" borderId="14" xfId="0" applyNumberFormat="1" applyFont="1" applyFill="1" applyBorder="1" applyAlignment="1">
      <x:alignment horizontal="center" vertical="center"/>
    </x:xf>
    <x:xf numFmtId="3" fontId="17" fillId="11" borderId="14" xfId="0" applyNumberFormat="1" applyFont="1" applyFill="1" applyBorder="1" applyAlignment="1">
      <x:alignment horizontal="center" vertical="center"/>
    </x:xf>
    <x:xf numFmtId="0" fontId="11" fillId="9" borderId="14" xfId="0" applyNumberFormat="1" applyFont="1" applyFill="1" applyBorder="1" applyAlignment="1">
      <x:alignment vertical="center"/>
    </x:xf>
    <x:xf numFmtId="4" fontId="11" fillId="9" borderId="14" xfId="0" applyNumberFormat="1" applyFont="1" applyFill="1" applyBorder="1" applyAlignment="1">
      <x:alignment vertical="center"/>
    </x:xf>
    <x:xf numFmtId="4" fontId="18" fillId="11" borderId="14" xfId="0" applyNumberFormat="1" applyFont="1" applyFill="1" applyBorder="1" applyAlignment="1">
      <x:alignment horizontal="center" vertical="center"/>
    </x:xf>
    <x:xf numFmtId="3" fontId="18" fillId="11" borderId="14" xfId="0" applyNumberFormat="1" applyFont="1" applyFill="1" applyBorder="1" applyAlignment="1">
      <x:alignment horizontal="center" vertical="center"/>
    </x:xf>
    <x:xf numFmtId="0" fontId="16" fillId="10" borderId="14" xfId="0" applyNumberFormat="1" applyFont="1" applyFill="1" applyBorder="1" applyAlignment="1">
      <x:alignment horizontal="right" vertical="center" wrapText="1"/>
    </x:xf>
    <x:xf numFmtId="0" fontId="19" fillId="12" borderId="14" xfId="0" applyNumberFormat="1" applyFont="1" applyFill="1" applyBorder="1" applyAlignment="1">
      <x:alignment horizontal="center" vertical="center" wrapText="1"/>
    </x:xf>
    <x:xf numFmtId="0" fontId="20" fillId="11" borderId="14" xfId="0" applyNumberFormat="1" applyFont="1" applyFill="1" applyBorder="1" applyAlignment="1">
      <x:alignment horizontal="center" vertical="center"/>
    </x:xf>
    <x:xf numFmtId="4" fontId="20" fillId="11" borderId="14" xfId="0" applyNumberFormat="1" applyFont="1" applyFill="1" applyBorder="1" applyAlignment="1">
      <x:alignment horizontal="center" vertical="center"/>
    </x:xf>
    <x:xf numFmtId="167" fontId="20" fillId="11" borderId="14" xfId="0" applyNumberFormat="1" applyFont="1" applyFill="1" applyBorder="1" applyAlignment="1">
      <x:alignment horizontal="center" vertical="center"/>
    </x:xf>
    <x:xf numFmtId="0" fontId="21" fillId="11" borderId="14" xfId="0" applyNumberFormat="1" applyFont="1" applyFill="1" applyBorder="1" applyAlignment="1">
      <x:alignment horizontal="right" vertical="center" wrapText="1"/>
    </x:xf>
    <x:xf numFmtId="0" fontId="10" fillId="13" borderId="12" xfId="0" applyNumberFormat="1" applyFont="1" applyFill="1" applyBorder="1" applyAlignment="1">
      <x:alignment horizontal="right"/>
    </x:xf>
    <x:xf numFmtId="0" fontId="22" fillId="14" borderId="14" xfId="0" applyNumberFormat="1" applyFont="1" applyFill="1" applyBorder="1" applyAlignment="1">
      <x:alignment horizontal="right" wrapText="1"/>
    </x:xf>
    <x:xf numFmtId="168" fontId="23" fillId="11" borderId="14" xfId="0" applyNumberFormat="1" applyFont="1" applyFill="1" applyBorder="1" applyAlignment="1">
      <x:alignment horizontal="center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49" fontId="0" fillId="0" borderId="12" xfId="0" applyNumberFormat="1" applyFont="1" applyFill="1" applyBorder="1" applyAlignment="1">
      <x:alignment horizontal="center" vertical="center" wrapText="1"/>
    </x:xf>
    <x:xf numFmtId="49" fontId="26" fillId="4" borderId="12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165" fontId="0" fillId="0" borderId="12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40" fontId="10" fillId="0" borderId="16" xfId="0" applyNumberFormat="1" applyFont="1" applyFill="1" applyBorder="1" applyAlignment="1">
      <x:alignment horizontal="center" vertical="center" wrapText="1"/>
    </x:xf>
    <x:xf numFmtId="40" fontId="10" fillId="0" borderId="17" xfId="0" applyNumberFormat="1" applyFont="1" applyFill="1" applyBorder="1" applyAlignment="1">
      <x:alignment horizontal="center" vertical="center" wrapText="1"/>
    </x:xf>
    <x:xf numFmtId="0" fontId="12" fillId="0" borderId="18" xfId="0" applyNumberFormat="1" applyFont="1" applyFill="1" applyBorder="1" applyAlignment="1">
      <x:alignment horizontal="center" vertical="center"/>
    </x:xf>
    <x:xf numFmtId="0" fontId="12" fillId="0" borderId="19" xfId="0" applyNumberFormat="1" applyFont="1" applyFill="1" applyBorder="1" applyAlignment="1">
      <x:alignment horizontal="center" vertical="center"/>
    </x:xf>
    <x:xf numFmtId="165" fontId="12" fillId="0" borderId="19" xfId="0" applyNumberFormat="1" applyFont="1" applyFill="1" applyBorder="1" applyAlignment="1">
      <x:alignment horizontal="center" vertical="center"/>
    </x:xf>
    <x:xf numFmtId="166" fontId="12" fillId="0" borderId="19" xfId="0" applyNumberFormat="1" applyFont="1" applyFill="1" applyBorder="1" applyAlignment="1">
      <x:alignment horizontal="center" vertical="center"/>
    </x:xf>
    <x:xf numFmtId="10" fontId="12" fillId="0" borderId="19" xfId="0" applyNumberFormat="1" applyFont="1" applyFill="1" applyBorder="1" applyAlignment="1">
      <x:alignment horizontal="center" vertical="center"/>
    </x:xf>
    <x:xf numFmtId="0" fontId="12" fillId="0" borderId="20" xfId="0" applyNumberFormat="1" applyFont="1" applyFill="1" applyBorder="1" applyAlignment="1">
      <x:alignment horizontal="center" vertical="center"/>
    </x:xf>
    <x:xf numFmtId="0" fontId="12" fillId="0" borderId="21" xfId="0" applyNumberFormat="1" applyFont="1" applyFill="1" applyBorder="1" applyAlignment="1">
      <x:alignment horizontal="center" vertical="center"/>
    </x:xf>
    <x:xf numFmtId="0" fontId="12" fillId="0" borderId="22" xfId="0" applyNumberFormat="1" applyFont="1" applyFill="1" applyBorder="1" applyAlignment="1">
      <x:alignment horizontal="center" vertical="center"/>
    </x:xf>
    <x:xf numFmtId="165" fontId="12" fillId="0" borderId="22" xfId="0" applyNumberFormat="1" applyFont="1" applyFill="1" applyBorder="1" applyAlignment="1">
      <x:alignment horizontal="center" vertical="center"/>
    </x:xf>
    <x:xf numFmtId="166" fontId="12" fillId="0" borderId="22" xfId="0" applyNumberFormat="1" applyFont="1" applyFill="1" applyBorder="1" applyAlignment="1">
      <x:alignment horizontal="center" vertical="center"/>
    </x:xf>
    <x:xf numFmtId="10" fontId="12" fillId="0" borderId="22" xfId="0" applyNumberFormat="1" applyFont="1" applyFill="1" applyBorder="1" applyAlignment="1">
      <x:alignment horizontal="center" vertical="center"/>
    </x:xf>
    <x:xf numFmtId="0" fontId="12" fillId="0" borderId="23" xfId="0" applyNumberFormat="1" applyFont="1" applyFill="1" applyBorder="1" applyAlignment="1">
      <x:alignment horizontal="center" vertical="center"/>
    </x:xf>
    <x:xf numFmtId="166" fontId="13" fillId="0" borderId="22" xfId="0" applyNumberFormat="1" applyFont="1" applyFill="1" applyBorder="1" applyAlignment="1">
      <x:alignment horizontal="center" vertical="center"/>
    </x:xf>
    <x:xf numFmtId="10" fontId="13" fillId="0" borderId="22" xfId="0" applyNumberFormat="1" applyFont="1" applyFill="1" applyBorder="1" applyAlignment="1">
      <x:alignment horizontal="center" vertical="center"/>
    </x:xf>
    <x:xf numFmtId="0" fontId="12" fillId="0" borderId="12" xfId="0" applyNumberFormat="1" applyFont="1" applyFill="1" applyBorder="1"/>
    <x:xf numFmtId="165" fontId="12" fillId="0" borderId="12" xfId="0" applyNumberFormat="1" applyFont="1" applyFill="1" applyBorder="1"/>
    <x:xf numFmtId="166" fontId="12" fillId="0" borderId="12" xfId="0" applyNumberFormat="1" applyFont="1" applyFill="1" applyBorder="1"/>
    <x:xf numFmtId="10" fontId="12" fillId="0" borderId="12" xfId="0" applyNumberFormat="1" applyFont="1" applyFill="1" applyBorder="1"/>
    <x:xf numFmtId="0" fontId="27" fillId="0" borderId="12" xfId="0" applyNumberFormat="1" applyFont="1" applyFill="1" applyBorder="1"/>
    <x:xf numFmtId="0" fontId="4" fillId="3" borderId="12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4" fontId="0" fillId="5" borderId="12" xfId="0" applyNumberFormat="1" applyFont="1" applyFill="1" applyBorder="1" applyAlignment="1">
      <x:alignment wrapText="1"/>
    </x:xf>
    <x:xf numFmtId="0" fontId="26" fillId="4" borderId="12" xfId="0" applyNumberFormat="1" applyFont="1" applyFill="1" applyBorder="1" applyAlignment="1">
      <x:alignment horizontal="center" wrapText="1"/>
    </x:xf>
    <x:xf numFmtId="0" fontId="14" fillId="10" borderId="12" xfId="0" applyNumberFormat="1" applyFont="1" applyFill="1" applyBorder="1" applyAlignment="1">
      <x:alignment horizontal="center" vertical="center"/>
    </x:xf>
    <x:xf numFmtId="0" fontId="24" fillId="15" borderId="12" xfId="0" applyNumberFormat="1" applyFont="1" applyFill="1" applyBorder="1" applyAlignment="1">
      <x:alignment horizontal="center" vertical="center"/>
    </x:xf>
    <x:xf numFmtId="0" fontId="25" fillId="16" borderId="12" xfId="0" applyNumberFormat="1" applyFont="1" applyFill="1" applyBorder="1" applyAlignment="1">
      <x:alignment horizontal="right" vertical="center" wrapText="1"/>
    </x:xf>
    <x:xf numFmtId="200" fontId="12" fillId="0" borderId="5" xfId="0" applyNumberFormat="1" applyFont="1" applyFill="1" applyBorder="1" applyAlignment="1">
      <x:alignment horizontal="center" vertical="center"/>
    </x:xf>
    <x:xf numFmtId="200" fontId="12" fillId="0" borderId="8" xfId="0" applyNumberFormat="1" applyFont="1" applyFill="1" applyBorder="1" applyAlignment="1">
      <x:alignment horizontal="center" vertical="center"/>
    </x:xf>
    <x:xf numFmtId="200" fontId="13" fillId="0" borderId="8" xfId="0" applyNumberFormat="1" applyFont="1" applyFill="1" applyBorder="1" applyAlignment="1">
      <x:alignment horizontal="center" vertical="center"/>
    </x:xf>
    <x:xf numFmtId="200" fontId="12" fillId="0" borderId="0" xfId="0" applyNumberFormat="1" applyFont="1" applyFill="1" applyBorder="1"/>
    <x:xf numFmtId="200" fontId="12" fillId="0" borderId="19" xfId="0" applyNumberFormat="1" applyFont="1" applyFill="1" applyBorder="1" applyAlignment="1">
      <x:alignment horizontal="center" vertical="center"/>
    </x:xf>
    <x:xf numFmtId="200" fontId="12" fillId="0" borderId="22" xfId="0" applyNumberFormat="1" applyFont="1" applyFill="1" applyBorder="1" applyAlignment="1">
      <x:alignment horizontal="center" vertical="center"/>
    </x:xf>
    <x:xf numFmtId="200" fontId="13" fillId="0" borderId="22" xfId="0" applyNumberFormat="1" applyFont="1" applyFill="1" applyBorder="1" applyAlignment="1">
      <x:alignment horizontal="center" vertical="center"/>
    </x:xf>
    <x:xf numFmtId="200" fontId="12" fillId="0" borderId="12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2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2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65" fontId="5" fillId="4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165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9" fontId="0" fillId="0" borderId="0" xfId="0" applyNumberFormat="1" applyFont="1" applyFill="1" applyBorder="1" applyAlignment="1">
      <x:alignment horizontal="center" vertical="center"/>
    </x:xf>
    <x:xf numFmtId="0" fontId="10" fillId="8" borderId="3" xfId="0" applyNumberFormat="1" applyFont="1" applyFill="1" applyBorder="1" applyAlignment="1">
      <x:alignment horizontal="center" vertical="center" wrapText="1"/>
    </x:xf>
    <x:xf numFmtId="0" fontId="11" fillId="0" borderId="3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4" fillId="10" borderId="0" xfId="0" applyNumberFormat="1" applyFont="1" applyFill="1" applyBorder="1" applyAlignment="1">
      <x:alignment horizontal="right" vertical="center"/>
    </x:xf>
    <x:xf numFmtId="0" fontId="15" fillId="11" borderId="3" xfId="0" applyNumberFormat="1" applyFont="1" applyFill="1" applyBorder="1" applyAlignment="1">
      <x:alignment horizontal="right"/>
    </x:xf>
    <x:xf numFmtId="0" fontId="16" fillId="8" borderId="3" xfId="0" applyNumberFormat="1" applyFont="1" applyFill="1" applyBorder="1" applyAlignment="1">
      <x:alignment horizontal="center"/>
    </x:xf>
    <x:xf numFmtId="0" fontId="16" fillId="8" borderId="3" xfId="0" applyNumberFormat="1" applyFont="1" applyFill="1" applyBorder="1" applyAlignment="1">
      <x:alignment horizontal="center" vertical="center"/>
    </x:xf>
    <x:xf numFmtId="0" fontId="11" fillId="9" borderId="3" xfId="0" applyNumberFormat="1" applyFont="1" applyFill="1" applyBorder="1" applyAlignment="1">
      <x:alignment vertical="center"/>
    </x:xf>
    <x:xf numFmtId="0" fontId="16" fillId="10" borderId="3" xfId="0" applyNumberFormat="1" applyFont="1" applyFill="1" applyBorder="1" applyAlignment="1">
      <x:alignment horizontal="right" vertical="center" wrapText="1"/>
    </x:xf>
    <x:xf numFmtId="0" fontId="19" fillId="12" borderId="3" xfId="0" applyNumberFormat="1" applyFont="1" applyFill="1" applyBorder="1" applyAlignment="1">
      <x:alignment horizontal="center" vertical="center" wrapText="1"/>
    </x:xf>
    <x:xf numFmtId="0" fontId="20" fillId="11" borderId="3" xfId="0" applyNumberFormat="1" applyFont="1" applyFill="1" applyBorder="1" applyAlignment="1">
      <x:alignment horizontal="center" vertical="center"/>
    </x:xf>
    <x:xf numFmtId="0" fontId="21" fillId="11" borderId="3" xfId="0" applyNumberFormat="1" applyFont="1" applyFill="1" applyBorder="1" applyAlignment="1">
      <x:alignment horizontal="right" vertical="center" wrapText="1"/>
    </x:xf>
    <x:xf numFmtId="0" fontId="10" fillId="13" borderId="0" xfId="0" applyNumberFormat="1" applyFont="1" applyFill="1" applyBorder="1" applyAlignment="1">
      <x:alignment horizontal="right"/>
    </x:xf>
    <x:xf numFmtId="0" fontId="22" fillId="14" borderId="3" xfId="0" applyNumberFormat="1" applyFont="1" applyFill="1" applyBorder="1" applyAlignment="1">
      <x:alignment horizontal="right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49" fontId="0" fillId="0" borderId="0" xfId="0" applyNumberFormat="1" applyFont="1" applyFill="1" applyBorder="1" applyAlignment="1">
      <x:alignment horizontal="center" vertical="center" wrapText="1"/>
    </x:xf>
    <x:xf numFmtId="49" fontId="26" fillId="4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165" fontId="0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40" fontId="10" fillId="0" borderId="10" xfId="0" applyNumberFormat="1" applyFont="1" applyFill="1" applyBorder="1" applyAlignment="1">
      <x:alignment horizontal="center" vertical="center" wrapText="1"/>
    </x:xf>
    <x:xf numFmtId="40" fontId="10" fillId="0" borderId="11" xfId="0" applyNumberFormat="1" applyFont="1" applyFill="1" applyBorder="1" applyAlignment="1">
      <x:alignment horizontal="center" vertical="center" wrapText="1"/>
    </x:xf>
    <x:xf numFmtId="0" fontId="12" fillId="0" borderId="4" xfId="0" applyNumberFormat="1" applyFont="1" applyFill="1" applyBorder="1" applyAlignment="1">
      <x:alignment horizontal="center" vertical="center"/>
    </x:xf>
    <x:xf numFmtId="0" fontId="12" fillId="0" borderId="5" xfId="0" applyNumberFormat="1" applyFont="1" applyFill="1" applyBorder="1" applyAlignment="1">
      <x:alignment horizontal="center" vertical="center"/>
    </x:xf>
    <x:xf numFmtId="165" fontId="12" fillId="0" borderId="5" xfId="0" applyNumberFormat="1" applyFont="1" applyFill="1" applyBorder="1" applyAlignment="1">
      <x:alignment horizontal="center" vertical="center"/>
    </x:xf>
    <x:xf numFmtId="166" fontId="12" fillId="0" borderId="5" xfId="0" applyNumberFormat="1" applyFont="1" applyFill="1" applyBorder="1" applyAlignment="1">
      <x:alignment horizontal="center" vertical="center"/>
    </x:xf>
    <x:xf numFmtId="10" fontId="12" fillId="0" borderId="5" xfId="0" applyNumberFormat="1" applyFont="1" applyFill="1" applyBorder="1" applyAlignment="1">
      <x:alignment horizontal="center" vertical="center"/>
    </x:xf>
    <x:xf numFmtId="0" fontId="12" fillId="0" borderId="6" xfId="0" applyNumberFormat="1" applyFont="1" applyFill="1" applyBorder="1" applyAlignment="1">
      <x:alignment horizontal="center" vertical="center"/>
    </x:xf>
    <x:xf numFmtId="0" fontId="12" fillId="0" borderId="7" xfId="0" applyNumberFormat="1" applyFont="1" applyFill="1" applyBorder="1" applyAlignment="1">
      <x:alignment horizontal="center" vertical="center"/>
    </x:xf>
    <x:xf numFmtId="0" fontId="12" fillId="0" borderId="8" xfId="0" applyNumberFormat="1" applyFont="1" applyFill="1" applyBorder="1" applyAlignment="1">
      <x:alignment horizontal="center" vertical="center"/>
    </x:xf>
    <x:xf numFmtId="165" fontId="12" fillId="0" borderId="8" xfId="0" applyNumberFormat="1" applyFont="1" applyFill="1" applyBorder="1" applyAlignment="1">
      <x:alignment horizontal="center" vertical="center"/>
    </x:xf>
    <x:xf numFmtId="166" fontId="12" fillId="0" borderId="8" xfId="0" applyNumberFormat="1" applyFont="1" applyFill="1" applyBorder="1" applyAlignment="1">
      <x:alignment horizontal="center" vertical="center"/>
    </x:xf>
    <x:xf numFmtId="10" fontId="12" fillId="0" borderId="8" xfId="0" applyNumberFormat="1" applyFont="1" applyFill="1" applyBorder="1" applyAlignment="1">
      <x:alignment horizontal="center" vertical="center"/>
    </x:xf>
    <x:xf numFmtId="0" fontId="12" fillId="0" borderId="9" xfId="0" applyNumberFormat="1" applyFont="1" applyFill="1" applyBorder="1" applyAlignment="1">
      <x:alignment horizontal="center" vertical="center"/>
    </x:xf>
    <x:xf numFmtId="166" fontId="13" fillId="0" borderId="8" xfId="0" applyNumberFormat="1" applyFont="1" applyFill="1" applyBorder="1" applyAlignment="1">
      <x:alignment horizontal="center" vertical="center"/>
    </x:xf>
    <x:xf numFmtId="10" fontId="13" fillId="0" borderId="8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165" fontId="12" fillId="0" borderId="0" xfId="0" applyNumberFormat="1" applyFont="1" applyFill="1" applyBorder="1"/>
    <x:xf numFmtId="166" fontId="12" fillId="0" borderId="0" xfId="0" applyNumberFormat="1" applyFont="1" applyFill="1" applyBorder="1"/>
    <x:xf numFmtId="10" fontId="12" fillId="0" borderId="0" xfId="0" applyNumberFormat="1" applyFont="1" applyFill="1" applyBorder="1"/>
    <x:xf numFmtId="0" fontId="27" fillId="0" borderId="0" xfId="0" applyNumberFormat="1" applyFont="1" applyFill="1" applyBorder="1"/>
    <x:xf numFmtId="4" fontId="0" fillId="5" borderId="0" xfId="0" applyNumberFormat="1" applyFont="1" applyFill="1" applyBorder="1" applyAlignment="1">
      <x:alignment wrapText="1"/>
    </x:xf>
    <x:xf numFmtId="0" fontId="26" fillId="4" borderId="0" xfId="0" applyNumberFormat="1" applyFont="1" applyFill="1" applyBorder="1" applyAlignment="1">
      <x:alignment horizontal="center" wrapText="1"/>
    </x:xf>
    <x:xf numFmtId="0" fontId="14" fillId="10" borderId="0" xfId="0" applyNumberFormat="1" applyFont="1" applyFill="1" applyBorder="1" applyAlignment="1">
      <x:alignment horizontal="center" vertical="center"/>
    </x:xf>
    <x:xf numFmtId="0" fontId="24" fillId="15" borderId="0" xfId="0" applyNumberFormat="1" applyFont="1" applyFill="1" applyBorder="1" applyAlignment="1">
      <x:alignment horizontal="center" vertical="center"/>
    </x:xf>
    <x:xf numFmtId="0" fontId="25" fillId="16" borderId="0" xfId="0" applyNumberFormat="1" applyFont="1" applyFill="1" applyBorder="1" applyAlignment="1">
      <x:alignment horizontal="right" vertical="center" wrapText="1"/>
    </x:xf>
    <x:xf numFmtId="200" fontId="8" fillId="7" borderId="1" xfId="0" applyNumberFormat="1" applyFont="1" applyFill="1" applyBorder="1" applyAlignment="1">
      <x:alignment wrapText="1"/>
    </x:xf>
  </x:cellXfs>
  <x:cellStyles count="3">
    <x:cellStyle name="20% - Accent1" xfId="2"/>
    <x:cellStyle name="Normal" xfId="0"/>
    <x:cellStyle name="Percent" xfId="1"/>
  </x:cellStyles>
  <x:dxfs count="2">
    <x:dxf>
      <x:font>
        <x:color rgb="FFB91C1C"/>
      </x:font>
      <x:fill>
        <x:patternFill>
          <x:bgColor rgb="FFFCE8E6"/>
        </x:patternFill>
      </x:fill>
    </x:dxf>
    <x:dxf>
      <x:font>
        <x:color rgb="FFB91C1C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24442cbaf4686" /><Relationship Type="http://schemas.openxmlformats.org/officeDocument/2006/relationships/theme" Target="/xl/theme/theme1.xml" Id="Rea4909ba60c64be8" /><Relationship Type="http://schemas.openxmlformats.org/officeDocument/2006/relationships/sharedStrings" Target="/xl/sharedStrings.xml" Id="R7819ac4ccab24689" /><Relationship Type="http://schemas.openxmlformats.org/officeDocument/2006/relationships/worksheet" Target="/xl/worksheets/sheet1.xml" Id="R5f356157724941b7" /><Relationship Type="http://schemas.openxmlformats.org/officeDocument/2006/relationships/worksheet" Target="/xl/worksheets/sheet2.xml" Id="Rfd043375bfb94d5a" /><Relationship Type="http://schemas.openxmlformats.org/officeDocument/2006/relationships/worksheet" Target="/xl/worksheets/sheet3.xml" Id="R56f5d7de91534630" /><Relationship Type="http://schemas.openxmlformats.org/officeDocument/2006/relationships/worksheet" Target="/xl/worksheets/sheet4.xml" Id="R64ddcc3b95f94809" /><Relationship Type="http://schemas.openxmlformats.org/officeDocument/2006/relationships/worksheet" Target="/xl/worksheets/sheet5.xml" Id="R841be5c36e4b4897" /><Relationship Type="http://schemas.openxmlformats.org/officeDocument/2006/relationships/worksheet" Target="/xl/worksheets/sheet6.xml" Id="Re3c5e82324fa4a18" /><Relationship Type="http://schemas.openxmlformats.org/officeDocument/2006/relationships/worksheet" Target="/xl/worksheets/sheet7.xml" Id="R60debeab0acf466e" /></Relationships>
</file>

<file path=xl/tables/table1.xml><?xml version="1.0" encoding="utf-8"?>
<x:table xmlns:x="http://schemas.openxmlformats.org/spreadsheetml/2006/main" id="1" name="Table1" displayName="Table1" ref="A5:M506">
  <x:autoFilter ref="A5:M506"/>
  <x:tableColumns count="13">
    <x:tableColumn id="1" name="مسلسل"/>
    <x:tableColumn id="2" name="مركز التكلفة"/>
    <x:tableColumn id="3" name="الجروب"/>
    <x:tableColumn id="5" name="تاريخ الشراء"/>
    <x:tableColumn id="7" name="إسم الأصل"/>
    <x:tableColumn id="8" name="عدد الوحدات"/>
    <x:tableColumn id="9" name="اجمالي التكلفة"/>
    <x:tableColumn id="10" name="أيام الاهلاك"/>
    <x:tableColumn id="11" name="نسبة الاهلاك"/>
    <x:tableColumn id="12" name="مجمع الاهلاك"/>
    <x:tableColumn id="13" name="القيمه الصافيه"/>
    <x:tableColumn id="14" name="الاهلاك الشهري"/>
    <x:tableColumn id="15" name="الحال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8adc13ce4e4e88" /></Relationships>
</file>

<file path=xl/worksheets/sheet1.xml><?xml version="1.0" encoding="utf-8"?>
<x:worksheet xmlns:x="http://schemas.openxmlformats.org/spreadsheetml/2006/main">
  <x:sheetFormatPr defaultColWidth="9.140625" defaultRowHeight="15"/>
  <x:cols>
    <x:col min="1" max="1" width="9" style="40" customWidth="1"/>
    <x:col min="2" max="2" width="32" style="40" customWidth="1"/>
    <x:col min="3" max="3" width="42" style="40" customWidth="1"/>
    <x:col min="4" max="4" width="14" style="40" customWidth="1"/>
    <x:col min="5" max="5" width="48" style="40" customWidth="1"/>
    <x:col min="6" max="6" width="12.28515625" style="40" customWidth="1"/>
    <x:col min="7" max="8" width="16" style="40" customWidth="1"/>
    <x:col min="9" max="9" width="16" style="1" customWidth="1"/>
    <x:col min="10" max="10" width="16" style="40" customWidth="1"/>
    <x:col min="11" max="12" width="16" customWidth="1"/>
    <x:col min="13" max="13" width="12" customWidth="1"/>
    <x:col min="14" max="16384" width="9.140625" style="40" customWidth="0"/>
  </x:cols>
  <x:sheetData>
    <x:row r="1" ht="18.75">
      <x:c r="C1" s="41" t="s">
        <x:v>0</x:v>
      </x:c>
      <x:c r="D1" s="41"/>
      <x:c r="E1" s="40" t="s">
        <x:v>1</x:v>
      </x:c>
      <x:c r="F1" s="42" t="n">
        <x:f>IFERROR(IF(ISNUMBER('قيد الاهلاك'!$B$3),'قيد الاهلاك'!$B$3,DATE(VALUE(RIGHT('قيد الاهلاك'!$B$3,4)),VALUE(MID('قيد الاهلاك'!$B$3,4,2)),VALUE(LEFT('قيد الاهلاك'!$B$3,2)))),"")</x:f>
        <x:v>46387</x:v>
      </x:c>
    </x:row>
    <x:row r="2" ht="15.75">
      <x:c r="C2" s="43"/>
      <x:c r="D2" s="43"/>
      <x:c r="E2" s="44"/>
    </x:row>
    <x:row r="3" ht="15.75">
      <x:c r="B3" s="43"/>
    </x:row>
    <x:row r="4" ht="15.75">
      <x:c r="B4" s="43"/>
    </x:row>
    <x:row r="5" ht="24" customHeight="1">
      <x:c r="A5" s="45" t="s">
        <x:v>2</x:v>
      </x:c>
      <x:c r="B5" s="45" t="s">
        <x:v>3</x:v>
      </x:c>
      <x:c r="C5" s="45" t="s">
        <x:v>4</x:v>
      </x:c>
      <x:c r="D5" s="45" t="s">
        <x:v>5</x:v>
      </x:c>
      <x:c r="E5" s="45" t="s">
        <x:v>6</x:v>
      </x:c>
      <x:c r="F5" s="45" t="s">
        <x:v>7</x:v>
      </x:c>
      <x:c r="G5" s="45" t="s">
        <x:v>8</x:v>
      </x:c>
      <x:c r="H5" s="45" t="s">
        <x:v>9</x:v>
      </x:c>
      <x:c r="I5" s="45" t="s">
        <x:v>10</x:v>
      </x:c>
      <x:c r="J5" s="45" t="s">
        <x:v>11</x:v>
      </x:c>
      <x:c r="K5" s="45" t="s">
        <x:v>12</x:v>
      </x:c>
      <x:c r="L5" s="45" t="s">
        <x:v>13</x:v>
      </x:c>
      <x:c r="M5" s="46" t="s">
        <x:v>14</x:v>
      </x:c>
    </x:row>
    <x:row r="6" ht="19.899999618530273" customHeight="1">
      <x:c r="A6" s="47">
        <x:v>1</x:v>
      </x:c>
      <x:c r="B6" s="48" t="s">
        <x:v>15</x:v>
      </x:c>
      <x:c r="C6" s="48" t="s">
        <x:v>16</x:v>
      </x:c>
      <x:c r="D6" s="49">
        <x:v>45757</x:v>
      </x:c>
      <x:c r="E6" s="48" t="s">
        <x:v>17</x:v>
      </x:c>
      <x:c r="F6" s="48">
        <x:v>1</x:v>
      </x:c>
      <x:c r="G6" s="147">
        <x:v>2425.2800000000002</x:v>
      </x:c>
      <x:c r="H6" s="147" t="n">
        <x:f t="shared" ref="H6:H69" si="0">IFERROR(IF(OR($F$1="",D6=""),0,MAX(0,$F$1-D6)),0)</x:f>
        <x:v>630</x:v>
      </x:c>
      <x:c r="I6" s="147">
        <x:v>0.2</x:v>
      </x:c>
      <x:c r="J6" s="147" t="n">
        <x:f t="shared" ref="J6:J69" si="1">IFERROR(IF(OR(G6="",G6&lt;=0,I6="",D6="",$F$1=""),0,IF($F$1&lt;D6,0,MIN(MAX(G6-1,0),MAX(0,(G6*I6/365)*H6)))),0)</x:f>
        <x:v>837.2199452054795</x:v>
      </x:c>
      <x:c r="K6" s="147" t="n">
        <x:f t="shared" ref="K6:K69" si="2">IFERROR(IF(OR(G6="",G6&lt;=0),0,MAX(1,G6-J6)),0)</x:f>
        <x:v>1588.0600547945207</x:v>
      </x:c>
      <x:c r="L6" s="147" t="n">
        <x:f t="shared" ref="L6:L69" si="3">IFERROR(IF(OR(G6="",G6&lt;=0,I6="",D6="",$F$1=""),0,IF($F$1&lt;D6,0,IF(K6&lt;=1,0,MIN(G6*I6/12,K6-1)))),0)</x:f>
        <x:v>40.42133333333334</x:v>
      </x:c>
      <x:c r="M6" s="52" t="s">
        <x:v>18</x:v>
      </x:c>
    </x:row>
    <x:row r="7" ht="19.899999618530273" customHeight="1">
      <x:c r="A7" s="53">
        <x:v>2</x:v>
      </x:c>
      <x:c r="B7" s="54" t="s">
        <x:v>19</x:v>
      </x:c>
      <x:c r="C7" s="54" t="s">
        <x:v>16</x:v>
      </x:c>
      <x:c r="D7" s="55">
        <x:v>45739</x:v>
      </x:c>
      <x:c r="E7" s="54" t="s">
        <x:v>20</x:v>
      </x:c>
      <x:c r="F7" s="54">
        <x:v>1</x:v>
      </x:c>
      <x:c r="G7" s="148">
        <x:v>694.78</x:v>
      </x:c>
      <x:c r="H7" s="148" t="n">
        <x:f t="shared" si="0">IFERROR(IF(OR($F$1="",D7=""),0,MAX(0,$F$1-D7)),0)</x:f>
        <x:v>648</x:v>
      </x:c>
      <x:c r="I7" s="148">
        <x:v>0.2</x:v>
      </x:c>
      <x:c r="J7" s="148" t="n">
        <x:f t="shared" si="1">IFERROR(IF(OR(G7="",G7&lt;=0,I7="",D7="",$F$1=""),0,IF($F$1&lt;D7,0,MIN(MAX(G7-1,0),MAX(0,(G7*I7/365)*H7)))),0)</x:f>
        <x:v>246.69448767123285</x:v>
      </x:c>
      <x:c r="K7" s="148" t="n">
        <x:f t="shared" si="2">IFERROR(IF(OR(G7="",G7&lt;=0),0,MAX(1,G7-J7)),0)</x:f>
        <x:v>448.0855123287671</x:v>
      </x:c>
      <x:c r="L7" s="148" t="n">
        <x:f t="shared" si="3">IFERROR(IF(OR(G7="",G7&lt;=0,I7="",D7="",$F$1=""),0,IF($F$1&lt;D7,0,IF(K7&lt;=1,0,MIN(G7*I7/12,K7-1)))),0)</x:f>
        <x:v>11.579666666666666</x:v>
      </x:c>
      <x:c r="M7" s="58" t="s">
        <x:v>18</x:v>
      </x:c>
    </x:row>
    <x:row r="8" ht="19.899999618530273" customHeight="1">
      <x:c r="A8" s="53" t="n">
        <x:f>A7+1</x:f>
        <x:v>3</x:v>
      </x:c>
      <x:c r="B8" s="54" t="s">
        <x:v>19</x:v>
      </x:c>
      <x:c r="C8" s="54" t="s">
        <x:v>21</x:v>
      </x:c>
      <x:c r="D8" s="55">
        <x:v>45778</x:v>
      </x:c>
      <x:c r="E8" s="54" t="s">
        <x:v>22</x:v>
      </x:c>
      <x:c r="F8" s="54">
        <x:v>1</x:v>
      </x:c>
      <x:c r="G8" s="148">
        <x:v>10000</x:v>
      </x:c>
      <x:c r="H8" s="148" t="n">
        <x:f t="shared" si="0">IFERROR(IF(OR($F$1="",D8=""),0,MAX(0,$F$1-D8)),0)</x:f>
        <x:v>609</x:v>
      </x:c>
      <x:c r="I8" s="148">
        <x:v>0.33329999999999999</x:v>
      </x:c>
      <x:c r="J8" s="148" t="n">
        <x:f t="shared" si="1">IFERROR(IF(OR(G8="",G8&lt;=0,I8="",D8="",$F$1=""),0,IF($F$1&lt;D8,0,MIN(MAX(G8-1,0),MAX(0,(G8*I8/365)*H8)))),0)</x:f>
        <x:v>5561.087671232876</x:v>
      </x:c>
      <x:c r="K8" s="148" t="n">
        <x:f t="shared" si="2">IFERROR(IF(OR(G8="",G8&lt;=0),0,MAX(1,G8-J8)),0)</x:f>
        <x:v>4438.912328767124</x:v>
      </x:c>
      <x:c r="L8" s="148" t="n">
        <x:f t="shared" si="3">IFERROR(IF(OR(G8="",G8&lt;=0,I8="",D8="",$F$1=""),0,IF($F$1&lt;D8,0,IF(K8&lt;=1,0,MIN(G8*I8/12,K8-1)))),0)</x:f>
        <x:v>277.75</x:v>
      </x:c>
      <x:c r="M8" s="58" t="s">
        <x:v>18</x:v>
      </x:c>
    </x:row>
    <x:row r="9" ht="19.899999618530273" customHeight="1">
      <x:c r="A9" s="53" t="n">
        <x:f t="shared" ref="A9:A72" si="4">A8+1</x:f>
        <x:v>4</x:v>
      </x:c>
      <x:c r="B9" s="54" t="s">
        <x:v>19</x:v>
      </x:c>
      <x:c r="C9" s="54" t="s">
        <x:v>23</x:v>
      </x:c>
      <x:c r="D9" s="55">
        <x:v>45300</x:v>
      </x:c>
      <x:c r="E9" s="54" t="s">
        <x:v>24</x:v>
      </x:c>
      <x:c r="F9" s="54">
        <x:v>1</x:v>
      </x:c>
      <x:c r="G9" s="148">
        <x:v>195</x:v>
      </x:c>
      <x:c r="H9" s="148" t="n">
        <x:f t="shared" si="0">IFERROR(IF(OR($F$1="",D9=""),0,MAX(0,$F$1-D9)),0)</x:f>
        <x:v>1087</x:v>
      </x:c>
      <x:c r="I9" s="148">
        <x:v>0.2</x:v>
      </x:c>
      <x:c r="J9" s="148" t="n">
        <x:f t="shared" si="1">IFERROR(IF(OR(G9="",G9&lt;=0,I9="",D9="",$F$1=""),0,IF($F$1&lt;D9,0,MIN(MAX(G9-1,0),MAX(0,(G9*I9/365)*H9)))),0)</x:f>
        <x:v>116.14520547945206</x:v>
      </x:c>
      <x:c r="K9" s="148" t="n">
        <x:f t="shared" si="2">IFERROR(IF(OR(G9="",G9&lt;=0),0,MAX(1,G9-J9)),0)</x:f>
        <x:v>78.85479452054794</x:v>
      </x:c>
      <x:c r="L9" s="148" t="n">
        <x:f t="shared" si="3">IFERROR(IF(OR(G9="",G9&lt;=0,I9="",D9="",$F$1=""),0,IF($F$1&lt;D9,0,IF(K9&lt;=1,0,MIN(G9*I9/12,K9-1)))),0)</x:f>
        <x:v>3.25</x:v>
      </x:c>
      <x:c r="M9" s="58" t="s">
        <x:v>18</x:v>
      </x:c>
    </x:row>
    <x:row r="10" ht="19.899999618530273" customHeight="1">
      <x:c r="A10" s="53">
        <x:f t="shared" si="4"/>
        <x:v>5</x:v>
      </x:c>
      <x:c r="B10" s="54" t="s">
        <x:v>19</x:v>
      </x:c>
      <x:c r="C10" s="54" t="s">
        <x:v>16</x:v>
      </x:c>
      <x:c r="D10" s="55">
        <x:v>45297</x:v>
      </x:c>
      <x:c r="E10" s="54" t="s">
        <x:v>25</x:v>
      </x:c>
      <x:c r="F10" s="54">
        <x:v>1</x:v>
      </x:c>
      <x:c r="G10" s="148">
        <x:v>1216.52</x:v>
      </x:c>
      <x:c r="H10" s="148" t="n">
        <x:f t="shared" si="0">IFERROR(IF(OR($F$1="",D10=""),0,MAX(0,$F$1-D10)),0)</x:f>
        <x:v>1090</x:v>
      </x:c>
      <x:c r="I10" s="148">
        <x:v>0.2</x:v>
      </x:c>
      <x:c r="J10" s="148" t="n">
        <x:f t="shared" si="1">IFERROR(IF(OR(G10="",G10&lt;=0,I10="",D10="",$F$1=""),0,IF($F$1&lt;D10,0,MIN(MAX(G10-1,0),MAX(0,(G10*I10/365)*H10)))),0)</x:f>
        <x:v>726.5790684931507</x:v>
      </x:c>
      <x:c r="K10" s="148" t="n">
        <x:f t="shared" si="2">IFERROR(IF(OR(G10="",G10&lt;=0),0,MAX(1,G10-J10)),0)</x:f>
        <x:v>489.9409315068493</x:v>
      </x:c>
      <x:c r="L10" s="148" t="n">
        <x:f t="shared" si="3">IFERROR(IF(OR(G10="",G10&lt;=0,I10="",D10="",$F$1=""),0,IF($F$1&lt;D10,0,IF(K10&lt;=1,0,MIN(G10*I10/12,K10-1)))),0)</x:f>
        <x:v>20.275333333333332</x:v>
      </x:c>
      <x:c r="M10" s="58" t="s">
        <x:v>18</x:v>
      </x:c>
    </x:row>
    <x:row r="11" ht="19.899999618530273" customHeight="1">
      <x:c r="A11" s="53">
        <x:f t="shared" si="4"/>
        <x:v>6</x:v>
      </x:c>
      <x:c r="B11" s="54" t="s">
        <x:v>19</x:v>
      </x:c>
      <x:c r="C11" s="54" t="s">
        <x:v>16</x:v>
      </x:c>
      <x:c r="D11" s="55">
        <x:v>45322</x:v>
      </x:c>
      <x:c r="E11" s="54" t="s">
        <x:v>26</x:v>
      </x:c>
      <x:c r="F11" s="54">
        <x:v>1</x:v>
      </x:c>
      <x:c r="G11" s="148">
        <x:v>1651.3</x:v>
      </x:c>
      <x:c r="H11" s="148" t="n">
        <x:f t="shared" si="0">IFERROR(IF(OR($F$1="",D11=""),0,MAX(0,$F$1-D11)),0)</x:f>
        <x:v>1065</x:v>
      </x:c>
      <x:c r="I11" s="148">
        <x:v>0.2</x:v>
      </x:c>
      <x:c r="J11" s="148" t="n">
        <x:f t="shared" si="1">IFERROR(IF(OR(G11="",G11&lt;=0,I11="",D11="",$F$1=""),0,IF($F$1&lt;D11,0,MIN(MAX(G11-1,0),MAX(0,(G11*I11/365)*H11)))),0)</x:f>
        <x:v>963.6353424657534</x:v>
      </x:c>
      <x:c r="K11" s="148" t="n">
        <x:f t="shared" si="2">IFERROR(IF(OR(G11="",G11&lt;=0),0,MAX(1,G11-J11)),0)</x:f>
        <x:v>687.6646575342465</x:v>
      </x:c>
      <x:c r="L11" s="148" t="n">
        <x:f t="shared" si="3">IFERROR(IF(OR(G11="",G11&lt;=0,I11="",D11="",$F$1=""),0,IF($F$1&lt;D11,0,IF(K11&lt;=1,0,MIN(G11*I11/12,K11-1)))),0)</x:f>
        <x:v>27.521666666666665</x:v>
      </x:c>
      <x:c r="M11" s="58" t="s">
        <x:v>18</x:v>
      </x:c>
    </x:row>
    <x:row r="12" ht="19.899999618530273" customHeight="1">
      <x:c r="A12" s="53">
        <x:f t="shared" si="4"/>
        <x:v>7</x:v>
      </x:c>
      <x:c r="B12" s="54" t="s">
        <x:v>19</x:v>
      </x:c>
      <x:c r="C12" s="54" t="s">
        <x:v>27</x:v>
      </x:c>
      <x:c r="D12" s="55">
        <x:v>45283</x:v>
      </x:c>
      <x:c r="E12" s="54" t="s">
        <x:v>28</x:v>
      </x:c>
      <x:c r="F12" s="54">
        <x:v>1</x:v>
      </x:c>
      <x:c r="G12" s="148">
        <x:v>2050</x:v>
      </x:c>
      <x:c r="H12" s="148" t="n">
        <x:f t="shared" si="0">IFERROR(IF(OR($F$1="",D12=""),0,MAX(0,$F$1-D12)),0)</x:f>
        <x:v>1104</x:v>
      </x:c>
      <x:c r="I12" s="148">
        <x:v>0.33329999999999999</x:v>
      </x:c>
      <x:c r="J12" s="148" t="n">
        <x:f t="shared" si="1">IFERROR(IF(OR(G12="",G12&lt;=0,I12="",D12="",$F$1=""),0,IF($F$1&lt;D12,0,MIN(MAX(G12-1,0),MAX(0,(G12*I12/365)*H12)))),0)</x:f>
        <x:v>2049</x:v>
      </x:c>
      <x:c r="K12" s="148" t="n">
        <x:f t="shared" si="2">IFERROR(IF(OR(G12="",G12&lt;=0),0,MAX(1,G12-J12)),0)</x:f>
        <x:v>1</x:v>
      </x:c>
      <x:c r="L12" s="148" t="n">
        <x:f t="shared" si="3">IFERROR(IF(OR(G12="",G12&lt;=0,I12="",D12="",$F$1=""),0,IF($F$1&lt;D12,0,IF(K12&lt;=1,0,MIN(G12*I12/12,K12-1)))),0)</x:f>
        <x:v>0</x:v>
      </x:c>
      <x:c r="M12" s="58" t="s">
        <x:v>18</x:v>
      </x:c>
    </x:row>
    <x:row r="13" ht="19.899999618530273" customHeight="1">
      <x:c r="A13" s="53">
        <x:f t="shared" si="4"/>
        <x:v>8</x:v>
      </x:c>
      <x:c r="B13" s="54" t="s">
        <x:v>19</x:v>
      </x:c>
      <x:c r="C13" s="54" t="s">
        <x:v>27</x:v>
      </x:c>
      <x:c r="D13" s="55">
        <x:v>45283</x:v>
      </x:c>
      <x:c r="E13" s="54" t="s">
        <x:v>28</x:v>
      </x:c>
      <x:c r="F13" s="54">
        <x:v>1</x:v>
      </x:c>
      <x:c r="G13" s="148">
        <x:v>2050</x:v>
      </x:c>
      <x:c r="H13" s="148" t="n">
        <x:f t="shared" si="0">IFERROR(IF(OR($F$1="",D13=""),0,MAX(0,$F$1-D13)),0)</x:f>
        <x:v>1104</x:v>
      </x:c>
      <x:c r="I13" s="148">
        <x:v>0.33329999999999999</x:v>
      </x:c>
      <x:c r="J13" s="148" t="n">
        <x:f t="shared" si="1">IFERROR(IF(OR(G13="",G13&lt;=0,I13="",D13="",$F$1=""),0,IF($F$1&lt;D13,0,MIN(MAX(G13-1,0),MAX(0,(G13*I13/365)*H13)))),0)</x:f>
        <x:v>2049</x:v>
      </x:c>
      <x:c r="K13" s="148" t="n">
        <x:f t="shared" si="2">IFERROR(IF(OR(G13="",G13&lt;=0),0,MAX(1,G13-J13)),0)</x:f>
        <x:v>1</x:v>
      </x:c>
      <x:c r="L13" s="148" t="n">
        <x:f t="shared" si="3">IFERROR(IF(OR(G13="",G13&lt;=0,I13="",D13="",$F$1=""),0,IF($F$1&lt;D13,0,IF(K13&lt;=1,0,MIN(G13*I13/12,K13-1)))),0)</x:f>
        <x:v>0</x:v>
      </x:c>
      <x:c r="M13" s="58" t="s">
        <x:v>18</x:v>
      </x:c>
    </x:row>
    <x:row r="14" ht="19.899999618530273" customHeight="1">
      <x:c r="A14" s="53">
        <x:f t="shared" si="4"/>
        <x:v>9</x:v>
      </x:c>
      <x:c r="B14" s="54" t="s">
        <x:v>19</x:v>
      </x:c>
      <x:c r="C14" s="54" t="s">
        <x:v>27</x:v>
      </x:c>
      <x:c r="D14" s="55">
        <x:v>45283</x:v>
      </x:c>
      <x:c r="E14" s="54" t="s">
        <x:v>29</x:v>
      </x:c>
      <x:c r="F14" s="54">
        <x:v>1</x:v>
      </x:c>
      <x:c r="G14" s="148">
        <x:v>500</x:v>
      </x:c>
      <x:c r="H14" s="148" t="n">
        <x:f t="shared" si="0">IFERROR(IF(OR($F$1="",D14=""),0,MAX(0,$F$1-D14)),0)</x:f>
        <x:v>1104</x:v>
      </x:c>
      <x:c r="I14" s="148">
        <x:v>0.33329999999999999</x:v>
      </x:c>
      <x:c r="J14" s="148" t="n">
        <x:f t="shared" si="1">IFERROR(IF(OR(G14="",G14&lt;=0,I14="",D14="",$F$1=""),0,IF($F$1&lt;D14,0,MIN(MAX(G14-1,0),MAX(0,(G14*I14/365)*H14)))),0)</x:f>
        <x:v>499</x:v>
      </x:c>
      <x:c r="K14" s="148" t="n">
        <x:f t="shared" si="2">IFERROR(IF(OR(G14="",G14&lt;=0),0,MAX(1,G14-J14)),0)</x:f>
        <x:v>1</x:v>
      </x:c>
      <x:c r="L14" s="148" t="n">
        <x:f t="shared" si="3">IFERROR(IF(OR(G14="",G14&lt;=0,I14="",D14="",$F$1=""),0,IF($F$1&lt;D14,0,IF(K14&lt;=1,0,MIN(G14*I14/12,K14-1)))),0)</x:f>
        <x:v>0</x:v>
      </x:c>
      <x:c r="M14" s="58" t="s">
        <x:v>18</x:v>
      </x:c>
    </x:row>
    <x:row r="15" ht="19.899999618530273" customHeight="1">
      <x:c r="A15" s="53">
        <x:f t="shared" si="4"/>
        <x:v>10</x:v>
      </x:c>
      <x:c r="B15" s="54" t="s">
        <x:v>19</x:v>
      </x:c>
      <x:c r="C15" s="54" t="s">
        <x:v>27</x:v>
      </x:c>
      <x:c r="D15" s="55">
        <x:v>45283</x:v>
      </x:c>
      <x:c r="E15" s="54" t="s">
        <x:v>29</x:v>
      </x:c>
      <x:c r="F15" s="54">
        <x:v>1</x:v>
      </x:c>
      <x:c r="G15" s="148">
        <x:v>500</x:v>
      </x:c>
      <x:c r="H15" s="148" t="n">
        <x:f t="shared" si="0">IFERROR(IF(OR($F$1="",D15=""),0,MAX(0,$F$1-D15)),0)</x:f>
        <x:v>1104</x:v>
      </x:c>
      <x:c r="I15" s="148">
        <x:v>0.33329999999999999</x:v>
      </x:c>
      <x:c r="J15" s="148" t="n">
        <x:f t="shared" si="1">IFERROR(IF(OR(G15="",G15&lt;=0,I15="",D15="",$F$1=""),0,IF($F$1&lt;D15,0,MIN(MAX(G15-1,0),MAX(0,(G15*I15/365)*H15)))),0)</x:f>
        <x:v>499</x:v>
      </x:c>
      <x:c r="K15" s="148" t="n">
        <x:f t="shared" si="2">IFERROR(IF(OR(G15="",G15&lt;=0),0,MAX(1,G15-J15)),0)</x:f>
        <x:v>1</x:v>
      </x:c>
      <x:c r="L15" s="148" t="n">
        <x:f t="shared" si="3">IFERROR(IF(OR(G15="",G15&lt;=0,I15="",D15="",$F$1=""),0,IF($F$1&lt;D15,0,IF(K15&lt;=1,0,MIN(G15*I15/12,K15-1)))),0)</x:f>
        <x:v>0</x:v>
      </x:c>
      <x:c r="M15" s="58" t="s">
        <x:v>18</x:v>
      </x:c>
    </x:row>
    <x:row r="16" ht="19.899999618530273" customHeight="1">
      <x:c r="A16" s="53">
        <x:f t="shared" si="4"/>
        <x:v>11</x:v>
      </x:c>
      <x:c r="B16" s="54" t="s">
        <x:v>19</x:v>
      </x:c>
      <x:c r="C16" s="54" t="s">
        <x:v>27</x:v>
      </x:c>
      <x:c r="D16" s="55">
        <x:v>45283</x:v>
      </x:c>
      <x:c r="E16" s="54" t="s">
        <x:v>30</x:v>
      </x:c>
      <x:c r="F16" s="54">
        <x:v>1</x:v>
      </x:c>
      <x:c r="G16" s="148">
        <x:v>875</x:v>
      </x:c>
      <x:c r="H16" s="148" t="n">
        <x:f t="shared" si="0">IFERROR(IF(OR($F$1="",D16=""),0,MAX(0,$F$1-D16)),0)</x:f>
        <x:v>1104</x:v>
      </x:c>
      <x:c r="I16" s="148">
        <x:v>0.33329999999999999</x:v>
      </x:c>
      <x:c r="J16" s="148" t="n">
        <x:f t="shared" si="1">IFERROR(IF(OR(G16="",G16&lt;=0,I16="",D16="",$F$1=""),0,IF($F$1&lt;D16,0,MIN(MAX(G16-1,0),MAX(0,(G16*I16/365)*H16)))),0)</x:f>
        <x:v>874</x:v>
      </x:c>
      <x:c r="K16" s="148" t="n">
        <x:f t="shared" si="2">IFERROR(IF(OR(G16="",G16&lt;=0),0,MAX(1,G16-J16)),0)</x:f>
        <x:v>1</x:v>
      </x:c>
      <x:c r="L16" s="148" t="n">
        <x:f t="shared" si="3">IFERROR(IF(OR(G16="",G16&lt;=0,I16="",D16="",$F$1=""),0,IF($F$1&lt;D16,0,IF(K16&lt;=1,0,MIN(G16*I16/12,K16-1)))),0)</x:f>
        <x:v>0</x:v>
      </x:c>
      <x:c r="M16" s="58" t="s">
        <x:v>18</x:v>
      </x:c>
    </x:row>
    <x:row r="17" ht="19.899999618530273" customHeight="1">
      <x:c r="A17" s="53">
        <x:f t="shared" si="4"/>
        <x:v>12</x:v>
      </x:c>
      <x:c r="B17" s="54" t="s">
        <x:v>19</x:v>
      </x:c>
      <x:c r="C17" s="54" t="s">
        <x:v>27</x:v>
      </x:c>
      <x:c r="D17" s="55">
        <x:v>45283</x:v>
      </x:c>
      <x:c r="E17" s="54" t="s">
        <x:v>31</x:v>
      </x:c>
      <x:c r="F17" s="54">
        <x:v>1</x:v>
      </x:c>
      <x:c r="G17" s="148">
        <x:v>575</x:v>
      </x:c>
      <x:c r="H17" s="148" t="n">
        <x:f t="shared" si="0">IFERROR(IF(OR($F$1="",D17=""),0,MAX(0,$F$1-D17)),0)</x:f>
        <x:v>1104</x:v>
      </x:c>
      <x:c r="I17" s="148">
        <x:v>0.33329999999999999</x:v>
      </x:c>
      <x:c r="J17" s="148" t="n">
        <x:f t="shared" si="1">IFERROR(IF(OR(G17="",G17&lt;=0,I17="",D17="",$F$1=""),0,IF($F$1&lt;D17,0,MIN(MAX(G17-1,0),MAX(0,(G17*I17/365)*H17)))),0)</x:f>
        <x:v>574</x:v>
      </x:c>
      <x:c r="K17" s="148" t="n">
        <x:f t="shared" si="2">IFERROR(IF(OR(G17="",G17&lt;=0),0,MAX(1,G17-J17)),0)</x:f>
        <x:v>1</x:v>
      </x:c>
      <x:c r="L17" s="148" t="n">
        <x:f t="shared" si="3">IFERROR(IF(OR(G17="",G17&lt;=0,I17="",D17="",$F$1=""),0,IF($F$1&lt;D17,0,IF(K17&lt;=1,0,MIN(G17*I17/12,K17-1)))),0)</x:f>
        <x:v>0</x:v>
      </x:c>
      <x:c r="M17" s="58" t="s">
        <x:v>18</x:v>
      </x:c>
    </x:row>
    <x:row r="18" ht="19.899999618530273" customHeight="1">
      <x:c r="A18" s="53">
        <x:f t="shared" si="4"/>
        <x:v>13</x:v>
      </x:c>
      <x:c r="B18" s="54" t="s">
        <x:v>19</x:v>
      </x:c>
      <x:c r="C18" s="54" t="s">
        <x:v>27</x:v>
      </x:c>
      <x:c r="D18" s="55">
        <x:v>45283</x:v>
      </x:c>
      <x:c r="E18" s="54" t="s">
        <x:v>32</x:v>
      </x:c>
      <x:c r="F18" s="54">
        <x:v>1</x:v>
      </x:c>
      <x:c r="G18" s="148">
        <x:v>950</x:v>
      </x:c>
      <x:c r="H18" s="148" t="n">
        <x:f t="shared" si="0">IFERROR(IF(OR($F$1="",D18=""),0,MAX(0,$F$1-D18)),0)</x:f>
        <x:v>1104</x:v>
      </x:c>
      <x:c r="I18" s="148">
        <x:v>0.33329999999999999</x:v>
      </x:c>
      <x:c r="J18" s="148" t="n">
        <x:f t="shared" si="1">IFERROR(IF(OR(G18="",G18&lt;=0,I18="",D18="",$F$1=""),0,IF($F$1&lt;D18,0,MIN(MAX(G18-1,0),MAX(0,(G18*I18/365)*H18)))),0)</x:f>
        <x:v>949</x:v>
      </x:c>
      <x:c r="K18" s="148" t="n">
        <x:f t="shared" si="2">IFERROR(IF(OR(G18="",G18&lt;=0),0,MAX(1,G18-J18)),0)</x:f>
        <x:v>1</x:v>
      </x:c>
      <x:c r="L18" s="148" t="n">
        <x:f t="shared" si="3">IFERROR(IF(OR(G18="",G18&lt;=0,I18="",D18="",$F$1=""),0,IF($F$1&lt;D18,0,IF(K18&lt;=1,0,MIN(G18*I18/12,K18-1)))),0)</x:f>
        <x:v>0</x:v>
      </x:c>
      <x:c r="M18" s="58" t="s">
        <x:v>18</x:v>
      </x:c>
    </x:row>
    <x:row r="19" ht="19.899999618530273" customHeight="1">
      <x:c r="A19" s="53">
        <x:f t="shared" si="4"/>
        <x:v>14</x:v>
      </x:c>
      <x:c r="B19" s="54" t="s">
        <x:v>19</x:v>
      </x:c>
      <x:c r="C19" s="54" t="s">
        <x:v>27</x:v>
      </x:c>
      <x:c r="D19" s="55">
        <x:v>45283</x:v>
      </x:c>
      <x:c r="E19" s="54" t="s">
        <x:v>33</x:v>
      </x:c>
      <x:c r="F19" s="54">
        <x:v>1</x:v>
      </x:c>
      <x:c r="G19" s="148">
        <x:v>600</x:v>
      </x:c>
      <x:c r="H19" s="148" t="n">
        <x:f t="shared" si="0">IFERROR(IF(OR($F$1="",D19=""),0,MAX(0,$F$1-D19)),0)</x:f>
        <x:v>1104</x:v>
      </x:c>
      <x:c r="I19" s="148">
        <x:v>0.33329999999999999</x:v>
      </x:c>
      <x:c r="J19" s="148" t="n">
        <x:f t="shared" si="1">IFERROR(IF(OR(G19="",G19&lt;=0,I19="",D19="",$F$1=""),0,IF($F$1&lt;D19,0,MIN(MAX(G19-1,0),MAX(0,(G19*I19/365)*H19)))),0)</x:f>
        <x:v>599</x:v>
      </x:c>
      <x:c r="K19" s="148" t="n">
        <x:f t="shared" si="2">IFERROR(IF(OR(G19="",G19&lt;=0),0,MAX(1,G19-J19)),0)</x:f>
        <x:v>1</x:v>
      </x:c>
      <x:c r="L19" s="148" t="n">
        <x:f t="shared" si="3">IFERROR(IF(OR(G19="",G19&lt;=0,I19="",D19="",$F$1=""),0,IF($F$1&lt;D19,0,IF(K19&lt;=1,0,MIN(G19*I19/12,K19-1)))),0)</x:f>
        <x:v>0</x:v>
      </x:c>
      <x:c r="M19" s="58" t="s">
        <x:v>18</x:v>
      </x:c>
    </x:row>
    <x:row r="20" ht="19.899999618530273" customHeight="1">
      <x:c r="A20" s="53">
        <x:f t="shared" si="4"/>
        <x:v>15</x:v>
      </x:c>
      <x:c r="B20" s="54" t="s">
        <x:v>19</x:v>
      </x:c>
      <x:c r="C20" s="54" t="s">
        <x:v>27</x:v>
      </x:c>
      <x:c r="D20" s="55">
        <x:v>45283</x:v>
      </x:c>
      <x:c r="E20" s="54" t="s">
        <x:v>33</x:v>
      </x:c>
      <x:c r="F20" s="54">
        <x:v>1</x:v>
      </x:c>
      <x:c r="G20" s="148">
        <x:v>600</x:v>
      </x:c>
      <x:c r="H20" s="148" t="n">
        <x:f t="shared" si="0">IFERROR(IF(OR($F$1="",D20=""),0,MAX(0,$F$1-D20)),0)</x:f>
        <x:v>1104</x:v>
      </x:c>
      <x:c r="I20" s="148">
        <x:v>0.33329999999999999</x:v>
      </x:c>
      <x:c r="J20" s="148" t="n">
        <x:f t="shared" si="1">IFERROR(IF(OR(G20="",G20&lt;=0,I20="",D20="",$F$1=""),0,IF($F$1&lt;D20,0,MIN(MAX(G20-1,0),MAX(0,(G20*I20/365)*H20)))),0)</x:f>
        <x:v>599</x:v>
      </x:c>
      <x:c r="K20" s="148" t="n">
        <x:f t="shared" si="2">IFERROR(IF(OR(G20="",G20&lt;=0),0,MAX(1,G20-J20)),0)</x:f>
        <x:v>1</x:v>
      </x:c>
      <x:c r="L20" s="148" t="n">
        <x:f t="shared" si="3">IFERROR(IF(OR(G20="",G20&lt;=0,I20="",D20="",$F$1=""),0,IF($F$1&lt;D20,0,IF(K20&lt;=1,0,MIN(G20*I20/12,K20-1)))),0)</x:f>
        <x:v>0</x:v>
      </x:c>
      <x:c r="M20" s="58" t="s">
        <x:v>18</x:v>
      </x:c>
    </x:row>
    <x:row r="21" ht="19.899999618530273" customHeight="1">
      <x:c r="A21" s="53">
        <x:f t="shared" si="4"/>
        <x:v>16</x:v>
      </x:c>
      <x:c r="B21" s="54" t="s">
        <x:v>19</x:v>
      </x:c>
      <x:c r="C21" s="54" t="s">
        <x:v>27</x:v>
      </x:c>
      <x:c r="D21" s="55">
        <x:v>45283</x:v>
      </x:c>
      <x:c r="E21" s="54" t="s">
        <x:v>34</x:v>
      </x:c>
      <x:c r="F21" s="54">
        <x:v>1</x:v>
      </x:c>
      <x:c r="G21" s="148">
        <x:v>1810</x:v>
      </x:c>
      <x:c r="H21" s="148" t="n">
        <x:f t="shared" si="0">IFERROR(IF(OR($F$1="",D21=""),0,MAX(0,$F$1-D21)),0)</x:f>
        <x:v>1104</x:v>
      </x:c>
      <x:c r="I21" s="148">
        <x:v>0.33329999999999999</x:v>
      </x:c>
      <x:c r="J21" s="148" t="n">
        <x:f t="shared" si="1">IFERROR(IF(OR(G21="",G21&lt;=0,I21="",D21="",$F$1=""),0,IF($F$1&lt;D21,0,MIN(MAX(G21-1,0),MAX(0,(G21*I21/365)*H21)))),0)</x:f>
        <x:v>1809</x:v>
      </x:c>
      <x:c r="K21" s="148" t="n">
        <x:f t="shared" si="2">IFERROR(IF(OR(G21="",G21&lt;=0),0,MAX(1,G21-J21)),0)</x:f>
        <x:v>1</x:v>
      </x:c>
      <x:c r="L21" s="148" t="n">
        <x:f t="shared" si="3">IFERROR(IF(OR(G21="",G21&lt;=0,I21="",D21="",$F$1=""),0,IF($F$1&lt;D21,0,IF(K21&lt;=1,0,MIN(G21*I21/12,K21-1)))),0)</x:f>
        <x:v>0</x:v>
      </x:c>
      <x:c r="M21" s="58" t="s">
        <x:v>18</x:v>
      </x:c>
    </x:row>
    <x:row r="22" ht="19.899999618530273" customHeight="1">
      <x:c r="A22" s="53">
        <x:f t="shared" si="4"/>
        <x:v>17</x:v>
      </x:c>
      <x:c r="B22" s="54" t="s">
        <x:v>19</x:v>
      </x:c>
      <x:c r="C22" s="54" t="s">
        <x:v>27</x:v>
      </x:c>
      <x:c r="D22" s="55">
        <x:v>45283</x:v>
      </x:c>
      <x:c r="E22" s="54" t="s">
        <x:v>35</x:v>
      </x:c>
      <x:c r="F22" s="54">
        <x:v>1</x:v>
      </x:c>
      <x:c r="G22" s="148">
        <x:v>1200</x:v>
      </x:c>
      <x:c r="H22" s="148" t="n">
        <x:f t="shared" si="0">IFERROR(IF(OR($F$1="",D22=""),0,MAX(0,$F$1-D22)),0)</x:f>
        <x:v>1104</x:v>
      </x:c>
      <x:c r="I22" s="148">
        <x:v>0.33329999999999999</x:v>
      </x:c>
      <x:c r="J22" s="148" t="n">
        <x:f t="shared" si="1">IFERROR(IF(OR(G22="",G22&lt;=0,I22="",D22="",$F$1=""),0,IF($F$1&lt;D22,0,MIN(MAX(G22-1,0),MAX(0,(G22*I22/365)*H22)))),0)</x:f>
        <x:v>1199</x:v>
      </x:c>
      <x:c r="K22" s="148" t="n">
        <x:f t="shared" si="2">IFERROR(IF(OR(G22="",G22&lt;=0),0,MAX(1,G22-J22)),0)</x:f>
        <x:v>1</x:v>
      </x:c>
      <x:c r="L22" s="148" t="n">
        <x:f t="shared" si="3">IFERROR(IF(OR(G22="",G22&lt;=0,I22="",D22="",$F$1=""),0,IF($F$1&lt;D22,0,IF(K22&lt;=1,0,MIN(G22*I22/12,K22-1)))),0)</x:f>
        <x:v>0</x:v>
      </x:c>
      <x:c r="M22" s="58" t="s">
        <x:v>18</x:v>
      </x:c>
    </x:row>
    <x:row r="23" ht="19.899999618530273" customHeight="1">
      <x:c r="A23" s="53">
        <x:f t="shared" si="4"/>
        <x:v>18</x:v>
      </x:c>
      <x:c r="B23" s="54" t="s">
        <x:v>19</x:v>
      </x:c>
      <x:c r="C23" s="54" t="s">
        <x:v>27</x:v>
      </x:c>
      <x:c r="D23" s="55">
        <x:v>45283</x:v>
      </x:c>
      <x:c r="E23" s="54" t="s">
        <x:v>36</x:v>
      </x:c>
      <x:c r="F23" s="54">
        <x:v>1</x:v>
      </x:c>
      <x:c r="G23" s="148">
        <x:v>205</x:v>
      </x:c>
      <x:c r="H23" s="148" t="n">
        <x:f t="shared" si="0">IFERROR(IF(OR($F$1="",D23=""),0,MAX(0,$F$1-D23)),0)</x:f>
        <x:v>1104</x:v>
      </x:c>
      <x:c r="I23" s="148">
        <x:v>0.33329999999999999</x:v>
      </x:c>
      <x:c r="J23" s="148" t="n">
        <x:f t="shared" si="1">IFERROR(IF(OR(G23="",G23&lt;=0,I23="",D23="",$F$1=""),0,IF($F$1&lt;D23,0,MIN(MAX(G23-1,0),MAX(0,(G23*I23/365)*H23)))),0)</x:f>
        <x:v>204</x:v>
      </x:c>
      <x:c r="K23" s="148" t="n">
        <x:f t="shared" si="2">IFERROR(IF(OR(G23="",G23&lt;=0),0,MAX(1,G23-J23)),0)</x:f>
        <x:v>1</x:v>
      </x:c>
      <x:c r="L23" s="148" t="n">
        <x:f t="shared" si="3">IFERROR(IF(OR(G23="",G23&lt;=0,I23="",D23="",$F$1=""),0,IF($F$1&lt;D23,0,IF(K23&lt;=1,0,MIN(G23*I23/12,K23-1)))),0)</x:f>
        <x:v>0</x:v>
      </x:c>
      <x:c r="M23" s="58" t="s">
        <x:v>18</x:v>
      </x:c>
    </x:row>
    <x:row r="24" ht="19.899999618530273" customHeight="1">
      <x:c r="A24" s="53">
        <x:f t="shared" si="4"/>
        <x:v>19</x:v>
      </x:c>
      <x:c r="B24" s="54" t="s">
        <x:v>19</x:v>
      </x:c>
      <x:c r="C24" s="54" t="s">
        <x:v>27</x:v>
      </x:c>
      <x:c r="D24" s="55">
        <x:v>45283</x:v>
      </x:c>
      <x:c r="E24" s="54" t="s">
        <x:v>36</x:v>
      </x:c>
      <x:c r="F24" s="54">
        <x:v>1</x:v>
      </x:c>
      <x:c r="G24" s="148">
        <x:v>205</x:v>
      </x:c>
      <x:c r="H24" s="148" t="n">
        <x:f t="shared" si="0">IFERROR(IF(OR($F$1="",D24=""),0,MAX(0,$F$1-D24)),0)</x:f>
        <x:v>1104</x:v>
      </x:c>
      <x:c r="I24" s="148">
        <x:v>0.33329999999999999</x:v>
      </x:c>
      <x:c r="J24" s="148" t="n">
        <x:f t="shared" si="1">IFERROR(IF(OR(G24="",G24&lt;=0,I24="",D24="",$F$1=""),0,IF($F$1&lt;D24,0,MIN(MAX(G24-1,0),MAX(0,(G24*I24/365)*H24)))),0)</x:f>
        <x:v>204</x:v>
      </x:c>
      <x:c r="K24" s="148" t="n">
        <x:f t="shared" si="2">IFERROR(IF(OR(G24="",G24&lt;=0),0,MAX(1,G24-J24)),0)</x:f>
        <x:v>1</x:v>
      </x:c>
      <x:c r="L24" s="148" t="n">
        <x:f t="shared" si="3">IFERROR(IF(OR(G24="",G24&lt;=0,I24="",D24="",$F$1=""),0,IF($F$1&lt;D24,0,IF(K24&lt;=1,0,MIN(G24*I24/12,K24-1)))),0)</x:f>
        <x:v>0</x:v>
      </x:c>
      <x:c r="M24" s="58" t="s">
        <x:v>18</x:v>
      </x:c>
    </x:row>
    <x:row r="25" ht="19.899999618530273" customHeight="1">
      <x:c r="A25" s="53">
        <x:f t="shared" si="4"/>
        <x:v>20</x:v>
      </x:c>
      <x:c r="B25" s="54" t="s">
        <x:v>19</x:v>
      </x:c>
      <x:c r="C25" s="54" t="s">
        <x:v>27</x:v>
      </x:c>
      <x:c r="D25" s="55">
        <x:v>45283</x:v>
      </x:c>
      <x:c r="E25" s="54" t="s">
        <x:v>36</x:v>
      </x:c>
      <x:c r="F25" s="54">
        <x:v>1</x:v>
      </x:c>
      <x:c r="G25" s="148">
        <x:v>205</x:v>
      </x:c>
      <x:c r="H25" s="148" t="n">
        <x:f t="shared" si="0">IFERROR(IF(OR($F$1="",D25=""),0,MAX(0,$F$1-D25)),0)</x:f>
        <x:v>1104</x:v>
      </x:c>
      <x:c r="I25" s="148">
        <x:v>0.33329999999999999</x:v>
      </x:c>
      <x:c r="J25" s="148" t="n">
        <x:f t="shared" si="1">IFERROR(IF(OR(G25="",G25&lt;=0,I25="",D25="",$F$1=""),0,IF($F$1&lt;D25,0,MIN(MAX(G25-1,0),MAX(0,(G25*I25/365)*H25)))),0)</x:f>
        <x:v>204</x:v>
      </x:c>
      <x:c r="K25" s="148" t="n">
        <x:f t="shared" si="2">IFERROR(IF(OR(G25="",G25&lt;=0),0,MAX(1,G25-J25)),0)</x:f>
        <x:v>1</x:v>
      </x:c>
      <x:c r="L25" s="148" t="n">
        <x:f t="shared" si="3">IFERROR(IF(OR(G25="",G25&lt;=0,I25="",D25="",$F$1=""),0,IF($F$1&lt;D25,0,IF(K25&lt;=1,0,MIN(G25*I25/12,K25-1)))),0)</x:f>
        <x:v>0</x:v>
      </x:c>
      <x:c r="M25" s="58" t="s">
        <x:v>18</x:v>
      </x:c>
    </x:row>
    <x:row r="26" ht="19.899999618530273" customHeight="1">
      <x:c r="A26" s="53">
        <x:f t="shared" si="4"/>
        <x:v>21</x:v>
      </x:c>
      <x:c r="B26" s="54" t="s">
        <x:v>19</x:v>
      </x:c>
      <x:c r="C26" s="54" t="s">
        <x:v>27</x:v>
      </x:c>
      <x:c r="D26" s="55">
        <x:v>45283</x:v>
      </x:c>
      <x:c r="E26" s="54" t="s">
        <x:v>37</x:v>
      </x:c>
      <x:c r="F26" s="54">
        <x:v>1</x:v>
      </x:c>
      <x:c r="G26" s="148">
        <x:v>190</x:v>
      </x:c>
      <x:c r="H26" s="148" t="n">
        <x:f t="shared" si="0">IFERROR(IF(OR($F$1="",D26=""),0,MAX(0,$F$1-D26)),0)</x:f>
        <x:v>1104</x:v>
      </x:c>
      <x:c r="I26" s="148">
        <x:v>0.33329999999999999</x:v>
      </x:c>
      <x:c r="J26" s="148" t="n">
        <x:f t="shared" si="1">IFERROR(IF(OR(G26="",G26&lt;=0,I26="",D26="",$F$1=""),0,IF($F$1&lt;D26,0,MIN(MAX(G26-1,0),MAX(0,(G26*I26/365)*H26)))),0)</x:f>
        <x:v>189</x:v>
      </x:c>
      <x:c r="K26" s="148" t="n">
        <x:f t="shared" si="2">IFERROR(IF(OR(G26="",G26&lt;=0),0,MAX(1,G26-J26)),0)</x:f>
        <x:v>1</x:v>
      </x:c>
      <x:c r="L26" s="148" t="n">
        <x:f t="shared" si="3">IFERROR(IF(OR(G26="",G26&lt;=0,I26="",D26="",$F$1=""),0,IF($F$1&lt;D26,0,IF(K26&lt;=1,0,MIN(G26*I26/12,K26-1)))),0)</x:f>
        <x:v>0</x:v>
      </x:c>
      <x:c r="M26" s="58" t="s">
        <x:v>18</x:v>
      </x:c>
    </x:row>
    <x:row r="27" ht="19.899999618530273" customHeight="1">
      <x:c r="A27" s="53">
        <x:f t="shared" si="4"/>
        <x:v>22</x:v>
      </x:c>
      <x:c r="B27" s="54" t="s">
        <x:v>19</x:v>
      </x:c>
      <x:c r="C27" s="54" t="s">
        <x:v>27</x:v>
      </x:c>
      <x:c r="D27" s="55">
        <x:v>45283</x:v>
      </x:c>
      <x:c r="E27" s="54" t="s">
        <x:v>37</x:v>
      </x:c>
      <x:c r="F27" s="54">
        <x:v>1</x:v>
      </x:c>
      <x:c r="G27" s="148">
        <x:v>190</x:v>
      </x:c>
      <x:c r="H27" s="148" t="n">
        <x:f t="shared" si="0">IFERROR(IF(OR($F$1="",D27=""),0,MAX(0,$F$1-D27)),0)</x:f>
        <x:v>1104</x:v>
      </x:c>
      <x:c r="I27" s="148">
        <x:v>0.33329999999999999</x:v>
      </x:c>
      <x:c r="J27" s="148" t="n">
        <x:f t="shared" si="1">IFERROR(IF(OR(G27="",G27&lt;=0,I27="",D27="",$F$1=""),0,IF($F$1&lt;D27,0,MIN(MAX(G27-1,0),MAX(0,(G27*I27/365)*H27)))),0)</x:f>
        <x:v>189</x:v>
      </x:c>
      <x:c r="K27" s="148" t="n">
        <x:f t="shared" si="2">IFERROR(IF(OR(G27="",G27&lt;=0),0,MAX(1,G27-J27)),0)</x:f>
        <x:v>1</x:v>
      </x:c>
      <x:c r="L27" s="148" t="n">
        <x:f t="shared" si="3">IFERROR(IF(OR(G27="",G27&lt;=0,I27="",D27="",$F$1=""),0,IF($F$1&lt;D27,0,IF(K27&lt;=1,0,MIN(G27*I27/12,K27-1)))),0)</x:f>
        <x:v>0</x:v>
      </x:c>
      <x:c r="M27" s="58" t="s">
        <x:v>18</x:v>
      </x:c>
    </x:row>
    <x:row r="28" ht="19.899999618530273" customHeight="1">
      <x:c r="A28" s="53">
        <x:f t="shared" si="4"/>
        <x:v>23</x:v>
      </x:c>
      <x:c r="B28" s="54" t="s">
        <x:v>19</x:v>
      </x:c>
      <x:c r="C28" s="54" t="s">
        <x:v>27</x:v>
      </x:c>
      <x:c r="D28" s="55">
        <x:v>45283</x:v>
      </x:c>
      <x:c r="E28" s="54" t="s">
        <x:v>37</x:v>
      </x:c>
      <x:c r="F28" s="54">
        <x:v>1</x:v>
      </x:c>
      <x:c r="G28" s="148">
        <x:v>190</x:v>
      </x:c>
      <x:c r="H28" s="148" t="n">
        <x:f t="shared" si="0">IFERROR(IF(OR($F$1="",D28=""),0,MAX(0,$F$1-D28)),0)</x:f>
        <x:v>1104</x:v>
      </x:c>
      <x:c r="I28" s="148">
        <x:v>0.33329999999999999</x:v>
      </x:c>
      <x:c r="J28" s="148" t="n">
        <x:f t="shared" si="1">IFERROR(IF(OR(G28="",G28&lt;=0,I28="",D28="",$F$1=""),0,IF($F$1&lt;D28,0,MIN(MAX(G28-1,0),MAX(0,(G28*I28/365)*H28)))),0)</x:f>
        <x:v>189</x:v>
      </x:c>
      <x:c r="K28" s="148" t="n">
        <x:f t="shared" si="2">IFERROR(IF(OR(G28="",G28&lt;=0),0,MAX(1,G28-J28)),0)</x:f>
        <x:v>1</x:v>
      </x:c>
      <x:c r="L28" s="148" t="n">
        <x:f t="shared" si="3">IFERROR(IF(OR(G28="",G28&lt;=0,I28="",D28="",$F$1=""),0,IF($F$1&lt;D28,0,IF(K28&lt;=1,0,MIN(G28*I28/12,K28-1)))),0)</x:f>
        <x:v>0</x:v>
      </x:c>
      <x:c r="M28" s="58" t="s">
        <x:v>18</x:v>
      </x:c>
    </x:row>
    <x:row r="29" ht="19.899999618530273" customHeight="1">
      <x:c r="A29" s="53">
        <x:f t="shared" si="4"/>
        <x:v>24</x:v>
      </x:c>
      <x:c r="B29" s="54" t="s">
        <x:v>19</x:v>
      </x:c>
      <x:c r="C29" s="54" t="s">
        <x:v>27</x:v>
      </x:c>
      <x:c r="D29" s="55">
        <x:v>45283</x:v>
      </x:c>
      <x:c r="E29" s="54" t="s">
        <x:v>37</x:v>
      </x:c>
      <x:c r="F29" s="54">
        <x:v>1</x:v>
      </x:c>
      <x:c r="G29" s="148">
        <x:v>190</x:v>
      </x:c>
      <x:c r="H29" s="148" t="n">
        <x:f t="shared" si="0">IFERROR(IF(OR($F$1="",D29=""),0,MAX(0,$F$1-D29)),0)</x:f>
        <x:v>1104</x:v>
      </x:c>
      <x:c r="I29" s="148">
        <x:v>0.33329999999999999</x:v>
      </x:c>
      <x:c r="J29" s="148" t="n">
        <x:f t="shared" si="1">IFERROR(IF(OR(G29="",G29&lt;=0,I29="",D29="",$F$1=""),0,IF($F$1&lt;D29,0,MIN(MAX(G29-1,0),MAX(0,(G29*I29/365)*H29)))),0)</x:f>
        <x:v>189</x:v>
      </x:c>
      <x:c r="K29" s="148" t="n">
        <x:f t="shared" si="2">IFERROR(IF(OR(G29="",G29&lt;=0),0,MAX(1,G29-J29)),0)</x:f>
        <x:v>1</x:v>
      </x:c>
      <x:c r="L29" s="148" t="n">
        <x:f t="shared" si="3">IFERROR(IF(OR(G29="",G29&lt;=0,I29="",D29="",$F$1=""),0,IF($F$1&lt;D29,0,IF(K29&lt;=1,0,MIN(G29*I29/12,K29-1)))),0)</x:f>
        <x:v>0</x:v>
      </x:c>
      <x:c r="M29" s="58" t="s">
        <x:v>18</x:v>
      </x:c>
    </x:row>
    <x:row r="30" ht="19.899999618530273" customHeight="1">
      <x:c r="A30" s="53">
        <x:f t="shared" si="4"/>
        <x:v>25</x:v>
      </x:c>
      <x:c r="B30" s="54" t="s">
        <x:v>19</x:v>
      </x:c>
      <x:c r="C30" s="54" t="s">
        <x:v>27</x:v>
      </x:c>
      <x:c r="D30" s="55">
        <x:v>45283</x:v>
      </x:c>
      <x:c r="E30" s="54" t="s">
        <x:v>37</x:v>
      </x:c>
      <x:c r="F30" s="54">
        <x:v>1</x:v>
      </x:c>
      <x:c r="G30" s="148">
        <x:v>190</x:v>
      </x:c>
      <x:c r="H30" s="148" t="n">
        <x:f t="shared" si="0">IFERROR(IF(OR($F$1="",D30=""),0,MAX(0,$F$1-D30)),0)</x:f>
        <x:v>1104</x:v>
      </x:c>
      <x:c r="I30" s="148">
        <x:v>0.33329999999999999</x:v>
      </x:c>
      <x:c r="J30" s="148" t="n">
        <x:f t="shared" si="1">IFERROR(IF(OR(G30="",G30&lt;=0,I30="",D30="",$F$1=""),0,IF($F$1&lt;D30,0,MIN(MAX(G30-1,0),MAX(0,(G30*I30/365)*H30)))),0)</x:f>
        <x:v>189</x:v>
      </x:c>
      <x:c r="K30" s="148" t="n">
        <x:f t="shared" si="2">IFERROR(IF(OR(G30="",G30&lt;=0),0,MAX(1,G30-J30)),0)</x:f>
        <x:v>1</x:v>
      </x:c>
      <x:c r="L30" s="148" t="n">
        <x:f t="shared" si="3">IFERROR(IF(OR(G30="",G30&lt;=0,I30="",D30="",$F$1=""),0,IF($F$1&lt;D30,0,IF(K30&lt;=1,0,MIN(G30*I30/12,K30-1)))),0)</x:f>
        <x:v>0</x:v>
      </x:c>
      <x:c r="M30" s="58" t="s">
        <x:v>18</x:v>
      </x:c>
    </x:row>
    <x:row r="31" ht="19.899999618530273" customHeight="1">
      <x:c r="A31" s="53">
        <x:f t="shared" si="4"/>
        <x:v>26</x:v>
      </x:c>
      <x:c r="B31" s="54" t="s">
        <x:v>19</x:v>
      </x:c>
      <x:c r="C31" s="54" t="s">
        <x:v>27</x:v>
      </x:c>
      <x:c r="D31" s="55">
        <x:v>45283</x:v>
      </x:c>
      <x:c r="E31" s="54" t="s">
        <x:v>37</x:v>
      </x:c>
      <x:c r="F31" s="54">
        <x:v>1</x:v>
      </x:c>
      <x:c r="G31" s="148">
        <x:v>190</x:v>
      </x:c>
      <x:c r="H31" s="148" t="n">
        <x:f t="shared" si="0">IFERROR(IF(OR($F$1="",D31=""),0,MAX(0,$F$1-D31)),0)</x:f>
        <x:v>1104</x:v>
      </x:c>
      <x:c r="I31" s="148">
        <x:v>0.33329999999999999</x:v>
      </x:c>
      <x:c r="J31" s="148" t="n">
        <x:f t="shared" si="1">IFERROR(IF(OR(G31="",G31&lt;=0,I31="",D31="",$F$1=""),0,IF($F$1&lt;D31,0,MIN(MAX(G31-1,0),MAX(0,(G31*I31/365)*H31)))),0)</x:f>
        <x:v>189</x:v>
      </x:c>
      <x:c r="K31" s="148" t="n">
        <x:f t="shared" si="2">IFERROR(IF(OR(G31="",G31&lt;=0),0,MAX(1,G31-J31)),0)</x:f>
        <x:v>1</x:v>
      </x:c>
      <x:c r="L31" s="148" t="n">
        <x:f t="shared" si="3">IFERROR(IF(OR(G31="",G31&lt;=0,I31="",D31="",$F$1=""),0,IF($F$1&lt;D31,0,IF(K31&lt;=1,0,MIN(G31*I31/12,K31-1)))),0)</x:f>
        <x:v>0</x:v>
      </x:c>
      <x:c r="M31" s="58" t="s">
        <x:v>18</x:v>
      </x:c>
    </x:row>
    <x:row r="32" ht="19.899999618530273" customHeight="1">
      <x:c r="A32" s="53">
        <x:f t="shared" si="4"/>
        <x:v>27</x:v>
      </x:c>
      <x:c r="B32" s="54" t="s">
        <x:v>19</x:v>
      </x:c>
      <x:c r="C32" s="54" t="s">
        <x:v>27</x:v>
      </x:c>
      <x:c r="D32" s="55">
        <x:v>45283</x:v>
      </x:c>
      <x:c r="E32" s="54" t="s">
        <x:v>37</x:v>
      </x:c>
      <x:c r="F32" s="54">
        <x:v>1</x:v>
      </x:c>
      <x:c r="G32" s="148">
        <x:v>190</x:v>
      </x:c>
      <x:c r="H32" s="148" t="n">
        <x:f t="shared" si="0">IFERROR(IF(OR($F$1="",D32=""),0,MAX(0,$F$1-D32)),0)</x:f>
        <x:v>1104</x:v>
      </x:c>
      <x:c r="I32" s="148">
        <x:v>0.33329999999999999</x:v>
      </x:c>
      <x:c r="J32" s="148" t="n">
        <x:f t="shared" si="1">IFERROR(IF(OR(G32="",G32&lt;=0,I32="",D32="",$F$1=""),0,IF($F$1&lt;D32,0,MIN(MAX(G32-1,0),MAX(0,(G32*I32/365)*H32)))),0)</x:f>
        <x:v>189</x:v>
      </x:c>
      <x:c r="K32" s="148" t="n">
        <x:f t="shared" si="2">IFERROR(IF(OR(G32="",G32&lt;=0),0,MAX(1,G32-J32)),0)</x:f>
        <x:v>1</x:v>
      </x:c>
      <x:c r="L32" s="148" t="n">
        <x:f t="shared" si="3">IFERROR(IF(OR(G32="",G32&lt;=0,I32="",D32="",$F$1=""),0,IF($F$1&lt;D32,0,IF(K32&lt;=1,0,MIN(G32*I32/12,K32-1)))),0)</x:f>
        <x:v>0</x:v>
      </x:c>
      <x:c r="M32" s="58" t="s">
        <x:v>18</x:v>
      </x:c>
    </x:row>
    <x:row r="33" ht="19.899999618530273" customHeight="1">
      <x:c r="A33" s="53">
        <x:f t="shared" si="4"/>
        <x:v>28</x:v>
      </x:c>
      <x:c r="B33" s="54" t="s">
        <x:v>19</x:v>
      </x:c>
      <x:c r="C33" s="54" t="s">
        <x:v>27</x:v>
      </x:c>
      <x:c r="D33" s="55">
        <x:v>45283</x:v>
      </x:c>
      <x:c r="E33" s="54" t="s">
        <x:v>37</x:v>
      </x:c>
      <x:c r="F33" s="54">
        <x:v>1</x:v>
      </x:c>
      <x:c r="G33" s="148">
        <x:v>190</x:v>
      </x:c>
      <x:c r="H33" s="148" t="n">
        <x:f t="shared" si="0">IFERROR(IF(OR($F$1="",D33=""),0,MAX(0,$F$1-D33)),0)</x:f>
        <x:v>1104</x:v>
      </x:c>
      <x:c r="I33" s="148">
        <x:v>0.33329999999999999</x:v>
      </x:c>
      <x:c r="J33" s="148" t="n">
        <x:f t="shared" si="1">IFERROR(IF(OR(G33="",G33&lt;=0,I33="",D33="",$F$1=""),0,IF($F$1&lt;D33,0,MIN(MAX(G33-1,0),MAX(0,(G33*I33/365)*H33)))),0)</x:f>
        <x:v>189</x:v>
      </x:c>
      <x:c r="K33" s="148" t="n">
        <x:f t="shared" si="2">IFERROR(IF(OR(G33="",G33&lt;=0),0,MAX(1,G33-J33)),0)</x:f>
        <x:v>1</x:v>
      </x:c>
      <x:c r="L33" s="148" t="n">
        <x:f t="shared" si="3">IFERROR(IF(OR(G33="",G33&lt;=0,I33="",D33="",$F$1=""),0,IF($F$1&lt;D33,0,IF(K33&lt;=1,0,MIN(G33*I33/12,K33-1)))),0)</x:f>
        <x:v>0</x:v>
      </x:c>
      <x:c r="M33" s="58" t="s">
        <x:v>18</x:v>
      </x:c>
    </x:row>
    <x:row r="34" ht="19.899999618530273" customHeight="1">
      <x:c r="A34" s="53">
        <x:f t="shared" si="4"/>
        <x:v>29</x:v>
      </x:c>
      <x:c r="B34" s="54" t="s">
        <x:v>19</x:v>
      </x:c>
      <x:c r="C34" s="54" t="s">
        <x:v>27</x:v>
      </x:c>
      <x:c r="D34" s="55">
        <x:v>45283</x:v>
      </x:c>
      <x:c r="E34" s="54" t="s">
        <x:v>37</x:v>
      </x:c>
      <x:c r="F34" s="54">
        <x:v>1</x:v>
      </x:c>
      <x:c r="G34" s="148">
        <x:v>190</x:v>
      </x:c>
      <x:c r="H34" s="148" t="n">
        <x:f t="shared" si="0">IFERROR(IF(OR($F$1="",D34=""),0,MAX(0,$F$1-D34)),0)</x:f>
        <x:v>1104</x:v>
      </x:c>
      <x:c r="I34" s="148">
        <x:v>0.33329999999999999</x:v>
      </x:c>
      <x:c r="J34" s="148" t="n">
        <x:f t="shared" si="1">IFERROR(IF(OR(G34="",G34&lt;=0,I34="",D34="",$F$1=""),0,IF($F$1&lt;D34,0,MIN(MAX(G34-1,0),MAX(0,(G34*I34/365)*H34)))),0)</x:f>
        <x:v>189</x:v>
      </x:c>
      <x:c r="K34" s="148" t="n">
        <x:f t="shared" si="2">IFERROR(IF(OR(G34="",G34&lt;=0),0,MAX(1,G34-J34)),0)</x:f>
        <x:v>1</x:v>
      </x:c>
      <x:c r="L34" s="148" t="n">
        <x:f t="shared" si="3">IFERROR(IF(OR(G34="",G34&lt;=0,I34="",D34="",$F$1=""),0,IF($F$1&lt;D34,0,IF(K34&lt;=1,0,MIN(G34*I34/12,K34-1)))),0)</x:f>
        <x:v>0</x:v>
      </x:c>
      <x:c r="M34" s="58" t="s">
        <x:v>18</x:v>
      </x:c>
    </x:row>
    <x:row r="35" ht="19.899999618530273" customHeight="1">
      <x:c r="A35" s="53">
        <x:f t="shared" si="4"/>
        <x:v>30</x:v>
      </x:c>
      <x:c r="B35" s="54" t="s">
        <x:v>19</x:v>
      </x:c>
      <x:c r="C35" s="54" t="s">
        <x:v>27</x:v>
      </x:c>
      <x:c r="D35" s="55">
        <x:v>45283</x:v>
      </x:c>
      <x:c r="E35" s="54" t="s">
        <x:v>37</x:v>
      </x:c>
      <x:c r="F35" s="54">
        <x:v>1</x:v>
      </x:c>
      <x:c r="G35" s="148">
        <x:v>190</x:v>
      </x:c>
      <x:c r="H35" s="148" t="n">
        <x:f t="shared" si="0">IFERROR(IF(OR($F$1="",D35=""),0,MAX(0,$F$1-D35)),0)</x:f>
        <x:v>1104</x:v>
      </x:c>
      <x:c r="I35" s="148">
        <x:v>0.33329999999999999</x:v>
      </x:c>
      <x:c r="J35" s="148" t="n">
        <x:f t="shared" si="1">IFERROR(IF(OR(G35="",G35&lt;=0,I35="",D35="",$F$1=""),0,IF($F$1&lt;D35,0,MIN(MAX(G35-1,0),MAX(0,(G35*I35/365)*H35)))),0)</x:f>
        <x:v>189</x:v>
      </x:c>
      <x:c r="K35" s="148" t="n">
        <x:f t="shared" si="2">IFERROR(IF(OR(G35="",G35&lt;=0),0,MAX(1,G35-J35)),0)</x:f>
        <x:v>1</x:v>
      </x:c>
      <x:c r="L35" s="148" t="n">
        <x:f t="shared" si="3">IFERROR(IF(OR(G35="",G35&lt;=0,I35="",D35="",$F$1=""),0,IF($F$1&lt;D35,0,IF(K35&lt;=1,0,MIN(G35*I35/12,K35-1)))),0)</x:f>
        <x:v>0</x:v>
      </x:c>
      <x:c r="M35" s="58" t="s">
        <x:v>18</x:v>
      </x:c>
    </x:row>
    <x:row r="36" ht="19.899999618530273" customHeight="1">
      <x:c r="A36" s="53">
        <x:f t="shared" si="4"/>
        <x:v>31</x:v>
      </x:c>
      <x:c r="B36" s="54" t="s">
        <x:v>19</x:v>
      </x:c>
      <x:c r="C36" s="54" t="s">
        <x:v>27</x:v>
      </x:c>
      <x:c r="D36" s="55">
        <x:v>45283</x:v>
      </x:c>
      <x:c r="E36" s="54" t="s">
        <x:v>37</x:v>
      </x:c>
      <x:c r="F36" s="54">
        <x:v>1</x:v>
      </x:c>
      <x:c r="G36" s="148">
        <x:v>190</x:v>
      </x:c>
      <x:c r="H36" s="148" t="n">
        <x:f t="shared" si="0">IFERROR(IF(OR($F$1="",D36=""),0,MAX(0,$F$1-D36)),0)</x:f>
        <x:v>1104</x:v>
      </x:c>
      <x:c r="I36" s="148">
        <x:v>0.33329999999999999</x:v>
      </x:c>
      <x:c r="J36" s="148" t="n">
        <x:f t="shared" si="1">IFERROR(IF(OR(G36="",G36&lt;=0,I36="",D36="",$F$1=""),0,IF($F$1&lt;D36,0,MIN(MAX(G36-1,0),MAX(0,(G36*I36/365)*H36)))),0)</x:f>
        <x:v>189</x:v>
      </x:c>
      <x:c r="K36" s="148" t="n">
        <x:f t="shared" si="2">IFERROR(IF(OR(G36="",G36&lt;=0),0,MAX(1,G36-J36)),0)</x:f>
        <x:v>1</x:v>
      </x:c>
      <x:c r="L36" s="148" t="n">
        <x:f t="shared" si="3">IFERROR(IF(OR(G36="",G36&lt;=0,I36="",D36="",$F$1=""),0,IF($F$1&lt;D36,0,IF(K36&lt;=1,0,MIN(G36*I36/12,K36-1)))),0)</x:f>
        <x:v>0</x:v>
      </x:c>
      <x:c r="M36" s="58" t="s">
        <x:v>18</x:v>
      </x:c>
    </x:row>
    <x:row r="37" ht="19.899999618530273" customHeight="1">
      <x:c r="A37" s="53">
        <x:f t="shared" si="4"/>
        <x:v>32</x:v>
      </x:c>
      <x:c r="B37" s="54" t="s">
        <x:v>19</x:v>
      </x:c>
      <x:c r="C37" s="54" t="s">
        <x:v>27</x:v>
      </x:c>
      <x:c r="D37" s="55">
        <x:v>45283</x:v>
      </x:c>
      <x:c r="E37" s="54" t="s">
        <x:v>37</x:v>
      </x:c>
      <x:c r="F37" s="54">
        <x:v>1</x:v>
      </x:c>
      <x:c r="G37" s="148">
        <x:v>190</x:v>
      </x:c>
      <x:c r="H37" s="148" t="n">
        <x:f t="shared" si="0">IFERROR(IF(OR($F$1="",D37=""),0,MAX(0,$F$1-D37)),0)</x:f>
        <x:v>1104</x:v>
      </x:c>
      <x:c r="I37" s="148">
        <x:v>0.33329999999999999</x:v>
      </x:c>
      <x:c r="J37" s="148" t="n">
        <x:f t="shared" si="1">IFERROR(IF(OR(G37="",G37&lt;=0,I37="",D37="",$F$1=""),0,IF($F$1&lt;D37,0,MIN(MAX(G37-1,0),MAX(0,(G37*I37/365)*H37)))),0)</x:f>
        <x:v>189</x:v>
      </x:c>
      <x:c r="K37" s="148" t="n">
        <x:f t="shared" si="2">IFERROR(IF(OR(G37="",G37&lt;=0),0,MAX(1,G37-J37)),0)</x:f>
        <x:v>1</x:v>
      </x:c>
      <x:c r="L37" s="148" t="n">
        <x:f t="shared" si="3">IFERROR(IF(OR(G37="",G37&lt;=0,I37="",D37="",$F$1=""),0,IF($F$1&lt;D37,0,IF(K37&lt;=1,0,MIN(G37*I37/12,K37-1)))),0)</x:f>
        <x:v>0</x:v>
      </x:c>
      <x:c r="M37" s="58" t="s">
        <x:v>18</x:v>
      </x:c>
    </x:row>
    <x:row r="38" ht="19.899999618530273" customHeight="1">
      <x:c r="A38" s="53">
        <x:f t="shared" si="4"/>
        <x:v>33</x:v>
      </x:c>
      <x:c r="B38" s="54" t="s">
        <x:v>19</x:v>
      </x:c>
      <x:c r="C38" s="54" t="s">
        <x:v>27</x:v>
      </x:c>
      <x:c r="D38" s="55">
        <x:v>45283</x:v>
      </x:c>
      <x:c r="E38" s="54" t="s">
        <x:v>37</x:v>
      </x:c>
      <x:c r="F38" s="54">
        <x:v>1</x:v>
      </x:c>
      <x:c r="G38" s="148">
        <x:v>190</x:v>
      </x:c>
      <x:c r="H38" s="148" t="n">
        <x:f t="shared" si="0">IFERROR(IF(OR($F$1="",D38=""),0,MAX(0,$F$1-D38)),0)</x:f>
        <x:v>1104</x:v>
      </x:c>
      <x:c r="I38" s="148">
        <x:v>0.33329999999999999</x:v>
      </x:c>
      <x:c r="J38" s="148" t="n">
        <x:f t="shared" si="1">IFERROR(IF(OR(G38="",G38&lt;=0,I38="",D38="",$F$1=""),0,IF($F$1&lt;D38,0,MIN(MAX(G38-1,0),MAX(0,(G38*I38/365)*H38)))),0)</x:f>
        <x:v>189</x:v>
      </x:c>
      <x:c r="K38" s="148" t="n">
        <x:f t="shared" si="2">IFERROR(IF(OR(G38="",G38&lt;=0),0,MAX(1,G38-J38)),0)</x:f>
        <x:v>1</x:v>
      </x:c>
      <x:c r="L38" s="148" t="n">
        <x:f t="shared" si="3">IFERROR(IF(OR(G38="",G38&lt;=0,I38="",D38="",$F$1=""),0,IF($F$1&lt;D38,0,IF(K38&lt;=1,0,MIN(G38*I38/12,K38-1)))),0)</x:f>
        <x:v>0</x:v>
      </x:c>
      <x:c r="M38" s="58" t="s">
        <x:v>18</x:v>
      </x:c>
    </x:row>
    <x:row r="39" ht="19.899999618530273" customHeight="1">
      <x:c r="A39" s="53">
        <x:f t="shared" si="4"/>
        <x:v>34</x:v>
      </x:c>
      <x:c r="B39" s="54" t="s">
        <x:v>19</x:v>
      </x:c>
      <x:c r="C39" s="54" t="s">
        <x:v>27</x:v>
      </x:c>
      <x:c r="D39" s="55">
        <x:v>45283</x:v>
      </x:c>
      <x:c r="E39" s="54" t="s">
        <x:v>37</x:v>
      </x:c>
      <x:c r="F39" s="54">
        <x:v>1</x:v>
      </x:c>
      <x:c r="G39" s="148">
        <x:v>190</x:v>
      </x:c>
      <x:c r="H39" s="148" t="n">
        <x:f t="shared" si="0">IFERROR(IF(OR($F$1="",D39=""),0,MAX(0,$F$1-D39)),0)</x:f>
        <x:v>1104</x:v>
      </x:c>
      <x:c r="I39" s="148">
        <x:v>0.33329999999999999</x:v>
      </x:c>
      <x:c r="J39" s="148" t="n">
        <x:f t="shared" si="1">IFERROR(IF(OR(G39="",G39&lt;=0,I39="",D39="",$F$1=""),0,IF($F$1&lt;D39,0,MIN(MAX(G39-1,0),MAX(0,(G39*I39/365)*H39)))),0)</x:f>
        <x:v>189</x:v>
      </x:c>
      <x:c r="K39" s="148" t="n">
        <x:f t="shared" si="2">IFERROR(IF(OR(G39="",G39&lt;=0),0,MAX(1,G39-J39)),0)</x:f>
        <x:v>1</x:v>
      </x:c>
      <x:c r="L39" s="148" t="n">
        <x:f t="shared" si="3">IFERROR(IF(OR(G39="",G39&lt;=0,I39="",D39="",$F$1=""),0,IF($F$1&lt;D39,0,IF(K39&lt;=1,0,MIN(G39*I39/12,K39-1)))),0)</x:f>
        <x:v>0</x:v>
      </x:c>
      <x:c r="M39" s="58" t="s">
        <x:v>18</x:v>
      </x:c>
    </x:row>
    <x:row r="40" ht="19.899999618530273" customHeight="1">
      <x:c r="A40" s="53">
        <x:f t="shared" si="4"/>
        <x:v>35</x:v>
      </x:c>
      <x:c r="B40" s="54" t="s">
        <x:v>19</x:v>
      </x:c>
      <x:c r="C40" s="54" t="s">
        <x:v>27</x:v>
      </x:c>
      <x:c r="D40" s="55">
        <x:v>45283</x:v>
      </x:c>
      <x:c r="E40" s="54" t="s">
        <x:v>37</x:v>
      </x:c>
      <x:c r="F40" s="54">
        <x:v>1</x:v>
      </x:c>
      <x:c r="G40" s="148">
        <x:v>190</x:v>
      </x:c>
      <x:c r="H40" s="148" t="n">
        <x:f t="shared" si="0">IFERROR(IF(OR($F$1="",D40=""),0,MAX(0,$F$1-D40)),0)</x:f>
        <x:v>1104</x:v>
      </x:c>
      <x:c r="I40" s="148">
        <x:v>0.33329999999999999</x:v>
      </x:c>
      <x:c r="J40" s="148" t="n">
        <x:f t="shared" si="1">IFERROR(IF(OR(G40="",G40&lt;=0,I40="",D40="",$F$1=""),0,IF($F$1&lt;D40,0,MIN(MAX(G40-1,0),MAX(0,(G40*I40/365)*H40)))),0)</x:f>
        <x:v>189</x:v>
      </x:c>
      <x:c r="K40" s="148" t="n">
        <x:f t="shared" si="2">IFERROR(IF(OR(G40="",G40&lt;=0),0,MAX(1,G40-J40)),0)</x:f>
        <x:v>1</x:v>
      </x:c>
      <x:c r="L40" s="148" t="n">
        <x:f t="shared" si="3">IFERROR(IF(OR(G40="",G40&lt;=0,I40="",D40="",$F$1=""),0,IF($F$1&lt;D40,0,IF(K40&lt;=1,0,MIN(G40*I40/12,K40-1)))),0)</x:f>
        <x:v>0</x:v>
      </x:c>
      <x:c r="M40" s="58" t="s">
        <x:v>18</x:v>
      </x:c>
    </x:row>
    <x:row r="41" ht="19.899999618530273" customHeight="1">
      <x:c r="A41" s="53">
        <x:f t="shared" si="4"/>
        <x:v>36</x:v>
      </x:c>
      <x:c r="B41" s="54" t="s">
        <x:v>19</x:v>
      </x:c>
      <x:c r="C41" s="54" t="s">
        <x:v>27</x:v>
      </x:c>
      <x:c r="D41" s="55">
        <x:v>45283</x:v>
      </x:c>
      <x:c r="E41" s="54" t="s">
        <x:v>37</x:v>
      </x:c>
      <x:c r="F41" s="54">
        <x:v>1</x:v>
      </x:c>
      <x:c r="G41" s="148">
        <x:v>190</x:v>
      </x:c>
      <x:c r="H41" s="148" t="n">
        <x:f t="shared" si="0">IFERROR(IF(OR($F$1="",D41=""),0,MAX(0,$F$1-D41)),0)</x:f>
        <x:v>1104</x:v>
      </x:c>
      <x:c r="I41" s="148">
        <x:v>0.33329999999999999</x:v>
      </x:c>
      <x:c r="J41" s="148" t="n">
        <x:f t="shared" si="1">IFERROR(IF(OR(G41="",G41&lt;=0,I41="",D41="",$F$1=""),0,IF($F$1&lt;D41,0,MIN(MAX(G41-1,0),MAX(0,(G41*I41/365)*H41)))),0)</x:f>
        <x:v>189</x:v>
      </x:c>
      <x:c r="K41" s="148" t="n">
        <x:f t="shared" si="2">IFERROR(IF(OR(G41="",G41&lt;=0),0,MAX(1,G41-J41)),0)</x:f>
        <x:v>1</x:v>
      </x:c>
      <x:c r="L41" s="148" t="n">
        <x:f t="shared" si="3">IFERROR(IF(OR(G41="",G41&lt;=0,I41="",D41="",$F$1=""),0,IF($F$1&lt;D41,0,IF(K41&lt;=1,0,MIN(G41*I41/12,K41-1)))),0)</x:f>
        <x:v>0</x:v>
      </x:c>
      <x:c r="M41" s="58" t="s">
        <x:v>18</x:v>
      </x:c>
    </x:row>
    <x:row r="42" ht="19.899999618530273" customHeight="1">
      <x:c r="A42" s="53">
        <x:f t="shared" si="4"/>
        <x:v>37</x:v>
      </x:c>
      <x:c r="B42" s="54" t="s">
        <x:v>19</x:v>
      </x:c>
      <x:c r="C42" s="54" t="s">
        <x:v>27</x:v>
      </x:c>
      <x:c r="D42" s="55">
        <x:v>45283</x:v>
      </x:c>
      <x:c r="E42" s="54" t="s">
        <x:v>37</x:v>
      </x:c>
      <x:c r="F42" s="54">
        <x:v>1</x:v>
      </x:c>
      <x:c r="G42" s="148">
        <x:v>190</x:v>
      </x:c>
      <x:c r="H42" s="148" t="n">
        <x:f t="shared" si="0">IFERROR(IF(OR($F$1="",D42=""),0,MAX(0,$F$1-D42)),0)</x:f>
        <x:v>1104</x:v>
      </x:c>
      <x:c r="I42" s="148">
        <x:v>0.33329999999999999</x:v>
      </x:c>
      <x:c r="J42" s="148" t="n">
        <x:f t="shared" si="1">IFERROR(IF(OR(G42="",G42&lt;=0,I42="",D42="",$F$1=""),0,IF($F$1&lt;D42,0,MIN(MAX(G42-1,0),MAX(0,(G42*I42/365)*H42)))),0)</x:f>
        <x:v>189</x:v>
      </x:c>
      <x:c r="K42" s="148" t="n">
        <x:f t="shared" si="2">IFERROR(IF(OR(G42="",G42&lt;=0),0,MAX(1,G42-J42)),0)</x:f>
        <x:v>1</x:v>
      </x:c>
      <x:c r="L42" s="148" t="n">
        <x:f t="shared" si="3">IFERROR(IF(OR(G42="",G42&lt;=0,I42="",D42="",$F$1=""),0,IF($F$1&lt;D42,0,IF(K42&lt;=1,0,MIN(G42*I42/12,K42-1)))),0)</x:f>
        <x:v>0</x:v>
      </x:c>
      <x:c r="M42" s="58" t="s">
        <x:v>18</x:v>
      </x:c>
    </x:row>
    <x:row r="43" ht="19.899999618530273" customHeight="1">
      <x:c r="A43" s="53">
        <x:f t="shared" si="4"/>
        <x:v>38</x:v>
      </x:c>
      <x:c r="B43" s="54" t="s">
        <x:v>19</x:v>
      </x:c>
      <x:c r="C43" s="54" t="s">
        <x:v>27</x:v>
      </x:c>
      <x:c r="D43" s="55">
        <x:v>45283</x:v>
      </x:c>
      <x:c r="E43" s="54" t="s">
        <x:v>37</x:v>
      </x:c>
      <x:c r="F43" s="54">
        <x:v>1</x:v>
      </x:c>
      <x:c r="G43" s="148">
        <x:v>190</x:v>
      </x:c>
      <x:c r="H43" s="148" t="n">
        <x:f t="shared" si="0">IFERROR(IF(OR($F$1="",D43=""),0,MAX(0,$F$1-D43)),0)</x:f>
        <x:v>1104</x:v>
      </x:c>
      <x:c r="I43" s="148">
        <x:v>0.33329999999999999</x:v>
      </x:c>
      <x:c r="J43" s="148" t="n">
        <x:f t="shared" si="1">IFERROR(IF(OR(G43="",G43&lt;=0,I43="",D43="",$F$1=""),0,IF($F$1&lt;D43,0,MIN(MAX(G43-1,0),MAX(0,(G43*I43/365)*H43)))),0)</x:f>
        <x:v>189</x:v>
      </x:c>
      <x:c r="K43" s="148" t="n">
        <x:f t="shared" si="2">IFERROR(IF(OR(G43="",G43&lt;=0),0,MAX(1,G43-J43)),0)</x:f>
        <x:v>1</x:v>
      </x:c>
      <x:c r="L43" s="148" t="n">
        <x:f t="shared" si="3">IFERROR(IF(OR(G43="",G43&lt;=0,I43="",D43="",$F$1=""),0,IF($F$1&lt;D43,0,IF(K43&lt;=1,0,MIN(G43*I43/12,K43-1)))),0)</x:f>
        <x:v>0</x:v>
      </x:c>
      <x:c r="M43" s="58" t="s">
        <x:v>18</x:v>
      </x:c>
    </x:row>
    <x:row r="44" ht="19.899999618530273" customHeight="1">
      <x:c r="A44" s="53">
        <x:f t="shared" si="4"/>
        <x:v>39</x:v>
      </x:c>
      <x:c r="B44" s="54" t="s">
        <x:v>19</x:v>
      </x:c>
      <x:c r="C44" s="54" t="s">
        <x:v>27</x:v>
      </x:c>
      <x:c r="D44" s="55">
        <x:v>45283</x:v>
      </x:c>
      <x:c r="E44" s="54" t="s">
        <x:v>38</x:v>
      </x:c>
      <x:c r="F44" s="54">
        <x:v>1</x:v>
      </x:c>
      <x:c r="G44" s="148">
        <x:v>550</x:v>
      </x:c>
      <x:c r="H44" s="148" t="n">
        <x:f t="shared" si="0">IFERROR(IF(OR($F$1="",D44=""),0,MAX(0,$F$1-D44)),0)</x:f>
        <x:v>1104</x:v>
      </x:c>
      <x:c r="I44" s="148">
        <x:v>0.33329999999999999</x:v>
      </x:c>
      <x:c r="J44" s="148" t="n">
        <x:f t="shared" si="1">IFERROR(IF(OR(G44="",G44&lt;=0,I44="",D44="",$F$1=""),0,IF($F$1&lt;D44,0,MIN(MAX(G44-1,0),MAX(0,(G44*I44/365)*H44)))),0)</x:f>
        <x:v>549</x:v>
      </x:c>
      <x:c r="K44" s="148" t="n">
        <x:f t="shared" si="2">IFERROR(IF(OR(G44="",G44&lt;=0),0,MAX(1,G44-J44)),0)</x:f>
        <x:v>1</x:v>
      </x:c>
      <x:c r="L44" s="148" t="n">
        <x:f t="shared" si="3">IFERROR(IF(OR(G44="",G44&lt;=0,I44="",D44="",$F$1=""),0,IF($F$1&lt;D44,0,IF(K44&lt;=1,0,MIN(G44*I44/12,K44-1)))),0)</x:f>
        <x:v>0</x:v>
      </x:c>
      <x:c r="M44" s="58" t="s">
        <x:v>18</x:v>
      </x:c>
    </x:row>
    <x:row r="45" ht="19.899999618530273" customHeight="1">
      <x:c r="A45" s="53">
        <x:f t="shared" si="4"/>
        <x:v>40</x:v>
      </x:c>
      <x:c r="B45" s="54" t="s">
        <x:v>19</x:v>
      </x:c>
      <x:c r="C45" s="54" t="s">
        <x:v>27</x:v>
      </x:c>
      <x:c r="D45" s="55">
        <x:v>45283</x:v>
      </x:c>
      <x:c r="E45" s="54" t="s">
        <x:v>39</x:v>
      </x:c>
      <x:c r="F45" s="54">
        <x:v>1</x:v>
      </x:c>
      <x:c r="G45" s="148">
        <x:v>340</x:v>
      </x:c>
      <x:c r="H45" s="148" t="n">
        <x:f t="shared" si="0">IFERROR(IF(OR($F$1="",D45=""),0,MAX(0,$F$1-D45)),0)</x:f>
        <x:v>1104</x:v>
      </x:c>
      <x:c r="I45" s="148">
        <x:v>0.33329999999999999</x:v>
      </x:c>
      <x:c r="J45" s="148" t="n">
        <x:f t="shared" si="1">IFERROR(IF(OR(G45="",G45&lt;=0,I45="",D45="",$F$1=""),0,IF($F$1&lt;D45,0,MIN(MAX(G45-1,0),MAX(0,(G45*I45/365)*H45)))),0)</x:f>
        <x:v>339</x:v>
      </x:c>
      <x:c r="K45" s="148" t="n">
        <x:f t="shared" si="2">IFERROR(IF(OR(G45="",G45&lt;=0),0,MAX(1,G45-J45)),0)</x:f>
        <x:v>1</x:v>
      </x:c>
      <x:c r="L45" s="148" t="n">
        <x:f t="shared" si="3">IFERROR(IF(OR(G45="",G45&lt;=0,I45="",D45="",$F$1=""),0,IF($F$1&lt;D45,0,IF(K45&lt;=1,0,MIN(G45*I45/12,K45-1)))),0)</x:f>
        <x:v>0</x:v>
      </x:c>
      <x:c r="M45" s="58" t="s">
        <x:v>18</x:v>
      </x:c>
    </x:row>
    <x:row r="46" ht="19.899999618530273" customHeight="1">
      <x:c r="A46" s="53">
        <x:f t="shared" si="4"/>
        <x:v>41</x:v>
      </x:c>
      <x:c r="B46" s="54" t="s">
        <x:v>19</x:v>
      </x:c>
      <x:c r="C46" s="54" t="s">
        <x:v>27</x:v>
      </x:c>
      <x:c r="D46" s="55">
        <x:v>45283</x:v>
      </x:c>
      <x:c r="E46" s="54" t="s">
        <x:v>39</x:v>
      </x:c>
      <x:c r="F46" s="54">
        <x:v>1</x:v>
      </x:c>
      <x:c r="G46" s="148">
        <x:v>340</x:v>
      </x:c>
      <x:c r="H46" s="148" t="n">
        <x:f t="shared" si="0">IFERROR(IF(OR($F$1="",D46=""),0,MAX(0,$F$1-D46)),0)</x:f>
        <x:v>1104</x:v>
      </x:c>
      <x:c r="I46" s="148">
        <x:v>0.33329999999999999</x:v>
      </x:c>
      <x:c r="J46" s="148" t="n">
        <x:f t="shared" si="1">IFERROR(IF(OR(G46="",G46&lt;=0,I46="",D46="",$F$1=""),0,IF($F$1&lt;D46,0,MIN(MAX(G46-1,0),MAX(0,(G46*I46/365)*H46)))),0)</x:f>
        <x:v>339</x:v>
      </x:c>
      <x:c r="K46" s="148" t="n">
        <x:f t="shared" si="2">IFERROR(IF(OR(G46="",G46&lt;=0),0,MAX(1,G46-J46)),0)</x:f>
        <x:v>1</x:v>
      </x:c>
      <x:c r="L46" s="148" t="n">
        <x:f t="shared" si="3">IFERROR(IF(OR(G46="",G46&lt;=0,I46="",D46="",$F$1=""),0,IF($F$1&lt;D46,0,IF(K46&lt;=1,0,MIN(G46*I46/12,K46-1)))),0)</x:f>
        <x:v>0</x:v>
      </x:c>
      <x:c r="M46" s="58" t="s">
        <x:v>18</x:v>
      </x:c>
    </x:row>
    <x:row r="47" ht="19.899999618530273" customHeight="1">
      <x:c r="A47" s="53">
        <x:f t="shared" si="4"/>
        <x:v>42</x:v>
      </x:c>
      <x:c r="B47" s="54" t="s">
        <x:v>19</x:v>
      </x:c>
      <x:c r="C47" s="54" t="s">
        <x:v>21</x:v>
      </x:c>
      <x:c r="D47" s="55">
        <x:v>45325</x:v>
      </x:c>
      <x:c r="E47" s="54" t="s">
        <x:v>40</x:v>
      </x:c>
      <x:c r="F47" s="54">
        <x:v>1</x:v>
      </x:c>
      <x:c r="G47" s="148">
        <x:v>10000</x:v>
      </x:c>
      <x:c r="H47" s="148" t="n">
        <x:f t="shared" si="0">IFERROR(IF(OR($F$1="",D47=""),0,MAX(0,$F$1-D47)),0)</x:f>
        <x:v>1062</x:v>
      </x:c>
      <x:c r="I47" s="148">
        <x:v>0.33329999999999999</x:v>
      </x:c>
      <x:c r="J47" s="148" t="n">
        <x:f t="shared" si="1">IFERROR(IF(OR(G47="",G47&lt;=0,I47="",D47="",$F$1=""),0,IF($F$1&lt;D47,0,MIN(MAX(G47-1,0),MAX(0,(G47*I47/365)*H47)))),0)</x:f>
        <x:v>9697.660273972602</x:v>
      </x:c>
      <x:c r="K47" s="148" t="n">
        <x:f t="shared" si="2">IFERROR(IF(OR(G47="",G47&lt;=0),0,MAX(1,G47-J47)),0)</x:f>
        <x:v>302.3397260273978</x:v>
      </x:c>
      <x:c r="L47" s="148" t="n">
        <x:f t="shared" si="3">IFERROR(IF(OR(G47="",G47&lt;=0,I47="",D47="",$F$1=""),0,IF($F$1&lt;D47,0,IF(K47&lt;=1,0,MIN(G47*I47/12,K47-1)))),0)</x:f>
        <x:v>277.75</x:v>
      </x:c>
      <x:c r="M47" s="58" t="s">
        <x:v>18</x:v>
      </x:c>
    </x:row>
    <x:row r="48" ht="19.899999618530273" customHeight="1">
      <x:c r="A48" s="53">
        <x:f t="shared" si="4"/>
        <x:v>43</x:v>
      </x:c>
      <x:c r="B48" s="54" t="s">
        <x:v>19</x:v>
      </x:c>
      <x:c r="C48" s="54" t="s">
        <x:v>41</x:v>
      </x:c>
      <x:c r="D48" s="55">
        <x:v>45505</x:v>
      </x:c>
      <x:c r="E48" s="54" t="s">
        <x:v>42</x:v>
      </x:c>
      <x:c r="F48" s="54">
        <x:v>1</x:v>
      </x:c>
      <x:c r="G48" s="148">
        <x:v>281780</x:v>
      </x:c>
      <x:c r="H48" s="148" t="n">
        <x:f t="shared" si="0">IFERROR(IF(OR($F$1="",D48=""),0,MAX(0,$F$1-D48)),0)</x:f>
        <x:v>882</x:v>
      </x:c>
      <x:c r="I48" s="148">
        <x:v>0.15</x:v>
      </x:c>
      <x:c r="J48" s="148" t="n">
        <x:f t="shared" si="1">IFERROR(IF(OR(G48="",G48&lt;=0,I48="",D48="",$F$1=""),0,IF($F$1&lt;D48,0,MIN(MAX(G48-1,0),MAX(0,(G48*I48/365)*H48)))),0)</x:f>
        <x:v>102135.59999999999</x:v>
      </x:c>
      <x:c r="K48" s="148" t="n">
        <x:f t="shared" si="2">IFERROR(IF(OR(G48="",G48&lt;=0),0,MAX(1,G48-J48)),0)</x:f>
        <x:v>179644.40000000002</x:v>
      </x:c>
      <x:c r="L48" s="148" t="n">
        <x:f t="shared" si="3">IFERROR(IF(OR(G48="",G48&lt;=0,I48="",D48="",$F$1=""),0,IF($F$1&lt;D48,0,IF(K48&lt;=1,0,MIN(G48*I48/12,K48-1)))),0)</x:f>
        <x:v>3522.25</x:v>
      </x:c>
      <x:c r="M48" s="58" t="s">
        <x:v>18</x:v>
      </x:c>
    </x:row>
    <x:row r="49" ht="19.899999618530273" customHeight="1">
      <x:c r="A49" s="53">
        <x:f t="shared" si="4"/>
        <x:v>44</x:v>
      </x:c>
      <x:c r="B49" s="54" t="s">
        <x:v>19</x:v>
      </x:c>
      <x:c r="C49" s="54" t="s">
        <x:v>43</x:v>
      </x:c>
      <x:c r="D49" s="55">
        <x:v>45566</x:v>
      </x:c>
      <x:c r="E49" s="54" t="s">
        <x:v>44</x:v>
      </x:c>
      <x:c r="F49" s="54">
        <x:v>1</x:v>
      </x:c>
      <x:c r="G49" s="148">
        <x:v>17478.259999999998</x:v>
      </x:c>
      <x:c r="H49" s="148" t="n">
        <x:f t="shared" si="0">IFERROR(IF(OR($F$1="",D49=""),0,MAX(0,$F$1-D49)),0)</x:f>
        <x:v>821</x:v>
      </x:c>
      <x:c r="I49" s="148">
        <x:v>0.2</x:v>
      </x:c>
      <x:c r="J49" s="148" t="n">
        <x:f t="shared" si="1">IFERROR(IF(OR(G49="",G49&lt;=0,I49="",D49="",$F$1=""),0,IF($F$1&lt;D49,0,MIN(MAX(G49-1,0),MAX(0,(G49*I49/365)*H49)))),0)</x:f>
        <x:v>7862.822717808219</x:v>
      </x:c>
      <x:c r="K49" s="148" t="n">
        <x:f t="shared" si="2">IFERROR(IF(OR(G49="",G49&lt;=0),0,MAX(1,G49-J49)),0)</x:f>
        <x:v>9615.437282191779</x:v>
      </x:c>
      <x:c r="L49" s="148" t="n">
        <x:f t="shared" si="3">IFERROR(IF(OR(G49="",G49&lt;=0,I49="",D49="",$F$1=""),0,IF($F$1&lt;D49,0,IF(K49&lt;=1,0,MIN(G49*I49/12,K49-1)))),0)</x:f>
        <x:v>291.3043333333333</x:v>
      </x:c>
      <x:c r="M49" s="58" t="s">
        <x:v>18</x:v>
      </x:c>
    </x:row>
    <x:row r="50" ht="19.899999618530273" customHeight="1">
      <x:c r="A50" s="53">
        <x:f t="shared" si="4"/>
        <x:v>45</x:v>
      </x:c>
      <x:c r="B50" s="54" t="s">
        <x:v>19</x:v>
      </x:c>
      <x:c r="C50" s="54" t="s">
        <x:v>43</x:v>
      </x:c>
      <x:c r="D50" s="55">
        <x:v>45566</x:v>
      </x:c>
      <x:c r="E50" s="54" t="s">
        <x:v>45</x:v>
      </x:c>
      <x:c r="F50" s="54">
        <x:v>1</x:v>
      </x:c>
      <x:c r="G50" s="148">
        <x:v>5209.8</x:v>
      </x:c>
      <x:c r="H50" s="148" t="n">
        <x:f t="shared" si="0">IFERROR(IF(OR($F$1="",D50=""),0,MAX(0,$F$1-D50)),0)</x:f>
        <x:v>821</x:v>
      </x:c>
      <x:c r="I50" s="148">
        <x:v>0.2</x:v>
      </x:c>
      <x:c r="J50" s="148" t="n">
        <x:f t="shared" si="1">IFERROR(IF(OR(G50="",G50&lt;=0,I50="",D50="",$F$1=""),0,IF($F$1&lt;D50,0,MIN(MAX(G50-1,0),MAX(0,(G50*I50/365)*H50)))),0)</x:f>
        <x:v>2343.6963287671233</x:v>
      </x:c>
      <x:c r="K50" s="148" t="n">
        <x:f t="shared" si="2">IFERROR(IF(OR(G50="",G50&lt;=0),0,MAX(1,G50-J50)),0)</x:f>
        <x:v>2866.103671232877</x:v>
      </x:c>
      <x:c r="L50" s="148" t="n">
        <x:f t="shared" si="3">IFERROR(IF(OR(G50="",G50&lt;=0,I50="",D50="",$F$1=""),0,IF($F$1&lt;D50,0,IF(K50&lt;=1,0,MIN(G50*I50/12,K50-1)))),0)</x:f>
        <x:v>86.83</x:v>
      </x:c>
      <x:c r="M50" s="58" t="s">
        <x:v>18</x:v>
      </x:c>
    </x:row>
    <x:row r="51" ht="19.899999618530273" customHeight="1">
      <x:c r="A51" s="53">
        <x:f t="shared" si="4"/>
        <x:v>46</x:v>
      </x:c>
      <x:c r="B51" s="54" t="s">
        <x:v>46</x:v>
      </x:c>
      <x:c r="C51" s="54" t="s">
        <x:v>27</x:v>
      </x:c>
      <x:c r="D51" s="55">
        <x:v>45413</x:v>
      </x:c>
      <x:c r="E51" s="54" t="s">
        <x:v>47</x:v>
      </x:c>
      <x:c r="F51" s="54">
        <x:v>1</x:v>
      </x:c>
      <x:c r="G51" s="148">
        <x:v>520</x:v>
      </x:c>
      <x:c r="H51" s="148" t="n">
        <x:f t="shared" si="0">IFERROR(IF(OR($F$1="",D51=""),0,MAX(0,$F$1-D51)),0)</x:f>
        <x:v>974</x:v>
      </x:c>
      <x:c r="I51" s="148">
        <x:v>0.33329999999999999</x:v>
      </x:c>
      <x:c r="J51" s="148" t="n">
        <x:f t="shared" si="1">IFERROR(IF(OR(G51="",G51&lt;=0,I51="",D51="",$F$1=""),0,IF($F$1&lt;D51,0,MIN(MAX(G51-1,0),MAX(0,(G51*I51/365)*H51)))),0)</x:f>
        <x:v>462.4925589041096</x:v>
      </x:c>
      <x:c r="K51" s="148" t="n">
        <x:f t="shared" si="2">IFERROR(IF(OR(G51="",G51&lt;=0),0,MAX(1,G51-J51)),0)</x:f>
        <x:v>57.507441095890385</x:v>
      </x:c>
      <x:c r="L51" s="148" t="n">
        <x:f t="shared" si="3">IFERROR(IF(OR(G51="",G51&lt;=0,I51="",D51="",$F$1=""),0,IF($F$1&lt;D51,0,IF(K51&lt;=1,0,MIN(G51*I51/12,K51-1)))),0)</x:f>
        <x:v>14.443</x:v>
      </x:c>
      <x:c r="M51" s="58" t="s">
        <x:v>18</x:v>
      </x:c>
    </x:row>
    <x:row r="52" ht="19.899999618530273" customHeight="1">
      <x:c r="A52" s="53">
        <x:f t="shared" si="4"/>
        <x:v>47</x:v>
      </x:c>
      <x:c r="B52" s="54" t="s">
        <x:v>46</x:v>
      </x:c>
      <x:c r="C52" s="54" t="s">
        <x:v>23</x:v>
      </x:c>
      <x:c r="D52" s="55">
        <x:v>44470</x:v>
      </x:c>
      <x:c r="E52" s="54" t="s">
        <x:v>48</x:v>
      </x:c>
      <x:c r="F52" s="54">
        <x:v>1</x:v>
      </x:c>
      <x:c r="G52" s="148">
        <x:v>384000</x:v>
      </x:c>
      <x:c r="H52" s="148" t="n">
        <x:f t="shared" si="0">IFERROR(IF(OR($F$1="",D52=""),0,MAX(0,$F$1-D52)),0)</x:f>
        <x:v>1917</x:v>
      </x:c>
      <x:c r="I52" s="148">
        <x:v>0.2</x:v>
      </x:c>
      <x:c r="J52" s="148" t="n">
        <x:f t="shared" si="1">IFERROR(IF(OR(G52="",G52&lt;=0,I52="",D52="",$F$1=""),0,IF($F$1&lt;D52,0,MIN(MAX(G52-1,0),MAX(0,(G52*I52/365)*H52)))),0)</x:f>
        <x:v>383999</x:v>
      </x:c>
      <x:c r="K52" s="148" t="n">
        <x:f t="shared" si="2">IFERROR(IF(OR(G52="",G52&lt;=0),0,MAX(1,G52-J52)),0)</x:f>
        <x:v>1</x:v>
      </x:c>
      <x:c r="L52" s="148" t="n">
        <x:f t="shared" si="3">IFERROR(IF(OR(G52="",G52&lt;=0,I52="",D52="",$F$1=""),0,IF($F$1&lt;D52,0,IF(K52&lt;=1,0,MIN(G52*I52/12,K52-1)))),0)</x:f>
        <x:v>0</x:v>
      </x:c>
      <x:c r="M52" s="58" t="s">
        <x:v>18</x:v>
      </x:c>
    </x:row>
    <x:row r="53" ht="19.899999618530273" customHeight="1">
      <x:c r="A53" s="53">
        <x:f t="shared" si="4"/>
        <x:v>48</x:v>
      </x:c>
      <x:c r="B53" s="54" t="s">
        <x:v>46</x:v>
      </x:c>
      <x:c r="C53" s="54" t="s">
        <x:v>23</x:v>
      </x:c>
      <x:c r="D53" s="55">
        <x:v>44470</x:v>
      </x:c>
      <x:c r="E53" s="54" t="s">
        <x:v>49</x:v>
      </x:c>
      <x:c r="F53" s="54">
        <x:v>1</x:v>
      </x:c>
      <x:c r="G53" s="148">
        <x:v>70000</x:v>
      </x:c>
      <x:c r="H53" s="148" t="n">
        <x:f t="shared" si="0">IFERROR(IF(OR($F$1="",D53=""),0,MAX(0,$F$1-D53)),0)</x:f>
        <x:v>1917</x:v>
      </x:c>
      <x:c r="I53" s="148">
        <x:v>0.2</x:v>
      </x:c>
      <x:c r="J53" s="148" t="n">
        <x:f t="shared" si="1">IFERROR(IF(OR(G53="",G53&lt;=0,I53="",D53="",$F$1=""),0,IF($F$1&lt;D53,0,MIN(MAX(G53-1,0),MAX(0,(G53*I53/365)*H53)))),0)</x:f>
        <x:v>69999</x:v>
      </x:c>
      <x:c r="K53" s="148" t="n">
        <x:f t="shared" si="2">IFERROR(IF(OR(G53="",G53&lt;=0),0,MAX(1,G53-J53)),0)</x:f>
        <x:v>1</x:v>
      </x:c>
      <x:c r="L53" s="148" t="n">
        <x:f t="shared" si="3">IFERROR(IF(OR(G53="",G53&lt;=0,I53="",D53="",$F$1=""),0,IF($F$1&lt;D53,0,IF(K53&lt;=1,0,MIN(G53*I53/12,K53-1)))),0)</x:f>
        <x:v>0</x:v>
      </x:c>
      <x:c r="M53" s="58" t="s">
        <x:v>18</x:v>
      </x:c>
    </x:row>
    <x:row r="54" ht="19.899999618530273" customHeight="1">
      <x:c r="A54" s="53">
        <x:f t="shared" si="4"/>
        <x:v>49</x:v>
      </x:c>
      <x:c r="B54" s="54" t="s">
        <x:v>46</x:v>
      </x:c>
      <x:c r="C54" s="54" t="s">
        <x:v>23</x:v>
      </x:c>
      <x:c r="D54" s="55">
        <x:v>44501</x:v>
      </x:c>
      <x:c r="E54" s="54" t="s">
        <x:v>50</x:v>
      </x:c>
      <x:c r="F54" s="54">
        <x:v>1</x:v>
      </x:c>
      <x:c r="G54" s="148">
        <x:v>22000</x:v>
      </x:c>
      <x:c r="H54" s="148" t="n">
        <x:f t="shared" si="0">IFERROR(IF(OR($F$1="",D54=""),0,MAX(0,$F$1-D54)),0)</x:f>
        <x:v>1886</x:v>
      </x:c>
      <x:c r="I54" s="148">
        <x:v>0.2</x:v>
      </x:c>
      <x:c r="J54" s="148" t="n">
        <x:f t="shared" si="1">IFERROR(IF(OR(G54="",G54&lt;=0,I54="",D54="",$F$1=""),0,IF($F$1&lt;D54,0,MIN(MAX(G54-1,0),MAX(0,(G54*I54/365)*H54)))),0)</x:f>
        <x:v>21999</x:v>
      </x:c>
      <x:c r="K54" s="148" t="n">
        <x:f t="shared" si="2">IFERROR(IF(OR(G54="",G54&lt;=0),0,MAX(1,G54-J54)),0)</x:f>
        <x:v>1</x:v>
      </x:c>
      <x:c r="L54" s="148" t="n">
        <x:f t="shared" si="3">IFERROR(IF(OR(G54="",G54&lt;=0,I54="",D54="",$F$1=""),0,IF($F$1&lt;D54,0,IF(K54&lt;=1,0,MIN(G54*I54/12,K54-1)))),0)</x:f>
        <x:v>0</x:v>
      </x:c>
      <x:c r="M54" s="58" t="s">
        <x:v>18</x:v>
      </x:c>
    </x:row>
    <x:row r="55" ht="19.899999618530273" customHeight="1">
      <x:c r="A55" s="53">
        <x:f t="shared" si="4"/>
        <x:v>50</x:v>
      </x:c>
      <x:c r="B55" s="54" t="s">
        <x:v>46</x:v>
      </x:c>
      <x:c r="C55" s="54" t="s">
        <x:v>27</x:v>
      </x:c>
      <x:c r="D55" s="55">
        <x:v>44562</x:v>
      </x:c>
      <x:c r="E55" s="54" t="s">
        <x:v>51</x:v>
      </x:c>
      <x:c r="F55" s="54">
        <x:v>1</x:v>
      </x:c>
      <x:c r="G55" s="148">
        <x:v>1890</x:v>
      </x:c>
      <x:c r="H55" s="148" t="n">
        <x:f t="shared" si="0">IFERROR(IF(OR($F$1="",D55=""),0,MAX(0,$F$1-D55)),0)</x:f>
        <x:v>1825</x:v>
      </x:c>
      <x:c r="I55" s="148">
        <x:v>0.33329999999999999</x:v>
      </x:c>
      <x:c r="J55" s="148" t="n">
        <x:f t="shared" si="1">IFERROR(IF(OR(G55="",G55&lt;=0,I55="",D55="",$F$1=""),0,IF($F$1&lt;D55,0,MIN(MAX(G55-1,0),MAX(0,(G55*I55/365)*H55)))),0)</x:f>
        <x:v>1889</x:v>
      </x:c>
      <x:c r="K55" s="148" t="n">
        <x:f t="shared" si="2">IFERROR(IF(OR(G55="",G55&lt;=0),0,MAX(1,G55-J55)),0)</x:f>
        <x:v>1</x:v>
      </x:c>
      <x:c r="L55" s="148" t="n">
        <x:f t="shared" si="3">IFERROR(IF(OR(G55="",G55&lt;=0,I55="",D55="",$F$1=""),0,IF($F$1&lt;D55,0,IF(K55&lt;=1,0,MIN(G55*I55/12,K55-1)))),0)</x:f>
        <x:v>0</x:v>
      </x:c>
      <x:c r="M55" s="58" t="s">
        <x:v>18</x:v>
      </x:c>
    </x:row>
    <x:row r="56" ht="19.899999618530273" customHeight="1">
      <x:c r="A56" s="53">
        <x:f t="shared" si="4"/>
        <x:v>51</x:v>
      </x:c>
      <x:c r="B56" s="54" t="s">
        <x:v>46</x:v>
      </x:c>
      <x:c r="C56" s="54" t="s">
        <x:v>27</x:v>
      </x:c>
      <x:c r="D56" s="55">
        <x:v>44562</x:v>
      </x:c>
      <x:c r="E56" s="54" t="s">
        <x:v>52</x:v>
      </x:c>
      <x:c r="F56" s="54">
        <x:v>1</x:v>
      </x:c>
      <x:c r="G56" s="148">
        <x:v>850</x:v>
      </x:c>
      <x:c r="H56" s="148" t="n">
        <x:f t="shared" si="0">IFERROR(IF(OR($F$1="",D56=""),0,MAX(0,$F$1-D56)),0)</x:f>
        <x:v>1825</x:v>
      </x:c>
      <x:c r="I56" s="148">
        <x:v>0.33329999999999999</x:v>
      </x:c>
      <x:c r="J56" s="148" t="n">
        <x:f t="shared" si="1">IFERROR(IF(OR(G56="",G56&lt;=0,I56="",D56="",$F$1=""),0,IF($F$1&lt;D56,0,MIN(MAX(G56-1,0),MAX(0,(G56*I56/365)*H56)))),0)</x:f>
        <x:v>849</x:v>
      </x:c>
      <x:c r="K56" s="148" t="n">
        <x:f t="shared" si="2">IFERROR(IF(OR(G56="",G56&lt;=0),0,MAX(1,G56-J56)),0)</x:f>
        <x:v>1</x:v>
      </x:c>
      <x:c r="L56" s="148" t="n">
        <x:f t="shared" si="3">IFERROR(IF(OR(G56="",G56&lt;=0,I56="",D56="",$F$1=""),0,IF($F$1&lt;D56,0,IF(K56&lt;=1,0,MIN(G56*I56/12,K56-1)))),0)</x:f>
        <x:v>0</x:v>
      </x:c>
      <x:c r="M56" s="58" t="s">
        <x:v>18</x:v>
      </x:c>
    </x:row>
    <x:row r="57" ht="19.899999618530273" customHeight="1">
      <x:c r="A57" s="53">
        <x:f t="shared" si="4"/>
        <x:v>52</x:v>
      </x:c>
      <x:c r="B57" s="54" t="s">
        <x:v>46</x:v>
      </x:c>
      <x:c r="C57" s="54" t="s">
        <x:v>27</x:v>
      </x:c>
      <x:c r="D57" s="55">
        <x:v>44562</x:v>
      </x:c>
      <x:c r="E57" s="54" t="s">
        <x:v>53</x:v>
      </x:c>
      <x:c r="F57" s="54">
        <x:v>1</x:v>
      </x:c>
      <x:c r="G57" s="148">
        <x:v>600</x:v>
      </x:c>
      <x:c r="H57" s="148" t="n">
        <x:f t="shared" si="0">IFERROR(IF(OR($F$1="",D57=""),0,MAX(0,$F$1-D57)),0)</x:f>
        <x:v>1825</x:v>
      </x:c>
      <x:c r="I57" s="148">
        <x:v>0.33329999999999999</x:v>
      </x:c>
      <x:c r="J57" s="148" t="n">
        <x:f t="shared" si="1">IFERROR(IF(OR(G57="",G57&lt;=0,I57="",D57="",$F$1=""),0,IF($F$1&lt;D57,0,MIN(MAX(G57-1,0),MAX(0,(G57*I57/365)*H57)))),0)</x:f>
        <x:v>599</x:v>
      </x:c>
      <x:c r="K57" s="148" t="n">
        <x:f t="shared" si="2">IFERROR(IF(OR(G57="",G57&lt;=0),0,MAX(1,G57-J57)),0)</x:f>
        <x:v>1</x:v>
      </x:c>
      <x:c r="L57" s="148" t="n">
        <x:f t="shared" si="3">IFERROR(IF(OR(G57="",G57&lt;=0,I57="",D57="",$F$1=""),0,IF($F$1&lt;D57,0,IF(K57&lt;=1,0,MIN(G57*I57/12,K57-1)))),0)</x:f>
        <x:v>0</x:v>
      </x:c>
      <x:c r="M57" s="58" t="s">
        <x:v>18</x:v>
      </x:c>
    </x:row>
    <x:row r="58" ht="19.899999618530273" customHeight="1">
      <x:c r="A58" s="53">
        <x:f t="shared" si="4"/>
        <x:v>53</x:v>
      </x:c>
      <x:c r="B58" s="54" t="s">
        <x:v>46</x:v>
      </x:c>
      <x:c r="C58" s="54" t="s">
        <x:v>27</x:v>
      </x:c>
      <x:c r="D58" s="55">
        <x:v>44562</x:v>
      </x:c>
      <x:c r="E58" s="54" t="s">
        <x:v>54</x:v>
      </x:c>
      <x:c r="F58" s="54">
        <x:v>1</x:v>
      </x:c>
      <x:c r="G58" s="148">
        <x:v>470</x:v>
      </x:c>
      <x:c r="H58" s="148" t="n">
        <x:f t="shared" si="0">IFERROR(IF(OR($F$1="",D58=""),0,MAX(0,$F$1-D58)),0)</x:f>
        <x:v>1825</x:v>
      </x:c>
      <x:c r="I58" s="148">
        <x:v>0.33329999999999999</x:v>
      </x:c>
      <x:c r="J58" s="148" t="n">
        <x:f t="shared" si="1">IFERROR(IF(OR(G58="",G58&lt;=0,I58="",D58="",$F$1=""),0,IF($F$1&lt;D58,0,MIN(MAX(G58-1,0),MAX(0,(G58*I58/365)*H58)))),0)</x:f>
        <x:v>469</x:v>
      </x:c>
      <x:c r="K58" s="148" t="n">
        <x:f t="shared" si="2">IFERROR(IF(OR(G58="",G58&lt;=0),0,MAX(1,G58-J58)),0)</x:f>
        <x:v>1</x:v>
      </x:c>
      <x:c r="L58" s="148" t="n">
        <x:f t="shared" si="3">IFERROR(IF(OR(G58="",G58&lt;=0,I58="",D58="",$F$1=""),0,IF($F$1&lt;D58,0,IF(K58&lt;=1,0,MIN(G58*I58/12,K58-1)))),0)</x:f>
        <x:v>0</x:v>
      </x:c>
      <x:c r="M58" s="58" t="s">
        <x:v>18</x:v>
      </x:c>
    </x:row>
    <x:row r="59" ht="19.899999618530273" customHeight="1">
      <x:c r="A59" s="53">
        <x:f t="shared" si="4"/>
        <x:v>54</x:v>
      </x:c>
      <x:c r="B59" s="54" t="s">
        <x:v>46</x:v>
      </x:c>
      <x:c r="C59" s="54" t="s">
        <x:v>27</x:v>
      </x:c>
      <x:c r="D59" s="55">
        <x:v>44562</x:v>
      </x:c>
      <x:c r="E59" s="54" t="s">
        <x:v>55</x:v>
      </x:c>
      <x:c r="F59" s="54">
        <x:v>1</x:v>
      </x:c>
      <x:c r="G59" s="148">
        <x:v>700</x:v>
      </x:c>
      <x:c r="H59" s="148" t="n">
        <x:f t="shared" si="0">IFERROR(IF(OR($F$1="",D59=""),0,MAX(0,$F$1-D59)),0)</x:f>
        <x:v>1825</x:v>
      </x:c>
      <x:c r="I59" s="148">
        <x:v>0.33329999999999999</x:v>
      </x:c>
      <x:c r="J59" s="148" t="n">
        <x:f t="shared" si="1">IFERROR(IF(OR(G59="",G59&lt;=0,I59="",D59="",$F$1=""),0,IF($F$1&lt;D59,0,MIN(MAX(G59-1,0),MAX(0,(G59*I59/365)*H59)))),0)</x:f>
        <x:v>699</x:v>
      </x:c>
      <x:c r="K59" s="148" t="n">
        <x:f t="shared" si="2">IFERROR(IF(OR(G59="",G59&lt;=0),0,MAX(1,G59-J59)),0)</x:f>
        <x:v>1</x:v>
      </x:c>
      <x:c r="L59" s="148" t="n">
        <x:f t="shared" si="3">IFERROR(IF(OR(G59="",G59&lt;=0,I59="",D59="",$F$1=""),0,IF($F$1&lt;D59,0,IF(K59&lt;=1,0,MIN(G59*I59/12,K59-1)))),0)</x:f>
        <x:v>0</x:v>
      </x:c>
      <x:c r="M59" s="58" t="s">
        <x:v>18</x:v>
      </x:c>
    </x:row>
    <x:row r="60" ht="19.899999618530273" customHeight="1">
      <x:c r="A60" s="53">
        <x:f t="shared" si="4"/>
        <x:v>55</x:v>
      </x:c>
      <x:c r="B60" s="54" t="s">
        <x:v>46</x:v>
      </x:c>
      <x:c r="C60" s="54" t="s">
        <x:v>27</x:v>
      </x:c>
      <x:c r="D60" s="55">
        <x:v>44562</x:v>
      </x:c>
      <x:c r="E60" s="54" t="s">
        <x:v>56</x:v>
      </x:c>
      <x:c r="F60" s="54">
        <x:v>1</x:v>
      </x:c>
      <x:c r="G60" s="148">
        <x:v>470</x:v>
      </x:c>
      <x:c r="H60" s="148" t="n">
        <x:f t="shared" si="0">IFERROR(IF(OR($F$1="",D60=""),0,MAX(0,$F$1-D60)),0)</x:f>
        <x:v>1825</x:v>
      </x:c>
      <x:c r="I60" s="148">
        <x:v>0.33329999999999999</x:v>
      </x:c>
      <x:c r="J60" s="148" t="n">
        <x:f t="shared" si="1">IFERROR(IF(OR(G60="",G60&lt;=0,I60="",D60="",$F$1=""),0,IF($F$1&lt;D60,0,MIN(MAX(G60-1,0),MAX(0,(G60*I60/365)*H60)))),0)</x:f>
        <x:v>469</x:v>
      </x:c>
      <x:c r="K60" s="148" t="n">
        <x:f t="shared" si="2">IFERROR(IF(OR(G60="",G60&lt;=0),0,MAX(1,G60-J60)),0)</x:f>
        <x:v>1</x:v>
      </x:c>
      <x:c r="L60" s="148" t="n">
        <x:f t="shared" si="3">IFERROR(IF(OR(G60="",G60&lt;=0,I60="",D60="",$F$1=""),0,IF($F$1&lt;D60,0,IF(K60&lt;=1,0,MIN(G60*I60/12,K60-1)))),0)</x:f>
        <x:v>0</x:v>
      </x:c>
      <x:c r="M60" s="58" t="s">
        <x:v>18</x:v>
      </x:c>
    </x:row>
    <x:row r="61" ht="19.899999618530273" customHeight="1">
      <x:c r="A61" s="53">
        <x:f t="shared" si="4"/>
        <x:v>56</x:v>
      </x:c>
      <x:c r="B61" s="54" t="s">
        <x:v>46</x:v>
      </x:c>
      <x:c r="C61" s="54" t="s">
        <x:v>27</x:v>
      </x:c>
      <x:c r="D61" s="55">
        <x:v>44562</x:v>
      </x:c>
      <x:c r="E61" s="54" t="s">
        <x:v>57</x:v>
      </x:c>
      <x:c r="F61" s="54">
        <x:v>1</x:v>
      </x:c>
      <x:c r="G61" s="148">
        <x:v>850</x:v>
      </x:c>
      <x:c r="H61" s="148" t="n">
        <x:f t="shared" si="0">IFERROR(IF(OR($F$1="",D61=""),0,MAX(0,$F$1-D61)),0)</x:f>
        <x:v>1825</x:v>
      </x:c>
      <x:c r="I61" s="148">
        <x:v>0.33329999999999999</x:v>
      </x:c>
      <x:c r="J61" s="148" t="n">
        <x:f t="shared" si="1">IFERROR(IF(OR(G61="",G61&lt;=0,I61="",D61="",$F$1=""),0,IF($F$1&lt;D61,0,MIN(MAX(G61-1,0),MAX(0,(G61*I61/365)*H61)))),0)</x:f>
        <x:v>849</x:v>
      </x:c>
      <x:c r="K61" s="148" t="n">
        <x:f t="shared" si="2">IFERROR(IF(OR(G61="",G61&lt;=0),0,MAX(1,G61-J61)),0)</x:f>
        <x:v>1</x:v>
      </x:c>
      <x:c r="L61" s="148" t="n">
        <x:f t="shared" si="3">IFERROR(IF(OR(G61="",G61&lt;=0,I61="",D61="",$F$1=""),0,IF($F$1&lt;D61,0,IF(K61&lt;=1,0,MIN(G61*I61/12,K61-1)))),0)</x:f>
        <x:v>0</x:v>
      </x:c>
      <x:c r="M61" s="58" t="s">
        <x:v>18</x:v>
      </x:c>
    </x:row>
    <x:row r="62" ht="19.899999618530273" customHeight="1">
      <x:c r="A62" s="53">
        <x:f t="shared" si="4"/>
        <x:v>57</x:v>
      </x:c>
      <x:c r="B62" s="54" t="s">
        <x:v>46</x:v>
      </x:c>
      <x:c r="C62" s="54" t="s">
        <x:v>27</x:v>
      </x:c>
      <x:c r="D62" s="55">
        <x:v>44562</x:v>
      </x:c>
      <x:c r="E62" s="54" t="s">
        <x:v>57</x:v>
      </x:c>
      <x:c r="F62" s="54">
        <x:v>1</x:v>
      </x:c>
      <x:c r="G62" s="148">
        <x:v>850</x:v>
      </x:c>
      <x:c r="H62" s="148" t="n">
        <x:f t="shared" si="0">IFERROR(IF(OR($F$1="",D62=""),0,MAX(0,$F$1-D62)),0)</x:f>
        <x:v>1825</x:v>
      </x:c>
      <x:c r="I62" s="148">
        <x:v>0.33329999999999999</x:v>
      </x:c>
      <x:c r="J62" s="148" t="n">
        <x:f t="shared" si="1">IFERROR(IF(OR(G62="",G62&lt;=0,I62="",D62="",$F$1=""),0,IF($F$1&lt;D62,0,MIN(MAX(G62-1,0),MAX(0,(G62*I62/365)*H62)))),0)</x:f>
        <x:v>849</x:v>
      </x:c>
      <x:c r="K62" s="148" t="n">
        <x:f t="shared" si="2">IFERROR(IF(OR(G62="",G62&lt;=0),0,MAX(1,G62-J62)),0)</x:f>
        <x:v>1</x:v>
      </x:c>
      <x:c r="L62" s="148" t="n">
        <x:f t="shared" si="3">IFERROR(IF(OR(G62="",G62&lt;=0,I62="",D62="",$F$1=""),0,IF($F$1&lt;D62,0,IF(K62&lt;=1,0,MIN(G62*I62/12,K62-1)))),0)</x:f>
        <x:v>0</x:v>
      </x:c>
      <x:c r="M62" s="58" t="s">
        <x:v>18</x:v>
      </x:c>
    </x:row>
    <x:row r="63" ht="19.899999618530273" customHeight="1">
      <x:c r="A63" s="53">
        <x:f t="shared" si="4"/>
        <x:v>58</x:v>
      </x:c>
      <x:c r="B63" s="54" t="s">
        <x:v>46</x:v>
      </x:c>
      <x:c r="C63" s="54" t="s">
        <x:v>27</x:v>
      </x:c>
      <x:c r="D63" s="55">
        <x:v>45162</x:v>
      </x:c>
      <x:c r="E63" s="54" t="s">
        <x:v>58</x:v>
      </x:c>
      <x:c r="F63" s="54">
        <x:v>1</x:v>
      </x:c>
      <x:c r="G63" s="148">
        <x:v>1500</x:v>
      </x:c>
      <x:c r="H63" s="148" t="n">
        <x:f t="shared" si="0">IFERROR(IF(OR($F$1="",D63=""),0,MAX(0,$F$1-D63)),0)</x:f>
        <x:v>1225</x:v>
      </x:c>
      <x:c r="I63" s="148">
        <x:v>0.33329999999999999</x:v>
      </x:c>
      <x:c r="J63" s="148" t="n">
        <x:f t="shared" si="1">IFERROR(IF(OR(G63="",G63&lt;=0,I63="",D63="",$F$1=""),0,IF($F$1&lt;D63,0,MIN(MAX(G63-1,0),MAX(0,(G63*I63/365)*H63)))),0)</x:f>
        <x:v>1499</x:v>
      </x:c>
      <x:c r="K63" s="148" t="n">
        <x:f t="shared" si="2">IFERROR(IF(OR(G63="",G63&lt;=0),0,MAX(1,G63-J63)),0)</x:f>
        <x:v>1</x:v>
      </x:c>
      <x:c r="L63" s="148" t="n">
        <x:f t="shared" si="3">IFERROR(IF(OR(G63="",G63&lt;=0,I63="",D63="",$F$1=""),0,IF($F$1&lt;D63,0,IF(K63&lt;=1,0,MIN(G63*I63/12,K63-1)))),0)</x:f>
        <x:v>0</x:v>
      </x:c>
      <x:c r="M63" s="58" t="s">
        <x:v>18</x:v>
      </x:c>
    </x:row>
    <x:row r="64" ht="19.899999618530273" customHeight="1">
      <x:c r="A64" s="53">
        <x:f t="shared" si="4"/>
        <x:v>59</x:v>
      </x:c>
      <x:c r="B64" s="54" t="s">
        <x:v>59</x:v>
      </x:c>
      <x:c r="C64" s="54" t="s">
        <x:v>27</x:v>
      </x:c>
      <x:c r="D64" s="55">
        <x:v>45356</x:v>
      </x:c>
      <x:c r="E64" s="54" t="s">
        <x:v>60</x:v>
      </x:c>
      <x:c r="F64" s="54">
        <x:v>1</x:v>
      </x:c>
      <x:c r="G64" s="148">
        <x:v>2000</x:v>
      </x:c>
      <x:c r="H64" s="148" t="n">
        <x:f t="shared" si="0">IFERROR(IF(OR($F$1="",D64=""),0,MAX(0,$F$1-D64)),0)</x:f>
        <x:v>1031</x:v>
      </x:c>
      <x:c r="I64" s="148">
        <x:v>0.33329999999999999</x:v>
      </x:c>
      <x:c r="J64" s="148" t="n">
        <x:f t="shared" si="1">IFERROR(IF(OR(G64="",G64&lt;=0,I64="",D64="",$F$1=""),0,IF($F$1&lt;D64,0,MIN(MAX(G64-1,0),MAX(0,(G64*I64/365)*H64)))),0)</x:f>
        <x:v>1882.916712328767</x:v>
      </x:c>
      <x:c r="K64" s="148" t="n">
        <x:f t="shared" si="2">IFERROR(IF(OR(G64="",G64&lt;=0),0,MAX(1,G64-J64)),0)</x:f>
        <x:v>117.08328767123294</x:v>
      </x:c>
      <x:c r="L64" s="148" t="n">
        <x:f t="shared" si="3">IFERROR(IF(OR(G64="",G64&lt;=0,I64="",D64="",$F$1=""),0,IF($F$1&lt;D64,0,IF(K64&lt;=1,0,MIN(G64*I64/12,K64-1)))),0)</x:f>
        <x:v>55.550000000000004</x:v>
      </x:c>
      <x:c r="M64" s="58" t="s">
        <x:v>18</x:v>
      </x:c>
    </x:row>
    <x:row r="65" ht="19.899999618530273" customHeight="1">
      <x:c r="A65" s="53">
        <x:f t="shared" si="4"/>
        <x:v>60</x:v>
      </x:c>
      <x:c r="B65" s="54" t="s">
        <x:v>59</x:v>
      </x:c>
      <x:c r="C65" s="54" t="s">
        <x:v>27</x:v>
      </x:c>
      <x:c r="D65" s="55">
        <x:v>45356</x:v>
      </x:c>
      <x:c r="E65" s="54" t="s">
        <x:v>60</x:v>
      </x:c>
      <x:c r="F65" s="54">
        <x:v>1</x:v>
      </x:c>
      <x:c r="G65" s="148">
        <x:v>2000</x:v>
      </x:c>
      <x:c r="H65" s="148" t="n">
        <x:f t="shared" si="0">IFERROR(IF(OR($F$1="",D65=""),0,MAX(0,$F$1-D65)),0)</x:f>
        <x:v>1031</x:v>
      </x:c>
      <x:c r="I65" s="148">
        <x:v>0.33329999999999999</x:v>
      </x:c>
      <x:c r="J65" s="148" t="n">
        <x:f t="shared" si="1">IFERROR(IF(OR(G65="",G65&lt;=0,I65="",D65="",$F$1=""),0,IF($F$1&lt;D65,0,MIN(MAX(G65-1,0),MAX(0,(G65*I65/365)*H65)))),0)</x:f>
        <x:v>1882.916712328767</x:v>
      </x:c>
      <x:c r="K65" s="148" t="n">
        <x:f t="shared" si="2">IFERROR(IF(OR(G65="",G65&lt;=0),0,MAX(1,G65-J65)),0)</x:f>
        <x:v>117.08328767123294</x:v>
      </x:c>
      <x:c r="L65" s="148" t="n">
        <x:f t="shared" si="3">IFERROR(IF(OR(G65="",G65&lt;=0,I65="",D65="",$F$1=""),0,IF($F$1&lt;D65,0,IF(K65&lt;=1,0,MIN(G65*I65/12,K65-1)))),0)</x:f>
        <x:v>55.550000000000004</x:v>
      </x:c>
      <x:c r="M65" s="58" t="s">
        <x:v>18</x:v>
      </x:c>
    </x:row>
    <x:row r="66" ht="19.899999618530273" customHeight="1">
      <x:c r="A66" s="53">
        <x:f t="shared" si="4"/>
        <x:v>61</x:v>
      </x:c>
      <x:c r="B66" s="54" t="s">
        <x:v>59</x:v>
      </x:c>
      <x:c r="C66" s="54" t="s">
        <x:v>27</x:v>
      </x:c>
      <x:c r="D66" s="55">
        <x:v>45356</x:v>
      </x:c>
      <x:c r="E66" s="54" t="s">
        <x:v>60</x:v>
      </x:c>
      <x:c r="F66" s="54">
        <x:v>1</x:v>
      </x:c>
      <x:c r="G66" s="148">
        <x:v>2000</x:v>
      </x:c>
      <x:c r="H66" s="148" t="n">
        <x:f t="shared" si="0">IFERROR(IF(OR($F$1="",D66=""),0,MAX(0,$F$1-D66)),0)</x:f>
        <x:v>1031</x:v>
      </x:c>
      <x:c r="I66" s="148">
        <x:v>0.33329999999999999</x:v>
      </x:c>
      <x:c r="J66" s="148" t="n">
        <x:f t="shared" si="1">IFERROR(IF(OR(G66="",G66&lt;=0,I66="",D66="",$F$1=""),0,IF($F$1&lt;D66,0,MIN(MAX(G66-1,0),MAX(0,(G66*I66/365)*H66)))),0)</x:f>
        <x:v>1882.916712328767</x:v>
      </x:c>
      <x:c r="K66" s="148" t="n">
        <x:f t="shared" si="2">IFERROR(IF(OR(G66="",G66&lt;=0),0,MAX(1,G66-J66)),0)</x:f>
        <x:v>117.08328767123294</x:v>
      </x:c>
      <x:c r="L66" s="148" t="n">
        <x:f t="shared" si="3">IFERROR(IF(OR(G66="",G66&lt;=0,I66="",D66="",$F$1=""),0,IF($F$1&lt;D66,0,IF(K66&lt;=1,0,MIN(G66*I66/12,K66-1)))),0)</x:f>
        <x:v>55.550000000000004</x:v>
      </x:c>
      <x:c r="M66" s="58" t="s">
        <x:v>18</x:v>
      </x:c>
    </x:row>
    <x:row r="67" ht="19.899999618530273" customHeight="1">
      <x:c r="A67" s="53">
        <x:f t="shared" si="4"/>
        <x:v>62</x:v>
      </x:c>
      <x:c r="B67" s="54" t="s">
        <x:v>59</x:v>
      </x:c>
      <x:c r="C67" s="54" t="s">
        <x:v>27</x:v>
      </x:c>
      <x:c r="D67" s="55">
        <x:v>45356</x:v>
      </x:c>
      <x:c r="E67" s="54" t="s">
        <x:v>60</x:v>
      </x:c>
      <x:c r="F67" s="54">
        <x:v>1</x:v>
      </x:c>
      <x:c r="G67" s="148">
        <x:v>2000</x:v>
      </x:c>
      <x:c r="H67" s="148" t="n">
        <x:f t="shared" si="0">IFERROR(IF(OR($F$1="",D67=""),0,MAX(0,$F$1-D67)),0)</x:f>
        <x:v>1031</x:v>
      </x:c>
      <x:c r="I67" s="148">
        <x:v>0.33329999999999999</x:v>
      </x:c>
      <x:c r="J67" s="148" t="n">
        <x:f t="shared" si="1">IFERROR(IF(OR(G67="",G67&lt;=0,I67="",D67="",$F$1=""),0,IF($F$1&lt;D67,0,MIN(MAX(G67-1,0),MAX(0,(G67*I67/365)*H67)))),0)</x:f>
        <x:v>1882.916712328767</x:v>
      </x:c>
      <x:c r="K67" s="148" t="n">
        <x:f t="shared" si="2">IFERROR(IF(OR(G67="",G67&lt;=0),0,MAX(1,G67-J67)),0)</x:f>
        <x:v>117.08328767123294</x:v>
      </x:c>
      <x:c r="L67" s="148" t="n">
        <x:f t="shared" si="3">IFERROR(IF(OR(G67="",G67&lt;=0,I67="",D67="",$F$1=""),0,IF($F$1&lt;D67,0,IF(K67&lt;=1,0,MIN(G67*I67/12,K67-1)))),0)</x:f>
        <x:v>55.550000000000004</x:v>
      </x:c>
      <x:c r="M67" s="58" t="s">
        <x:v>18</x:v>
      </x:c>
    </x:row>
    <x:row r="68" ht="19.899999618530273" customHeight="1">
      <x:c r="A68" s="53">
        <x:f t="shared" si="4"/>
        <x:v>63</x:v>
      </x:c>
      <x:c r="B68" s="54" t="s">
        <x:v>59</x:v>
      </x:c>
      <x:c r="C68" s="54" t="s">
        <x:v>27</x:v>
      </x:c>
      <x:c r="D68" s="55">
        <x:v>45356</x:v>
      </x:c>
      <x:c r="E68" s="54" t="s">
        <x:v>61</x:v>
      </x:c>
      <x:c r="F68" s="54">
        <x:v>1</x:v>
      </x:c>
      <x:c r="G68" s="148">
        <x:v>300</x:v>
      </x:c>
      <x:c r="H68" s="148" t="n">
        <x:f t="shared" si="0">IFERROR(IF(OR($F$1="",D68=""),0,MAX(0,$F$1-D68)),0)</x:f>
        <x:v>1031</x:v>
      </x:c>
      <x:c r="I68" s="148">
        <x:v>0.33329999999999999</x:v>
      </x:c>
      <x:c r="J68" s="148" t="n">
        <x:f t="shared" si="1">IFERROR(IF(OR(G68="",G68&lt;=0,I68="",D68="",$F$1=""),0,IF($F$1&lt;D68,0,MIN(MAX(G68-1,0),MAX(0,(G68*I68/365)*H68)))),0)</x:f>
        <x:v>282.43750684931507</x:v>
      </x:c>
      <x:c r="K68" s="148" t="n">
        <x:f t="shared" si="2">IFERROR(IF(OR(G68="",G68&lt;=0),0,MAX(1,G68-J68)),0)</x:f>
        <x:v>17.56249315068493</x:v>
      </x:c>
      <x:c r="L68" s="148" t="n">
        <x:f t="shared" si="3">IFERROR(IF(OR(G68="",G68&lt;=0,I68="",D68="",$F$1=""),0,IF($F$1&lt;D68,0,IF(K68&lt;=1,0,MIN(G68*I68/12,K68-1)))),0)</x:f>
        <x:v>8.3325</x:v>
      </x:c>
      <x:c r="M68" s="58" t="s">
        <x:v>18</x:v>
      </x:c>
    </x:row>
    <x:row r="69" ht="19.899999618530273" customHeight="1">
      <x:c r="A69" s="53">
        <x:f t="shared" si="4"/>
        <x:v>64</x:v>
      </x:c>
      <x:c r="B69" s="54" t="s">
        <x:v>59</x:v>
      </x:c>
      <x:c r="C69" s="54" t="s">
        <x:v>27</x:v>
      </x:c>
      <x:c r="D69" s="55">
        <x:v>45356</x:v>
      </x:c>
      <x:c r="E69" s="54" t="s">
        <x:v>61</x:v>
      </x:c>
      <x:c r="F69" s="54">
        <x:v>1</x:v>
      </x:c>
      <x:c r="G69" s="148">
        <x:v>300</x:v>
      </x:c>
      <x:c r="H69" s="148" t="n">
        <x:f t="shared" si="0">IFERROR(IF(OR($F$1="",D69=""),0,MAX(0,$F$1-D69)),0)</x:f>
        <x:v>1031</x:v>
      </x:c>
      <x:c r="I69" s="148">
        <x:v>0.33329999999999999</x:v>
      </x:c>
      <x:c r="J69" s="148" t="n">
        <x:f t="shared" si="1">IFERROR(IF(OR(G69="",G69&lt;=0,I69="",D69="",$F$1=""),0,IF($F$1&lt;D69,0,MIN(MAX(G69-1,0),MAX(0,(G69*I69/365)*H69)))),0)</x:f>
        <x:v>282.43750684931507</x:v>
      </x:c>
      <x:c r="K69" s="148" t="n">
        <x:f t="shared" si="2">IFERROR(IF(OR(G69="",G69&lt;=0),0,MAX(1,G69-J69)),0)</x:f>
        <x:v>17.56249315068493</x:v>
      </x:c>
      <x:c r="L69" s="148" t="n">
        <x:f t="shared" si="3">IFERROR(IF(OR(G69="",G69&lt;=0,I69="",D69="",$F$1=""),0,IF($F$1&lt;D69,0,IF(K69&lt;=1,0,MIN(G69*I69/12,K69-1)))),0)</x:f>
        <x:v>8.3325</x:v>
      </x:c>
      <x:c r="M69" s="58" t="s">
        <x:v>18</x:v>
      </x:c>
    </x:row>
    <x:row r="70" ht="19.899999618530273" customHeight="1">
      <x:c r="A70" s="53">
        <x:f t="shared" si="4"/>
        <x:v>65</x:v>
      </x:c>
      <x:c r="B70" s="54" t="s">
        <x:v>59</x:v>
      </x:c>
      <x:c r="C70" s="54" t="s">
        <x:v>27</x:v>
      </x:c>
      <x:c r="D70" s="55">
        <x:v>45356</x:v>
      </x:c>
      <x:c r="E70" s="54" t="s">
        <x:v>61</x:v>
      </x:c>
      <x:c r="F70" s="54">
        <x:v>1</x:v>
      </x:c>
      <x:c r="G70" s="148">
        <x:v>300</x:v>
      </x:c>
      <x:c r="H70" s="148" t="n">
        <x:f t="shared" ref="H70:H133" si="5">IFERROR(IF(OR($F$1="",D70=""),0,MAX(0,$F$1-D70)),0)</x:f>
        <x:v>1031</x:v>
      </x:c>
      <x:c r="I70" s="148">
        <x:v>0.33329999999999999</x:v>
      </x:c>
      <x:c r="J70" s="148" t="n">
        <x:f t="shared" ref="J70:J133" si="6">IFERROR(IF(OR(G70="",G70&lt;=0,I70="",D70="",$F$1=""),0,IF($F$1&lt;D70,0,MIN(MAX(G70-1,0),MAX(0,(G70*I70/365)*H70)))),0)</x:f>
        <x:v>282.43750684931507</x:v>
      </x:c>
      <x:c r="K70" s="148" t="n">
        <x:f t="shared" ref="K70:K133" si="7">IFERROR(IF(OR(G70="",G70&lt;=0),0,MAX(1,G70-J70)),0)</x:f>
        <x:v>17.56249315068493</x:v>
      </x:c>
      <x:c r="L70" s="148" t="n">
        <x:f t="shared" ref="L70:L133" si="8">IFERROR(IF(OR(G70="",G70&lt;=0,I70="",D70="",$F$1=""),0,IF($F$1&lt;D70,0,IF(K70&lt;=1,0,MIN(G70*I70/12,K70-1)))),0)</x:f>
        <x:v>8.3325</x:v>
      </x:c>
      <x:c r="M70" s="58" t="s">
        <x:v>18</x:v>
      </x:c>
    </x:row>
    <x:row r="71" ht="19.899999618530273" customHeight="1">
      <x:c r="A71" s="53">
        <x:f t="shared" si="4"/>
        <x:v>66</x:v>
      </x:c>
      <x:c r="B71" s="54" t="s">
        <x:v>59</x:v>
      </x:c>
      <x:c r="C71" s="54" t="s">
        <x:v>27</x:v>
      </x:c>
      <x:c r="D71" s="55">
        <x:v>45356</x:v>
      </x:c>
      <x:c r="E71" s="54" t="s">
        <x:v>61</x:v>
      </x:c>
      <x:c r="F71" s="54">
        <x:v>1</x:v>
      </x:c>
      <x:c r="G71" s="148">
        <x:v>300</x:v>
      </x:c>
      <x:c r="H71" s="148" t="n">
        <x:f t="shared" si="5">IFERROR(IF(OR($F$1="",D71=""),0,MAX(0,$F$1-D71)),0)</x:f>
        <x:v>1031</x:v>
      </x:c>
      <x:c r="I71" s="148">
        <x:v>0.33329999999999999</x:v>
      </x:c>
      <x:c r="J71" s="148" t="n">
        <x:f t="shared" si="6">IFERROR(IF(OR(G71="",G71&lt;=0,I71="",D71="",$F$1=""),0,IF($F$1&lt;D71,0,MIN(MAX(G71-1,0),MAX(0,(G71*I71/365)*H71)))),0)</x:f>
        <x:v>282.43750684931507</x:v>
      </x:c>
      <x:c r="K71" s="148" t="n">
        <x:f t="shared" si="7">IFERROR(IF(OR(G71="",G71&lt;=0),0,MAX(1,G71-J71)),0)</x:f>
        <x:v>17.56249315068493</x:v>
      </x:c>
      <x:c r="L71" s="148" t="n">
        <x:f t="shared" si="8">IFERROR(IF(OR(G71="",G71&lt;=0,I71="",D71="",$F$1=""),0,IF($F$1&lt;D71,0,IF(K71&lt;=1,0,MIN(G71*I71/12,K71-1)))),0)</x:f>
        <x:v>8.3325</x:v>
      </x:c>
      <x:c r="M71" s="58" t="s">
        <x:v>18</x:v>
      </x:c>
    </x:row>
    <x:row r="72" ht="19.899999618530273" customHeight="1">
      <x:c r="A72" s="53">
        <x:f t="shared" si="4"/>
        <x:v>67</x:v>
      </x:c>
      <x:c r="B72" s="54" t="s">
        <x:v>59</x:v>
      </x:c>
      <x:c r="C72" s="54" t="s">
        <x:v>27</x:v>
      </x:c>
      <x:c r="D72" s="55">
        <x:v>45356</x:v>
      </x:c>
      <x:c r="E72" s="54" t="s">
        <x:v>62</x:v>
      </x:c>
      <x:c r="F72" s="54">
        <x:v>1</x:v>
      </x:c>
      <x:c r="G72" s="148">
        <x:v>800</x:v>
      </x:c>
      <x:c r="H72" s="148" t="n">
        <x:f t="shared" si="5">IFERROR(IF(OR($F$1="",D72=""),0,MAX(0,$F$1-D72)),0)</x:f>
        <x:v>1031</x:v>
      </x:c>
      <x:c r="I72" s="148">
        <x:v>0.33329999999999999</x:v>
      </x:c>
      <x:c r="J72" s="148" t="n">
        <x:f t="shared" si="6">IFERROR(IF(OR(G72="",G72&lt;=0,I72="",D72="",$F$1=""),0,IF($F$1&lt;D72,0,MIN(MAX(G72-1,0),MAX(0,(G72*I72/365)*H72)))),0)</x:f>
        <x:v>753.1666849315069</x:v>
      </x:c>
      <x:c r="K72" s="148" t="n">
        <x:f t="shared" si="7">IFERROR(IF(OR(G72="",G72&lt;=0),0,MAX(1,G72-J72)),0)</x:f>
        <x:v>46.83331506849311</x:v>
      </x:c>
      <x:c r="L72" s="148" t="n">
        <x:f t="shared" si="8">IFERROR(IF(OR(G72="",G72&lt;=0,I72="",D72="",$F$1=""),0,IF($F$1&lt;D72,0,IF(K72&lt;=1,0,MIN(G72*I72/12,K72-1)))),0)</x:f>
        <x:v>22.22</x:v>
      </x:c>
      <x:c r="M72" s="58" t="s">
        <x:v>18</x:v>
      </x:c>
    </x:row>
    <x:row r="73" ht="19.899999618530273" customHeight="1">
      <x:c r="A73" s="53" t="n">
        <x:f t="shared" ref="A73:A136" si="9">A72+1</x:f>
        <x:v>68</x:v>
      </x:c>
      <x:c r="B73" s="54" t="s">
        <x:v>59</x:v>
      </x:c>
      <x:c r="C73" s="54" t="s">
        <x:v>27</x:v>
      </x:c>
      <x:c r="D73" s="55">
        <x:v>45396</x:v>
      </x:c>
      <x:c r="E73" s="54" t="s">
        <x:v>37</x:v>
      </x:c>
      <x:c r="F73" s="54">
        <x:v>1</x:v>
      </x:c>
      <x:c r="G73" s="148">
        <x:v>190</x:v>
      </x:c>
      <x:c r="H73" s="148" t="n">
        <x:f t="shared" si="5">IFERROR(IF(OR($F$1="",D73=""),0,MAX(0,$F$1-D73)),0)</x:f>
        <x:v>991</x:v>
      </x:c>
      <x:c r="I73" s="148">
        <x:v>0.33329999999999999</x:v>
      </x:c>
      <x:c r="J73" s="148" t="n">
        <x:f t="shared" si="6">IFERROR(IF(OR(G73="",G73&lt;=0,I73="",D73="",$F$1=""),0,IF($F$1&lt;D73,0,MIN(MAX(G73-1,0),MAX(0,(G73*I73/365)*H73)))),0)</x:f>
        <x:v>171.93714246575342</x:v>
      </x:c>
      <x:c r="K73" s="148" t="n">
        <x:f t="shared" si="7">IFERROR(IF(OR(G73="",G73&lt;=0),0,MAX(1,G73-J73)),0)</x:f>
        <x:v>18.062857534246575</x:v>
      </x:c>
      <x:c r="L73" s="148" t="n">
        <x:f t="shared" si="8">IFERROR(IF(OR(G73="",G73&lt;=0,I73="",D73="",$F$1=""),0,IF($F$1&lt;D73,0,IF(K73&lt;=1,0,MIN(G73*I73/12,K73-1)))),0)</x:f>
        <x:v>5.2772499999999996</x:v>
      </x:c>
      <x:c r="M73" s="58" t="s">
        <x:v>18</x:v>
      </x:c>
    </x:row>
    <x:row r="74" ht="19.899999618530273" customHeight="1">
      <x:c r="A74" s="53">
        <x:f t="shared" si="9"/>
        <x:v>69</x:v>
      </x:c>
      <x:c r="B74" s="54" t="s">
        <x:v>59</x:v>
      </x:c>
      <x:c r="C74" s="54" t="s">
        <x:v>27</x:v>
      </x:c>
      <x:c r="D74" s="55">
        <x:v>45396</x:v>
      </x:c>
      <x:c r="E74" s="54" t="s">
        <x:v>37</x:v>
      </x:c>
      <x:c r="F74" s="54">
        <x:v>1</x:v>
      </x:c>
      <x:c r="G74" s="148">
        <x:v>190</x:v>
      </x:c>
      <x:c r="H74" s="148" t="n">
        <x:f t="shared" si="5">IFERROR(IF(OR($F$1="",D74=""),0,MAX(0,$F$1-D74)),0)</x:f>
        <x:v>991</x:v>
      </x:c>
      <x:c r="I74" s="148">
        <x:v>0.33329999999999999</x:v>
      </x:c>
      <x:c r="J74" s="148" t="n">
        <x:f t="shared" si="6">IFERROR(IF(OR(G74="",G74&lt;=0,I74="",D74="",$F$1=""),0,IF($F$1&lt;D74,0,MIN(MAX(G74-1,0),MAX(0,(G74*I74/365)*H74)))),0)</x:f>
        <x:v>171.93714246575342</x:v>
      </x:c>
      <x:c r="K74" s="148" t="n">
        <x:f t="shared" si="7">IFERROR(IF(OR(G74="",G74&lt;=0),0,MAX(1,G74-J74)),0)</x:f>
        <x:v>18.062857534246575</x:v>
      </x:c>
      <x:c r="L74" s="148" t="n">
        <x:f t="shared" si="8">IFERROR(IF(OR(G74="",G74&lt;=0,I74="",D74="",$F$1=""),0,IF($F$1&lt;D74,0,IF(K74&lt;=1,0,MIN(G74*I74/12,K74-1)))),0)</x:f>
        <x:v>5.2772499999999996</x:v>
      </x:c>
      <x:c r="M74" s="58" t="s">
        <x:v>18</x:v>
      </x:c>
    </x:row>
    <x:row r="75" ht="19.899999618530273" customHeight="1">
      <x:c r="A75" s="53">
        <x:f t="shared" si="9"/>
        <x:v>70</x:v>
      </x:c>
      <x:c r="B75" s="54" t="s">
        <x:v>59</x:v>
      </x:c>
      <x:c r="C75" s="54" t="s">
        <x:v>21</x:v>
      </x:c>
      <x:c r="D75" s="55">
        <x:v>45325</x:v>
      </x:c>
      <x:c r="E75" s="54" t="s">
        <x:v>40</x:v>
      </x:c>
      <x:c r="F75" s="54">
        <x:v>1</x:v>
      </x:c>
      <x:c r="G75" s="148">
        <x:v>10000</x:v>
      </x:c>
      <x:c r="H75" s="148" t="n">
        <x:f t="shared" si="5">IFERROR(IF(OR($F$1="",D75=""),0,MAX(0,$F$1-D75)),0)</x:f>
        <x:v>1062</x:v>
      </x:c>
      <x:c r="I75" s="148">
        <x:v>0.33329999999999999</x:v>
      </x:c>
      <x:c r="J75" s="148" t="n">
        <x:f t="shared" si="6">IFERROR(IF(OR(G75="",G75&lt;=0,I75="",D75="",$F$1=""),0,IF($F$1&lt;D75,0,MIN(MAX(G75-1,0),MAX(0,(G75*I75/365)*H75)))),0)</x:f>
        <x:v>9697.660273972602</x:v>
      </x:c>
      <x:c r="K75" s="148" t="n">
        <x:f t="shared" si="7">IFERROR(IF(OR(G75="",G75&lt;=0),0,MAX(1,G75-J75)),0)</x:f>
        <x:v>302.3397260273978</x:v>
      </x:c>
      <x:c r="L75" s="148" t="n">
        <x:f t="shared" si="8">IFERROR(IF(OR(G75="",G75&lt;=0,I75="",D75="",$F$1=""),0,IF($F$1&lt;D75,0,IF(K75&lt;=1,0,MIN(G75*I75/12,K75-1)))),0)</x:f>
        <x:v>277.75</x:v>
      </x:c>
      <x:c r="M75" s="58" t="s">
        <x:v>18</x:v>
      </x:c>
    </x:row>
    <x:row r="76" ht="19.899999618530273" customHeight="1">
      <x:c r="A76" s="53">
        <x:f t="shared" si="9"/>
        <x:v>71</x:v>
      </x:c>
      <x:c r="B76" s="54" t="s">
        <x:v>59</x:v>
      </x:c>
      <x:c r="C76" s="54" t="s">
        <x:v>27</x:v>
      </x:c>
      <x:c r="D76" s="55">
        <x:v>45398</x:v>
      </x:c>
      <x:c r="E76" s="54" t="s">
        <x:v>63</x:v>
      </x:c>
      <x:c r="F76" s="54">
        <x:v>1</x:v>
      </x:c>
      <x:c r="G76" s="148">
        <x:v>565.21749999999997</x:v>
      </x:c>
      <x:c r="H76" s="148" t="n">
        <x:f t="shared" si="5">IFERROR(IF(OR($F$1="",D76=""),0,MAX(0,$F$1-D76)),0)</x:f>
        <x:v>989</x:v>
      </x:c>
      <x:c r="I76" s="148">
        <x:v>0.33329999999999999</x:v>
      </x:c>
      <x:c r="J76" s="148" t="n">
        <x:f t="shared" si="6">IFERROR(IF(OR(G76="",G76&lt;=0,I76="",D76="",$F$1=""),0,IF($F$1&lt;D76,0,MIN(MAX(G76-1,0),MAX(0,(G76*I76/365)*H76)))),0)</x:f>
        <x:v>510.4513310404109</x:v>
      </x:c>
      <x:c r="K76" s="148" t="n">
        <x:f t="shared" si="7">IFERROR(IF(OR(G76="",G76&lt;=0),0,MAX(1,G76-J76)),0)</x:f>
        <x:v>54.766168959589095</x:v>
      </x:c>
      <x:c r="L76" s="148" t="n">
        <x:f t="shared" si="8">IFERROR(IF(OR(G76="",G76&lt;=0,I76="",D76="",$F$1=""),0,IF($F$1&lt;D76,0,IF(K76&lt;=1,0,MIN(G76*I76/12,K76-1)))),0)</x:f>
        <x:v>15.698916062499999</x:v>
      </x:c>
      <x:c r="M76" s="58" t="s">
        <x:v>18</x:v>
      </x:c>
    </x:row>
    <x:row r="77" ht="19.899999618530273" customHeight="1">
      <x:c r="A77" s="53">
        <x:f t="shared" si="9"/>
        <x:v>72</x:v>
      </x:c>
      <x:c r="B77" s="54" t="s">
        <x:v>59</x:v>
      </x:c>
      <x:c r="C77" s="54" t="s">
        <x:v>27</x:v>
      </x:c>
      <x:c r="D77" s="55">
        <x:v>45398</x:v>
      </x:c>
      <x:c r="E77" s="54" t="s">
        <x:v>63</x:v>
      </x:c>
      <x:c r="F77" s="54">
        <x:v>1</x:v>
      </x:c>
      <x:c r="G77" s="148">
        <x:v>565.21749999999997</x:v>
      </x:c>
      <x:c r="H77" s="148" t="n">
        <x:f t="shared" si="5">IFERROR(IF(OR($F$1="",D77=""),0,MAX(0,$F$1-D77)),0)</x:f>
        <x:v>989</x:v>
      </x:c>
      <x:c r="I77" s="148">
        <x:v>0.33329999999999999</x:v>
      </x:c>
      <x:c r="J77" s="148" t="n">
        <x:f t="shared" si="6">IFERROR(IF(OR(G77="",G77&lt;=0,I77="",D77="",$F$1=""),0,IF($F$1&lt;D77,0,MIN(MAX(G77-1,0),MAX(0,(G77*I77/365)*H77)))),0)</x:f>
        <x:v>510.4513310404109</x:v>
      </x:c>
      <x:c r="K77" s="148" t="n">
        <x:f t="shared" si="7">IFERROR(IF(OR(G77="",G77&lt;=0),0,MAX(1,G77-J77)),0)</x:f>
        <x:v>54.766168959589095</x:v>
      </x:c>
      <x:c r="L77" s="148" t="n">
        <x:f t="shared" si="8">IFERROR(IF(OR(G77="",G77&lt;=0,I77="",D77="",$F$1=""),0,IF($F$1&lt;D77,0,IF(K77&lt;=1,0,MIN(G77*I77/12,K77-1)))),0)</x:f>
        <x:v>15.698916062499999</x:v>
      </x:c>
      <x:c r="M77" s="58" t="s">
        <x:v>18</x:v>
      </x:c>
    </x:row>
    <x:row r="78" ht="19.899999618530273" customHeight="1">
      <x:c r="A78" s="53">
        <x:f t="shared" si="9"/>
        <x:v>73</x:v>
      </x:c>
      <x:c r="B78" s="54" t="s">
        <x:v>59</x:v>
      </x:c>
      <x:c r="C78" s="54" t="s">
        <x:v>27</x:v>
      </x:c>
      <x:c r="D78" s="55">
        <x:v>45398</x:v>
      </x:c>
      <x:c r="E78" s="54" t="s">
        <x:v>63</x:v>
      </x:c>
      <x:c r="F78" s="54">
        <x:v>1</x:v>
      </x:c>
      <x:c r="G78" s="148">
        <x:v>565.21749999999997</x:v>
      </x:c>
      <x:c r="H78" s="148" t="n">
        <x:f t="shared" si="5">IFERROR(IF(OR($F$1="",D78=""),0,MAX(0,$F$1-D78)),0)</x:f>
        <x:v>989</x:v>
      </x:c>
      <x:c r="I78" s="148">
        <x:v>0.33329999999999999</x:v>
      </x:c>
      <x:c r="J78" s="148" t="n">
        <x:f t="shared" si="6">IFERROR(IF(OR(G78="",G78&lt;=0,I78="",D78="",$F$1=""),0,IF($F$1&lt;D78,0,MIN(MAX(G78-1,0),MAX(0,(G78*I78/365)*H78)))),0)</x:f>
        <x:v>510.4513310404109</x:v>
      </x:c>
      <x:c r="K78" s="148" t="n">
        <x:f t="shared" si="7">IFERROR(IF(OR(G78="",G78&lt;=0),0,MAX(1,G78-J78)),0)</x:f>
        <x:v>54.766168959589095</x:v>
      </x:c>
      <x:c r="L78" s="148" t="n">
        <x:f t="shared" si="8">IFERROR(IF(OR(G78="",G78&lt;=0,I78="",D78="",$F$1=""),0,IF($F$1&lt;D78,0,IF(K78&lt;=1,0,MIN(G78*I78/12,K78-1)))),0)</x:f>
        <x:v>15.698916062499999</x:v>
      </x:c>
      <x:c r="M78" s="58" t="s">
        <x:v>18</x:v>
      </x:c>
    </x:row>
    <x:row r="79" ht="19.899999618530273" customHeight="1">
      <x:c r="A79" s="53">
        <x:f t="shared" si="9"/>
        <x:v>74</x:v>
      </x:c>
      <x:c r="B79" s="54" t="s">
        <x:v>59</x:v>
      </x:c>
      <x:c r="C79" s="54" t="s">
        <x:v>27</x:v>
      </x:c>
      <x:c r="D79" s="55">
        <x:v>45398</x:v>
      </x:c>
      <x:c r="E79" s="54" t="s">
        <x:v>63</x:v>
      </x:c>
      <x:c r="F79" s="54">
        <x:v>1</x:v>
      </x:c>
      <x:c r="G79" s="148">
        <x:v>565.21749999999997</x:v>
      </x:c>
      <x:c r="H79" s="148" t="n">
        <x:f t="shared" si="5">IFERROR(IF(OR($F$1="",D79=""),0,MAX(0,$F$1-D79)),0)</x:f>
        <x:v>989</x:v>
      </x:c>
      <x:c r="I79" s="148">
        <x:v>0.33329999999999999</x:v>
      </x:c>
      <x:c r="J79" s="148" t="n">
        <x:f t="shared" si="6">IFERROR(IF(OR(G79="",G79&lt;=0,I79="",D79="",$F$1=""),0,IF($F$1&lt;D79,0,MIN(MAX(G79-1,0),MAX(0,(G79*I79/365)*H79)))),0)</x:f>
        <x:v>510.4513310404109</x:v>
      </x:c>
      <x:c r="K79" s="148" t="n">
        <x:f t="shared" si="7">IFERROR(IF(OR(G79="",G79&lt;=0),0,MAX(1,G79-J79)),0)</x:f>
        <x:v>54.766168959589095</x:v>
      </x:c>
      <x:c r="L79" s="148" t="n">
        <x:f t="shared" si="8">IFERROR(IF(OR(G79="",G79&lt;=0,I79="",D79="",$F$1=""),0,IF($F$1&lt;D79,0,IF(K79&lt;=1,0,MIN(G79*I79/12,K79-1)))),0)</x:f>
        <x:v>15.698916062499999</x:v>
      </x:c>
      <x:c r="M79" s="58" t="s">
        <x:v>18</x:v>
      </x:c>
    </x:row>
    <x:row r="80" ht="19.899999618530273" customHeight="1">
      <x:c r="A80" s="53">
        <x:f t="shared" si="9"/>
        <x:v>75</x:v>
      </x:c>
      <x:c r="B80" s="54" t="s">
        <x:v>59</x:v>
      </x:c>
      <x:c r="C80" s="54" t="s">
        <x:v>27</x:v>
      </x:c>
      <x:c r="D80" s="55">
        <x:v>45398</x:v>
      </x:c>
      <x:c r="E80" s="54" t="s">
        <x:v>63</x:v>
      </x:c>
      <x:c r="F80" s="54">
        <x:v>1</x:v>
      </x:c>
      <x:c r="G80" s="148">
        <x:v>565.21749999999997</x:v>
      </x:c>
      <x:c r="H80" s="148" t="n">
        <x:f t="shared" si="5">IFERROR(IF(OR($F$1="",D80=""),0,MAX(0,$F$1-D80)),0)</x:f>
        <x:v>989</x:v>
      </x:c>
      <x:c r="I80" s="148">
        <x:v>0.33329999999999999</x:v>
      </x:c>
      <x:c r="J80" s="148" t="n">
        <x:f t="shared" si="6">IFERROR(IF(OR(G80="",G80&lt;=0,I80="",D80="",$F$1=""),0,IF($F$1&lt;D80,0,MIN(MAX(G80-1,0),MAX(0,(G80*I80/365)*H80)))),0)</x:f>
        <x:v>510.4513310404109</x:v>
      </x:c>
      <x:c r="K80" s="148" t="n">
        <x:f t="shared" si="7">IFERROR(IF(OR(G80="",G80&lt;=0),0,MAX(1,G80-J80)),0)</x:f>
        <x:v>54.766168959589095</x:v>
      </x:c>
      <x:c r="L80" s="148" t="n">
        <x:f t="shared" si="8">IFERROR(IF(OR(G80="",G80&lt;=0,I80="",D80="",$F$1=""),0,IF($F$1&lt;D80,0,IF(K80&lt;=1,0,MIN(G80*I80/12,K80-1)))),0)</x:f>
        <x:v>15.698916062499999</x:v>
      </x:c>
      <x:c r="M80" s="58" t="s">
        <x:v>18</x:v>
      </x:c>
    </x:row>
    <x:row r="81" ht="19.899999618530273" customHeight="1">
      <x:c r="A81" s="53">
        <x:f t="shared" si="9"/>
        <x:v>76</x:v>
      </x:c>
      <x:c r="B81" s="54" t="s">
        <x:v>59</x:v>
      </x:c>
      <x:c r="C81" s="54" t="s">
        <x:v>27</x:v>
      </x:c>
      <x:c r="D81" s="55">
        <x:v>45398</x:v>
      </x:c>
      <x:c r="E81" s="54" t="s">
        <x:v>63</x:v>
      </x:c>
      <x:c r="F81" s="54">
        <x:v>1</x:v>
      </x:c>
      <x:c r="G81" s="148">
        <x:v>565.21749999999997</x:v>
      </x:c>
      <x:c r="H81" s="148" t="n">
        <x:f t="shared" si="5">IFERROR(IF(OR($F$1="",D81=""),0,MAX(0,$F$1-D81)),0)</x:f>
        <x:v>989</x:v>
      </x:c>
      <x:c r="I81" s="148">
        <x:v>0.33329999999999999</x:v>
      </x:c>
      <x:c r="J81" s="148" t="n">
        <x:f t="shared" si="6">IFERROR(IF(OR(G81="",G81&lt;=0,I81="",D81="",$F$1=""),0,IF($F$1&lt;D81,0,MIN(MAX(G81-1,0),MAX(0,(G81*I81/365)*H81)))),0)</x:f>
        <x:v>510.4513310404109</x:v>
      </x:c>
      <x:c r="K81" s="148" t="n">
        <x:f t="shared" si="7">IFERROR(IF(OR(G81="",G81&lt;=0),0,MAX(1,G81-J81)),0)</x:f>
        <x:v>54.766168959589095</x:v>
      </x:c>
      <x:c r="L81" s="148" t="n">
        <x:f t="shared" si="8">IFERROR(IF(OR(G81="",G81&lt;=0,I81="",D81="",$F$1=""),0,IF($F$1&lt;D81,0,IF(K81&lt;=1,0,MIN(G81*I81/12,K81-1)))),0)</x:f>
        <x:v>15.698916062499999</x:v>
      </x:c>
      <x:c r="M81" s="58" t="s">
        <x:v>18</x:v>
      </x:c>
    </x:row>
    <x:row r="82" ht="19.899999618530273" customHeight="1">
      <x:c r="A82" s="53">
        <x:f t="shared" si="9"/>
        <x:v>77</x:v>
      </x:c>
      <x:c r="B82" s="54" t="s">
        <x:v>59</x:v>
      </x:c>
      <x:c r="C82" s="54" t="s">
        <x:v>27</x:v>
      </x:c>
      <x:c r="D82" s="55">
        <x:v>45398</x:v>
      </x:c>
      <x:c r="E82" s="54" t="s">
        <x:v>63</x:v>
      </x:c>
      <x:c r="F82" s="54">
        <x:v>1</x:v>
      </x:c>
      <x:c r="G82" s="148">
        <x:v>565.21749999999997</x:v>
      </x:c>
      <x:c r="H82" s="148" t="n">
        <x:f t="shared" si="5">IFERROR(IF(OR($F$1="",D82=""),0,MAX(0,$F$1-D82)),0)</x:f>
        <x:v>989</x:v>
      </x:c>
      <x:c r="I82" s="148">
        <x:v>0.33329999999999999</x:v>
      </x:c>
      <x:c r="J82" s="148" t="n">
        <x:f t="shared" si="6">IFERROR(IF(OR(G82="",G82&lt;=0,I82="",D82="",$F$1=""),0,IF($F$1&lt;D82,0,MIN(MAX(G82-1,0),MAX(0,(G82*I82/365)*H82)))),0)</x:f>
        <x:v>510.4513310404109</x:v>
      </x:c>
      <x:c r="K82" s="148" t="n">
        <x:f t="shared" si="7">IFERROR(IF(OR(G82="",G82&lt;=0),0,MAX(1,G82-J82)),0)</x:f>
        <x:v>54.766168959589095</x:v>
      </x:c>
      <x:c r="L82" s="148" t="n">
        <x:f t="shared" si="8">IFERROR(IF(OR(G82="",G82&lt;=0,I82="",D82="",$F$1=""),0,IF($F$1&lt;D82,0,IF(K82&lt;=1,0,MIN(G82*I82/12,K82-1)))),0)</x:f>
        <x:v>15.698916062499999</x:v>
      </x:c>
      <x:c r="M82" s="58" t="s">
        <x:v>18</x:v>
      </x:c>
    </x:row>
    <x:row r="83" ht="19.899999618530273" customHeight="1">
      <x:c r="A83" s="53">
        <x:f t="shared" si="9"/>
        <x:v>78</x:v>
      </x:c>
      <x:c r="B83" s="54" t="s">
        <x:v>59</x:v>
      </x:c>
      <x:c r="C83" s="54" t="s">
        <x:v>27</x:v>
      </x:c>
      <x:c r="D83" s="55">
        <x:v>45398</x:v>
      </x:c>
      <x:c r="E83" s="54" t="s">
        <x:v>63</x:v>
      </x:c>
      <x:c r="F83" s="54">
        <x:v>1</x:v>
      </x:c>
      <x:c r="G83" s="148">
        <x:v>565.21749999999997</x:v>
      </x:c>
      <x:c r="H83" s="148" t="n">
        <x:f t="shared" si="5">IFERROR(IF(OR($F$1="",D83=""),0,MAX(0,$F$1-D83)),0)</x:f>
        <x:v>989</x:v>
      </x:c>
      <x:c r="I83" s="148">
        <x:v>0.33329999999999999</x:v>
      </x:c>
      <x:c r="J83" s="148" t="n">
        <x:f t="shared" si="6">IFERROR(IF(OR(G83="",G83&lt;=0,I83="",D83="",$F$1=""),0,IF($F$1&lt;D83,0,MIN(MAX(G83-1,0),MAX(0,(G83*I83/365)*H83)))),0)</x:f>
        <x:v>510.4513310404109</x:v>
      </x:c>
      <x:c r="K83" s="148" t="n">
        <x:f t="shared" si="7">IFERROR(IF(OR(G83="",G83&lt;=0),0,MAX(1,G83-J83)),0)</x:f>
        <x:v>54.766168959589095</x:v>
      </x:c>
      <x:c r="L83" s="148" t="n">
        <x:f t="shared" si="8">IFERROR(IF(OR(G83="",G83&lt;=0,I83="",D83="",$F$1=""),0,IF($F$1&lt;D83,0,IF(K83&lt;=1,0,MIN(G83*I83/12,K83-1)))),0)</x:f>
        <x:v>15.698916062499999</x:v>
      </x:c>
      <x:c r="M83" s="58" t="s">
        <x:v>18</x:v>
      </x:c>
    </x:row>
    <x:row r="84" ht="19.899999618530273" customHeight="1">
      <x:c r="A84" s="53">
        <x:f t="shared" si="9"/>
        <x:v>79</x:v>
      </x:c>
      <x:c r="B84" s="54" t="s">
        <x:v>59</x:v>
      </x:c>
      <x:c r="C84" s="54" t="s">
        <x:v>16</x:v>
      </x:c>
      <x:c r="D84" s="55">
        <x:v>45397</x:v>
      </x:c>
      <x:c r="E84" s="54" t="s">
        <x:v>64</x:v>
      </x:c>
      <x:c r="F84" s="54">
        <x:v>1</x:v>
      </x:c>
      <x:c r="G84" s="148">
        <x:v>1651.3</x:v>
      </x:c>
      <x:c r="H84" s="148" t="n">
        <x:f t="shared" si="5">IFERROR(IF(OR($F$1="",D84=""),0,MAX(0,$F$1-D84)),0)</x:f>
        <x:v>990</x:v>
      </x:c>
      <x:c r="I84" s="148">
        <x:v>0.2</x:v>
      </x:c>
      <x:c r="J84" s="148" t="n">
        <x:f t="shared" si="6">IFERROR(IF(OR(G84="",G84&lt;=0,I84="",D84="",$F$1=""),0,IF($F$1&lt;D84,0,MIN(MAX(G84-1,0),MAX(0,(G84*I84/365)*H84)))),0)</x:f>
        <x:v>895.773698630137</x:v>
      </x:c>
      <x:c r="K84" s="148" t="n">
        <x:f t="shared" si="7">IFERROR(IF(OR(G84="",G84&lt;=0),0,MAX(1,G84-J84)),0)</x:f>
        <x:v>755.526301369863</x:v>
      </x:c>
      <x:c r="L84" s="148" t="n">
        <x:f t="shared" si="8">IFERROR(IF(OR(G84="",G84&lt;=0,I84="",D84="",$F$1=""),0,IF($F$1&lt;D84,0,IF(K84&lt;=1,0,MIN(G84*I84/12,K84-1)))),0)</x:f>
        <x:v>27.521666666666665</x:v>
      </x:c>
      <x:c r="M84" s="58" t="s">
        <x:v>18</x:v>
      </x:c>
    </x:row>
    <x:row r="85" ht="19.899999618530273" customHeight="1">
      <x:c r="A85" s="53">
        <x:f t="shared" si="9"/>
        <x:v>80</x:v>
      </x:c>
      <x:c r="B85" s="54" t="s">
        <x:v>59</x:v>
      </x:c>
      <x:c r="C85" s="54" t="s">
        <x:v>16</x:v>
      </x:c>
      <x:c r="D85" s="55">
        <x:v>45403</x:v>
      </x:c>
      <x:c r="E85" s="54" t="s">
        <x:v>65</x:v>
      </x:c>
      <x:c r="F85" s="54">
        <x:v>1</x:v>
      </x:c>
      <x:c r="G85" s="148">
        <x:v>1251.385</x:v>
      </x:c>
      <x:c r="H85" s="148" t="n">
        <x:f t="shared" si="5">IFERROR(IF(OR($F$1="",D85=""),0,MAX(0,$F$1-D85)),0)</x:f>
        <x:v>984</x:v>
      </x:c>
      <x:c r="I85" s="148">
        <x:v>0.2</x:v>
      </x:c>
      <x:c r="J85" s="148" t="n">
        <x:f t="shared" si="6">IFERROR(IF(OR(G85="",G85&lt;=0,I85="",D85="",$F$1=""),0,IF($F$1&lt;D85,0,MIN(MAX(G85-1,0),MAX(0,(G85*I85/365)*H85)))),0)</x:f>
        <x:v>674.7193643835617</x:v>
      </x:c>
      <x:c r="K85" s="148" t="n">
        <x:f t="shared" si="7">IFERROR(IF(OR(G85="",G85&lt;=0),0,MAX(1,G85-J85)),0)</x:f>
        <x:v>576.6656356164383</x:v>
      </x:c>
      <x:c r="L85" s="148" t="n">
        <x:f t="shared" si="8">IFERROR(IF(OR(G85="",G85&lt;=0,I85="",D85="",$F$1=""),0,IF($F$1&lt;D85,0,IF(K85&lt;=1,0,MIN(G85*I85/12,K85-1)))),0)</x:f>
        <x:v>20.856416666666668</x:v>
      </x:c>
      <x:c r="M85" s="58" t="s">
        <x:v>18</x:v>
      </x:c>
    </x:row>
    <x:row r="86" ht="19.899999618530273" customHeight="1">
      <x:c r="A86" s="53">
        <x:f t="shared" si="9"/>
        <x:v>81</x:v>
      </x:c>
      <x:c r="B86" s="54" t="s">
        <x:v>59</x:v>
      </x:c>
      <x:c r="C86" s="54" t="s">
        <x:v>16</x:v>
      </x:c>
      <x:c r="D86" s="55">
        <x:v>45403</x:v>
      </x:c>
      <x:c r="E86" s="54" t="s">
        <x:v>65</x:v>
      </x:c>
      <x:c r="F86" s="54">
        <x:v>1</x:v>
      </x:c>
      <x:c r="G86" s="148">
        <x:v>1251.385</x:v>
      </x:c>
      <x:c r="H86" s="148" t="n">
        <x:f t="shared" si="5">IFERROR(IF(OR($F$1="",D86=""),0,MAX(0,$F$1-D86)),0)</x:f>
        <x:v>984</x:v>
      </x:c>
      <x:c r="I86" s="148">
        <x:v>0.2</x:v>
      </x:c>
      <x:c r="J86" s="148" t="n">
        <x:f t="shared" si="6">IFERROR(IF(OR(G86="",G86&lt;=0,I86="",D86="",$F$1=""),0,IF($F$1&lt;D86,0,MIN(MAX(G86-1,0),MAX(0,(G86*I86/365)*H86)))),0)</x:f>
        <x:v>674.7193643835617</x:v>
      </x:c>
      <x:c r="K86" s="148" t="n">
        <x:f t="shared" si="7">IFERROR(IF(OR(G86="",G86&lt;=0),0,MAX(1,G86-J86)),0)</x:f>
        <x:v>576.6656356164383</x:v>
      </x:c>
      <x:c r="L86" s="148" t="n">
        <x:f t="shared" si="8">IFERROR(IF(OR(G86="",G86&lt;=0,I86="",D86="",$F$1=""),0,IF($F$1&lt;D86,0,IF(K86&lt;=1,0,MIN(G86*I86/12,K86-1)))),0)</x:f>
        <x:v>20.856416666666668</x:v>
      </x:c>
      <x:c r="M86" s="58" t="s">
        <x:v>18</x:v>
      </x:c>
    </x:row>
    <x:row r="87" ht="19.899999618530273" customHeight="1">
      <x:c r="A87" s="53">
        <x:f t="shared" si="9"/>
        <x:v>82</x:v>
      </x:c>
      <x:c r="B87" s="54" t="s">
        <x:v>59</x:v>
      </x:c>
      <x:c r="C87" s="54" t="s">
        <x:v>66</x:v>
      </x:c>
      <x:c r="D87" s="55">
        <x:v>45419</x:v>
      </x:c>
      <x:c r="E87" s="54" t="s">
        <x:v>67</x:v>
      </x:c>
      <x:c r="F87" s="54">
        <x:v>1</x:v>
      </x:c>
      <x:c r="G87" s="148">
        <x:v>35000</x:v>
      </x:c>
      <x:c r="H87" s="148" t="n">
        <x:f t="shared" si="5">IFERROR(IF(OR($F$1="",D87=""),0,MAX(0,$F$1-D87)),0)</x:f>
        <x:v>968</x:v>
      </x:c>
      <x:c r="I87" s="148">
        <x:v>0.2</x:v>
      </x:c>
      <x:c r="J87" s="148" t="n">
        <x:f t="shared" si="6">IFERROR(IF(OR(G87="",G87&lt;=0,I87="",D87="",$F$1=""),0,IF($F$1&lt;D87,0,MIN(MAX(G87-1,0),MAX(0,(G87*I87/365)*H87)))),0)</x:f>
        <x:v>18564.383561643834</x:v>
      </x:c>
      <x:c r="K87" s="148" t="n">
        <x:f t="shared" si="7">IFERROR(IF(OR(G87="",G87&lt;=0),0,MAX(1,G87-J87)),0)</x:f>
        <x:v>16435.616438356166</x:v>
      </x:c>
      <x:c r="L87" s="148" t="n">
        <x:f t="shared" si="8">IFERROR(IF(OR(G87="",G87&lt;=0,I87="",D87="",$F$1=""),0,IF($F$1&lt;D87,0,IF(K87&lt;=1,0,MIN(G87*I87/12,K87-1)))),0)</x:f>
        <x:v>583.3333333333334</x:v>
      </x:c>
      <x:c r="M87" s="58" t="s">
        <x:v>18</x:v>
      </x:c>
    </x:row>
    <x:row r="88" ht="19.899999618530273" customHeight="1">
      <x:c r="A88" s="53">
        <x:f t="shared" si="9"/>
        <x:v>83</x:v>
      </x:c>
      <x:c r="B88" s="54" t="s">
        <x:v>59</x:v>
      </x:c>
      <x:c r="C88" s="54" t="s">
        <x:v>41</x:v>
      </x:c>
      <x:c r="D88" s="55">
        <x:v>45505</x:v>
      </x:c>
      <x:c r="E88" s="54" t="s">
        <x:v>68</x:v>
      </x:c>
      <x:c r="F88" s="54">
        <x:v>1</x:v>
      </x:c>
      <x:c r="G88" s="148">
        <x:v>592082</x:v>
      </x:c>
      <x:c r="H88" s="148" t="n">
        <x:f t="shared" si="5">IFERROR(IF(OR($F$1="",D88=""),0,MAX(0,$F$1-D88)),0)</x:f>
        <x:v>882</x:v>
      </x:c>
      <x:c r="I88" s="148">
        <x:v>0.15</x:v>
      </x:c>
      <x:c r="J88" s="148" t="n">
        <x:f t="shared" si="6">IFERROR(IF(OR(G88="",G88&lt;=0,I88="",D88="",$F$1=""),0,IF($F$1&lt;D88,0,MIN(MAX(G88-1,0),MAX(0,(G88*I88/365)*H88)))),0)</x:f>
        <x:v>214609.44821917807</x:v>
      </x:c>
      <x:c r="K88" s="148" t="n">
        <x:f t="shared" si="7">IFERROR(IF(OR(G88="",G88&lt;=0),0,MAX(1,G88-J88)),0)</x:f>
        <x:v>377472.55178082193</x:v>
      </x:c>
      <x:c r="L88" s="148" t="n">
        <x:f t="shared" si="8">IFERROR(IF(OR(G88="",G88&lt;=0,I88="",D88="",$F$1=""),0,IF($F$1&lt;D88,0,IF(K88&lt;=1,0,MIN(G88*I88/12,K88-1)))),0)</x:f>
        <x:v>7401.025000000001</x:v>
      </x:c>
      <x:c r="M88" s="58" t="s">
        <x:v>18</x:v>
      </x:c>
    </x:row>
    <x:row r="89" ht="19.899999618530273" customHeight="1">
      <x:c r="A89" s="53">
        <x:f t="shared" si="9"/>
        <x:v>84</x:v>
      </x:c>
      <x:c r="B89" s="54" t="s">
        <x:v>59</x:v>
      </x:c>
      <x:c r="C89" s="54" t="s">
        <x:v>43</x:v>
      </x:c>
      <x:c r="D89" s="55">
        <x:v>45474</x:v>
      </x:c>
      <x:c r="E89" s="54" t="s">
        <x:v>69</x:v>
      </x:c>
      <x:c r="F89" s="54">
        <x:v>1</x:v>
      </x:c>
      <x:c r="G89" s="148">
        <x:v>4736.67</x:v>
      </x:c>
      <x:c r="H89" s="148" t="n">
        <x:f t="shared" si="5">IFERROR(IF(OR($F$1="",D89=""),0,MAX(0,$F$1-D89)),0)</x:f>
        <x:v>913</x:v>
      </x:c>
      <x:c r="I89" s="148">
        <x:v>0.2</x:v>
      </x:c>
      <x:c r="J89" s="148" t="n">
        <x:f t="shared" si="6">IFERROR(IF(OR(G89="",G89&lt;=0,I89="",D89="",$F$1=""),0,IF($F$1&lt;D89,0,MIN(MAX(G89-1,0),MAX(0,(G89*I89/365)*H89)))),0)</x:f>
        <x:v>2369.6327178082197</x:v>
      </x:c>
      <x:c r="K89" s="148" t="n">
        <x:f t="shared" si="7">IFERROR(IF(OR(G89="",G89&lt;=0),0,MAX(1,G89-J89)),0)</x:f>
        <x:v>2367.0372821917804</x:v>
      </x:c>
      <x:c r="L89" s="148" t="n">
        <x:f t="shared" si="8">IFERROR(IF(OR(G89="",G89&lt;=0,I89="",D89="",$F$1=""),0,IF($F$1&lt;D89,0,IF(K89&lt;=1,0,MIN(G89*I89/12,K89-1)))),0)</x:f>
        <x:v>78.9445</x:v>
      </x:c>
      <x:c r="M89" s="58" t="s">
        <x:v>18</x:v>
      </x:c>
    </x:row>
    <x:row r="90" ht="19.899999618530273" customHeight="1">
      <x:c r="A90" s="53">
        <x:f t="shared" si="9"/>
        <x:v>85</x:v>
      </x:c>
      <x:c r="B90" s="54" t="s">
        <x:v>59</x:v>
      </x:c>
      <x:c r="C90" s="54" t="s">
        <x:v>43</x:v>
      </x:c>
      <x:c r="D90" s="55">
        <x:v>45474</x:v>
      </x:c>
      <x:c r="E90" s="54" t="s">
        <x:v>69</x:v>
      </x:c>
      <x:c r="F90" s="54">
        <x:v>1</x:v>
      </x:c>
      <x:c r="G90" s="148">
        <x:v>4736.67</x:v>
      </x:c>
      <x:c r="H90" s="148" t="n">
        <x:f t="shared" si="5">IFERROR(IF(OR($F$1="",D90=""),0,MAX(0,$F$1-D90)),0)</x:f>
        <x:v>913</x:v>
      </x:c>
      <x:c r="I90" s="148">
        <x:v>0.2</x:v>
      </x:c>
      <x:c r="J90" s="148" t="n">
        <x:f t="shared" si="6">IFERROR(IF(OR(G90="",G90&lt;=0,I90="",D90="",$F$1=""),0,IF($F$1&lt;D90,0,MIN(MAX(G90-1,0),MAX(0,(G90*I90/365)*H90)))),0)</x:f>
        <x:v>2369.6327178082197</x:v>
      </x:c>
      <x:c r="K90" s="148" t="n">
        <x:f t="shared" si="7">IFERROR(IF(OR(G90="",G90&lt;=0),0,MAX(1,G90-J90)),0)</x:f>
        <x:v>2367.0372821917804</x:v>
      </x:c>
      <x:c r="L90" s="148" t="n">
        <x:f t="shared" si="8">IFERROR(IF(OR(G90="",G90&lt;=0,I90="",D90="",$F$1=""),0,IF($F$1&lt;D90,0,IF(K90&lt;=1,0,MIN(G90*I90/12,K90-1)))),0)</x:f>
        <x:v>78.9445</x:v>
      </x:c>
      <x:c r="M90" s="58" t="s">
        <x:v>18</x:v>
      </x:c>
    </x:row>
    <x:row r="91" ht="19.899999618530273" customHeight="1">
      <x:c r="A91" s="53">
        <x:f t="shared" si="9"/>
        <x:v>86</x:v>
      </x:c>
      <x:c r="B91" s="54" t="s">
        <x:v>59</x:v>
      </x:c>
      <x:c r="C91" s="54" t="s">
        <x:v>43</x:v>
      </x:c>
      <x:c r="D91" s="55">
        <x:v>45474</x:v>
      </x:c>
      <x:c r="E91" s="54" t="s">
        <x:v>69</x:v>
      </x:c>
      <x:c r="F91" s="54">
        <x:v>1</x:v>
      </x:c>
      <x:c r="G91" s="148">
        <x:v>4736.67</x:v>
      </x:c>
      <x:c r="H91" s="148" t="n">
        <x:f t="shared" si="5">IFERROR(IF(OR($F$1="",D91=""),0,MAX(0,$F$1-D91)),0)</x:f>
        <x:v>913</x:v>
      </x:c>
      <x:c r="I91" s="148">
        <x:v>0.2</x:v>
      </x:c>
      <x:c r="J91" s="148" t="n">
        <x:f t="shared" si="6">IFERROR(IF(OR(G91="",G91&lt;=0,I91="",D91="",$F$1=""),0,IF($F$1&lt;D91,0,MIN(MAX(G91-1,0),MAX(0,(G91*I91/365)*H91)))),0)</x:f>
        <x:v>2369.6327178082197</x:v>
      </x:c>
      <x:c r="K91" s="148" t="n">
        <x:f t="shared" si="7">IFERROR(IF(OR(G91="",G91&lt;=0),0,MAX(1,G91-J91)),0)</x:f>
        <x:v>2367.0372821917804</x:v>
      </x:c>
      <x:c r="L91" s="148" t="n">
        <x:f t="shared" si="8">IFERROR(IF(OR(G91="",G91&lt;=0,I91="",D91="",$F$1=""),0,IF($F$1&lt;D91,0,IF(K91&lt;=1,0,MIN(G91*I91/12,K91-1)))),0)</x:f>
        <x:v>78.9445</x:v>
      </x:c>
      <x:c r="M91" s="58" t="s">
        <x:v>18</x:v>
      </x:c>
    </x:row>
    <x:row r="92" ht="19.899999618530273" customHeight="1">
      <x:c r="A92" s="53">
        <x:f t="shared" si="9"/>
        <x:v>87</x:v>
      </x:c>
      <x:c r="B92" s="54" t="s">
        <x:v>59</x:v>
      </x:c>
      <x:c r="C92" s="54" t="s">
        <x:v>43</x:v>
      </x:c>
      <x:c r="D92" s="55">
        <x:v>45474</x:v>
      </x:c>
      <x:c r="E92" s="54" t="s">
        <x:v>69</x:v>
      </x:c>
      <x:c r="F92" s="54">
        <x:v>1</x:v>
      </x:c>
      <x:c r="G92" s="148">
        <x:v>4736.67</x:v>
      </x:c>
      <x:c r="H92" s="148" t="n">
        <x:f t="shared" si="5">IFERROR(IF(OR($F$1="",D92=""),0,MAX(0,$F$1-D92)),0)</x:f>
        <x:v>913</x:v>
      </x:c>
      <x:c r="I92" s="148">
        <x:v>0.2</x:v>
      </x:c>
      <x:c r="J92" s="148" t="n">
        <x:f t="shared" si="6">IFERROR(IF(OR(G92="",G92&lt;=0,I92="",D92="",$F$1=""),0,IF($F$1&lt;D92,0,MIN(MAX(G92-1,0),MAX(0,(G92*I92/365)*H92)))),0)</x:f>
        <x:v>2369.6327178082197</x:v>
      </x:c>
      <x:c r="K92" s="148" t="n">
        <x:f t="shared" si="7">IFERROR(IF(OR(G92="",G92&lt;=0),0,MAX(1,G92-J92)),0)</x:f>
        <x:v>2367.0372821917804</x:v>
      </x:c>
      <x:c r="L92" s="148" t="n">
        <x:f t="shared" si="8">IFERROR(IF(OR(G92="",G92&lt;=0,I92="",D92="",$F$1=""),0,IF($F$1&lt;D92,0,IF(K92&lt;=1,0,MIN(G92*I92/12,K92-1)))),0)</x:f>
        <x:v>78.9445</x:v>
      </x:c>
      <x:c r="M92" s="58" t="s">
        <x:v>18</x:v>
      </x:c>
    </x:row>
    <x:row r="93" ht="19.899999618530273" customHeight="1">
      <x:c r="A93" s="53">
        <x:f t="shared" si="9"/>
        <x:v>88</x:v>
      </x:c>
      <x:c r="B93" s="54" t="s">
        <x:v>59</x:v>
      </x:c>
      <x:c r="C93" s="54" t="s">
        <x:v>43</x:v>
      </x:c>
      <x:c r="D93" s="55">
        <x:v>45474</x:v>
      </x:c>
      <x:c r="E93" s="54" t="s">
        <x:v>69</x:v>
      </x:c>
      <x:c r="F93" s="54">
        <x:v>1</x:v>
      </x:c>
      <x:c r="G93" s="148">
        <x:v>4736.67</x:v>
      </x:c>
      <x:c r="H93" s="148" t="n">
        <x:f t="shared" si="5">IFERROR(IF(OR($F$1="",D93=""),0,MAX(0,$F$1-D93)),0)</x:f>
        <x:v>913</x:v>
      </x:c>
      <x:c r="I93" s="148">
        <x:v>0.2</x:v>
      </x:c>
      <x:c r="J93" s="148" t="n">
        <x:f t="shared" si="6">IFERROR(IF(OR(G93="",G93&lt;=0,I93="",D93="",$F$1=""),0,IF($F$1&lt;D93,0,MIN(MAX(G93-1,0),MAX(0,(G93*I93/365)*H93)))),0)</x:f>
        <x:v>2369.6327178082197</x:v>
      </x:c>
      <x:c r="K93" s="148" t="n">
        <x:f t="shared" si="7">IFERROR(IF(OR(G93="",G93&lt;=0),0,MAX(1,G93-J93)),0)</x:f>
        <x:v>2367.0372821917804</x:v>
      </x:c>
      <x:c r="L93" s="148" t="n">
        <x:f t="shared" si="8">IFERROR(IF(OR(G93="",G93&lt;=0,I93="",D93="",$F$1=""),0,IF($F$1&lt;D93,0,IF(K93&lt;=1,0,MIN(G93*I93/12,K93-1)))),0)</x:f>
        <x:v>78.9445</x:v>
      </x:c>
      <x:c r="M93" s="58" t="s">
        <x:v>18</x:v>
      </x:c>
    </x:row>
    <x:row r="94" ht="19.899999618530273" customHeight="1">
      <x:c r="A94" s="53">
        <x:f t="shared" si="9"/>
        <x:v>89</x:v>
      </x:c>
      <x:c r="B94" s="54" t="s">
        <x:v>59</x:v>
      </x:c>
      <x:c r="C94" s="54" t="s">
        <x:v>43</x:v>
      </x:c>
      <x:c r="D94" s="55">
        <x:v>45474</x:v>
      </x:c>
      <x:c r="E94" s="54" t="s">
        <x:v>70</x:v>
      </x:c>
      <x:c r="F94" s="54">
        <x:v>1</x:v>
      </x:c>
      <x:c r="G94" s="148">
        <x:v>5970.66</x:v>
      </x:c>
      <x:c r="H94" s="148" t="n">
        <x:f t="shared" si="5">IFERROR(IF(OR($F$1="",D94=""),0,MAX(0,$F$1-D94)),0)</x:f>
        <x:v>913</x:v>
      </x:c>
      <x:c r="I94" s="148">
        <x:v>0.2</x:v>
      </x:c>
      <x:c r="J94" s="148" t="n">
        <x:f t="shared" si="6">IFERROR(IF(OR(G94="",G94&lt;=0,I94="",D94="",$F$1=""),0,IF($F$1&lt;D94,0,MIN(MAX(G94-1,0),MAX(0,(G94*I94/365)*H94)))),0)</x:f>
        <x:v>2986.9657972602745</x:v>
      </x:c>
      <x:c r="K94" s="148" t="n">
        <x:f t="shared" si="7">IFERROR(IF(OR(G94="",G94&lt;=0),0,MAX(1,G94-J94)),0)</x:f>
        <x:v>2983.6942027397254</x:v>
      </x:c>
      <x:c r="L94" s="148" t="n">
        <x:f t="shared" si="8">IFERROR(IF(OR(G94="",G94&lt;=0,I94="",D94="",$F$1=""),0,IF($F$1&lt;D94,0,IF(K94&lt;=1,0,MIN(G94*I94/12,K94-1)))),0)</x:f>
        <x:v>99.51100000000001</x:v>
      </x:c>
      <x:c r="M94" s="58" t="s">
        <x:v>18</x:v>
      </x:c>
    </x:row>
    <x:row r="95" ht="19.899999618530273" customHeight="1">
      <x:c r="A95" s="53">
        <x:f t="shared" si="9"/>
        <x:v>90</x:v>
      </x:c>
      <x:c r="B95" s="54" t="s">
        <x:v>59</x:v>
      </x:c>
      <x:c r="C95" s="54" t="s">
        <x:v>43</x:v>
      </x:c>
      <x:c r="D95" s="55">
        <x:v>45474</x:v>
      </x:c>
      <x:c r="E95" s="54" t="s">
        <x:v>70</x:v>
      </x:c>
      <x:c r="F95" s="54">
        <x:v>1</x:v>
      </x:c>
      <x:c r="G95" s="148">
        <x:v>5970.66</x:v>
      </x:c>
      <x:c r="H95" s="148" t="n">
        <x:f t="shared" si="5">IFERROR(IF(OR($F$1="",D95=""),0,MAX(0,$F$1-D95)),0)</x:f>
        <x:v>913</x:v>
      </x:c>
      <x:c r="I95" s="148">
        <x:v>0.2</x:v>
      </x:c>
      <x:c r="J95" s="148" t="n">
        <x:f t="shared" si="6">IFERROR(IF(OR(G95="",G95&lt;=0,I95="",D95="",$F$1=""),0,IF($F$1&lt;D95,0,MIN(MAX(G95-1,0),MAX(0,(G95*I95/365)*H95)))),0)</x:f>
        <x:v>2986.9657972602745</x:v>
      </x:c>
      <x:c r="K95" s="148" t="n">
        <x:f t="shared" si="7">IFERROR(IF(OR(G95="",G95&lt;=0),0,MAX(1,G95-J95)),0)</x:f>
        <x:v>2983.6942027397254</x:v>
      </x:c>
      <x:c r="L95" s="148" t="n">
        <x:f t="shared" si="8">IFERROR(IF(OR(G95="",G95&lt;=0,I95="",D95="",$F$1=""),0,IF($F$1&lt;D95,0,IF(K95&lt;=1,0,MIN(G95*I95/12,K95-1)))),0)</x:f>
        <x:v>99.51100000000001</x:v>
      </x:c>
      <x:c r="M95" s="58" t="s">
        <x:v>18</x:v>
      </x:c>
    </x:row>
    <x:row r="96" ht="19.899999618530273" customHeight="1">
      <x:c r="A96" s="53">
        <x:f t="shared" si="9"/>
        <x:v>91</x:v>
      </x:c>
      <x:c r="B96" s="54" t="s">
        <x:v>59</x:v>
      </x:c>
      <x:c r="C96" s="54" t="s">
        <x:v>43</x:v>
      </x:c>
      <x:c r="D96" s="55">
        <x:v>45474</x:v>
      </x:c>
      <x:c r="E96" s="54" t="s">
        <x:v>70</x:v>
      </x:c>
      <x:c r="F96" s="54">
        <x:v>1</x:v>
      </x:c>
      <x:c r="G96" s="148">
        <x:v>5970.66</x:v>
      </x:c>
      <x:c r="H96" s="148" t="n">
        <x:f t="shared" si="5">IFERROR(IF(OR($F$1="",D96=""),0,MAX(0,$F$1-D96)),0)</x:f>
        <x:v>913</x:v>
      </x:c>
      <x:c r="I96" s="148">
        <x:v>0.2</x:v>
      </x:c>
      <x:c r="J96" s="148" t="n">
        <x:f t="shared" si="6">IFERROR(IF(OR(G96="",G96&lt;=0,I96="",D96="",$F$1=""),0,IF($F$1&lt;D96,0,MIN(MAX(G96-1,0),MAX(0,(G96*I96/365)*H96)))),0)</x:f>
        <x:v>2986.9657972602745</x:v>
      </x:c>
      <x:c r="K96" s="148" t="n">
        <x:f t="shared" si="7">IFERROR(IF(OR(G96="",G96&lt;=0),0,MAX(1,G96-J96)),0)</x:f>
        <x:v>2983.6942027397254</x:v>
      </x:c>
      <x:c r="L96" s="148" t="n">
        <x:f t="shared" si="8">IFERROR(IF(OR(G96="",G96&lt;=0,I96="",D96="",$F$1=""),0,IF($F$1&lt;D96,0,IF(K96&lt;=1,0,MIN(G96*I96/12,K96-1)))),0)</x:f>
        <x:v>99.51100000000001</x:v>
      </x:c>
      <x:c r="M96" s="58" t="s">
        <x:v>18</x:v>
      </x:c>
    </x:row>
    <x:row r="97" ht="19.899999618530273" customHeight="1">
      <x:c r="A97" s="53">
        <x:f t="shared" si="9"/>
        <x:v>92</x:v>
      </x:c>
      <x:c r="B97" s="54" t="s">
        <x:v>59</x:v>
      </x:c>
      <x:c r="C97" s="54" t="s">
        <x:v>43</x:v>
      </x:c>
      <x:c r="D97" s="55">
        <x:v>45474</x:v>
      </x:c>
      <x:c r="E97" s="54" t="s">
        <x:v>70</x:v>
      </x:c>
      <x:c r="F97" s="54">
        <x:v>1</x:v>
      </x:c>
      <x:c r="G97" s="148">
        <x:v>5970.66</x:v>
      </x:c>
      <x:c r="H97" s="148" t="n">
        <x:f t="shared" si="5">IFERROR(IF(OR($F$1="",D97=""),0,MAX(0,$F$1-D97)),0)</x:f>
        <x:v>913</x:v>
      </x:c>
      <x:c r="I97" s="148">
        <x:v>0.2</x:v>
      </x:c>
      <x:c r="J97" s="148" t="n">
        <x:f t="shared" si="6">IFERROR(IF(OR(G97="",G97&lt;=0,I97="",D97="",$F$1=""),0,IF($F$1&lt;D97,0,MIN(MAX(G97-1,0),MAX(0,(G97*I97/365)*H97)))),0)</x:f>
        <x:v>2986.9657972602745</x:v>
      </x:c>
      <x:c r="K97" s="148" t="n">
        <x:f t="shared" si="7">IFERROR(IF(OR(G97="",G97&lt;=0),0,MAX(1,G97-J97)),0)</x:f>
        <x:v>2983.6942027397254</x:v>
      </x:c>
      <x:c r="L97" s="148" t="n">
        <x:f t="shared" si="8">IFERROR(IF(OR(G97="",G97&lt;=0,I97="",D97="",$F$1=""),0,IF($F$1&lt;D97,0,IF(K97&lt;=1,0,MIN(G97*I97/12,K97-1)))),0)</x:f>
        <x:v>99.51100000000001</x:v>
      </x:c>
      <x:c r="M97" s="58" t="s">
        <x:v>18</x:v>
      </x:c>
    </x:row>
    <x:row r="98" ht="19.899999618530273" customHeight="1">
      <x:c r="A98" s="53">
        <x:f t="shared" si="9"/>
        <x:v>93</x:v>
      </x:c>
      <x:c r="B98" s="54" t="s">
        <x:v>59</x:v>
      </x:c>
      <x:c r="C98" s="54" t="s">
        <x:v>43</x:v>
      </x:c>
      <x:c r="D98" s="55">
        <x:v>45474</x:v>
      </x:c>
      <x:c r="E98" s="54" t="s">
        <x:v>70</x:v>
      </x:c>
      <x:c r="F98" s="54">
        <x:v>1</x:v>
      </x:c>
      <x:c r="G98" s="148">
        <x:v>5970.66</x:v>
      </x:c>
      <x:c r="H98" s="148" t="n">
        <x:f t="shared" si="5">IFERROR(IF(OR($F$1="",D98=""),0,MAX(0,$F$1-D98)),0)</x:f>
        <x:v>913</x:v>
      </x:c>
      <x:c r="I98" s="148">
        <x:v>0.2</x:v>
      </x:c>
      <x:c r="J98" s="148" t="n">
        <x:f t="shared" si="6">IFERROR(IF(OR(G98="",G98&lt;=0,I98="",D98="",$F$1=""),0,IF($F$1&lt;D98,0,MIN(MAX(G98-1,0),MAX(0,(G98*I98/365)*H98)))),0)</x:f>
        <x:v>2986.9657972602745</x:v>
      </x:c>
      <x:c r="K98" s="148" t="n">
        <x:f t="shared" si="7">IFERROR(IF(OR(G98="",G98&lt;=0),0,MAX(1,G98-J98)),0)</x:f>
        <x:v>2983.6942027397254</x:v>
      </x:c>
      <x:c r="L98" s="148" t="n">
        <x:f t="shared" si="8">IFERROR(IF(OR(G98="",G98&lt;=0,I98="",D98="",$F$1=""),0,IF($F$1&lt;D98,0,IF(K98&lt;=1,0,MIN(G98*I98/12,K98-1)))),0)</x:f>
        <x:v>99.51100000000001</x:v>
      </x:c>
      <x:c r="M98" s="58" t="s">
        <x:v>18</x:v>
      </x:c>
    </x:row>
    <x:row r="99" ht="19.899999618530273" customHeight="1">
      <x:c r="A99" s="53">
        <x:f t="shared" si="9"/>
        <x:v>94</x:v>
      </x:c>
      <x:c r="B99" s="54" t="s">
        <x:v>59</x:v>
      </x:c>
      <x:c r="C99" s="54" t="s">
        <x:v>43</x:v>
      </x:c>
      <x:c r="D99" s="55">
        <x:v>45474</x:v>
      </x:c>
      <x:c r="E99" s="54" t="s">
        <x:v>70</x:v>
      </x:c>
      <x:c r="F99" s="54">
        <x:v>1</x:v>
      </x:c>
      <x:c r="G99" s="148">
        <x:v>5970.66</x:v>
      </x:c>
      <x:c r="H99" s="148" t="n">
        <x:f t="shared" si="5">IFERROR(IF(OR($F$1="",D99=""),0,MAX(0,$F$1-D99)),0)</x:f>
        <x:v>913</x:v>
      </x:c>
      <x:c r="I99" s="148">
        <x:v>0.2</x:v>
      </x:c>
      <x:c r="J99" s="148" t="n">
        <x:f t="shared" si="6">IFERROR(IF(OR(G99="",G99&lt;=0,I99="",D99="",$F$1=""),0,IF($F$1&lt;D99,0,MIN(MAX(G99-1,0),MAX(0,(G99*I99/365)*H99)))),0)</x:f>
        <x:v>2986.9657972602745</x:v>
      </x:c>
      <x:c r="K99" s="148" t="n">
        <x:f t="shared" si="7">IFERROR(IF(OR(G99="",G99&lt;=0),0,MAX(1,G99-J99)),0)</x:f>
        <x:v>2983.6942027397254</x:v>
      </x:c>
      <x:c r="L99" s="148" t="n">
        <x:f t="shared" si="8">IFERROR(IF(OR(G99="",G99&lt;=0,I99="",D99="",$F$1=""),0,IF($F$1&lt;D99,0,IF(K99&lt;=1,0,MIN(G99*I99/12,K99-1)))),0)</x:f>
        <x:v>99.51100000000001</x:v>
      </x:c>
      <x:c r="M99" s="58" t="s">
        <x:v>18</x:v>
      </x:c>
    </x:row>
    <x:row r="100" ht="19.899999618530273" customHeight="1">
      <x:c r="A100" s="53">
        <x:f t="shared" si="9"/>
        <x:v>95</x:v>
      </x:c>
      <x:c r="B100" s="54" t="s">
        <x:v>59</x:v>
      </x:c>
      <x:c r="C100" s="54" t="s">
        <x:v>43</x:v>
      </x:c>
      <x:c r="D100" s="55">
        <x:v>45474</x:v>
      </x:c>
      <x:c r="E100" s="54" t="s">
        <x:v>70</x:v>
      </x:c>
      <x:c r="F100" s="54">
        <x:v>1</x:v>
      </x:c>
      <x:c r="G100" s="148">
        <x:v>5970.66</x:v>
      </x:c>
      <x:c r="H100" s="148" t="n">
        <x:f t="shared" si="5">IFERROR(IF(OR($F$1="",D100=""),0,MAX(0,$F$1-D100)),0)</x:f>
        <x:v>913</x:v>
      </x:c>
      <x:c r="I100" s="148">
        <x:v>0.2</x:v>
      </x:c>
      <x:c r="J100" s="148" t="n">
        <x:f t="shared" si="6">IFERROR(IF(OR(G100="",G100&lt;=0,I100="",D100="",$F$1=""),0,IF($F$1&lt;D100,0,MIN(MAX(G100-1,0),MAX(0,(G100*I100/365)*H100)))),0)</x:f>
        <x:v>2986.9657972602745</x:v>
      </x:c>
      <x:c r="K100" s="148" t="n">
        <x:f t="shared" si="7">IFERROR(IF(OR(G100="",G100&lt;=0),0,MAX(1,G100-J100)),0)</x:f>
        <x:v>2983.6942027397254</x:v>
      </x:c>
      <x:c r="L100" s="148" t="n">
        <x:f t="shared" si="8">IFERROR(IF(OR(G100="",G100&lt;=0,I100="",D100="",$F$1=""),0,IF($F$1&lt;D100,0,IF(K100&lt;=1,0,MIN(G100*I100/12,K100-1)))),0)</x:f>
        <x:v>99.51100000000001</x:v>
      </x:c>
      <x:c r="M100" s="58" t="s">
        <x:v>18</x:v>
      </x:c>
    </x:row>
    <x:row r="101" ht="19.899999618530273" customHeight="1">
      <x:c r="A101" s="53">
        <x:f t="shared" si="9"/>
        <x:v>96</x:v>
      </x:c>
      <x:c r="B101" s="54" t="s">
        <x:v>59</x:v>
      </x:c>
      <x:c r="C101" s="54" t="s">
        <x:v>43</x:v>
      </x:c>
      <x:c r="D101" s="55">
        <x:v>45474</x:v>
      </x:c>
      <x:c r="E101" s="54" t="s">
        <x:v>70</x:v>
      </x:c>
      <x:c r="F101" s="54">
        <x:v>1</x:v>
      </x:c>
      <x:c r="G101" s="148">
        <x:v>5970.66</x:v>
      </x:c>
      <x:c r="H101" s="148" t="n">
        <x:f t="shared" si="5">IFERROR(IF(OR($F$1="",D101=""),0,MAX(0,$F$1-D101)),0)</x:f>
        <x:v>913</x:v>
      </x:c>
      <x:c r="I101" s="148">
        <x:v>0.2</x:v>
      </x:c>
      <x:c r="J101" s="148" t="n">
        <x:f t="shared" si="6">IFERROR(IF(OR(G101="",G101&lt;=0,I101="",D101="",$F$1=""),0,IF($F$1&lt;D101,0,MIN(MAX(G101-1,0),MAX(0,(G101*I101/365)*H101)))),0)</x:f>
        <x:v>2986.9657972602745</x:v>
      </x:c>
      <x:c r="K101" s="148" t="n">
        <x:f t="shared" si="7">IFERROR(IF(OR(G101="",G101&lt;=0),0,MAX(1,G101-J101)),0)</x:f>
        <x:v>2983.6942027397254</x:v>
      </x:c>
      <x:c r="L101" s="148" t="n">
        <x:f t="shared" si="8">IFERROR(IF(OR(G101="",G101&lt;=0,I101="",D101="",$F$1=""),0,IF($F$1&lt;D101,0,IF(K101&lt;=1,0,MIN(G101*I101/12,K101-1)))),0)</x:f>
        <x:v>99.51100000000001</x:v>
      </x:c>
      <x:c r="M101" s="58" t="s">
        <x:v>18</x:v>
      </x:c>
    </x:row>
    <x:row r="102" ht="19.899999618530273" customHeight="1">
      <x:c r="A102" s="53">
        <x:f t="shared" si="9"/>
        <x:v>97</x:v>
      </x:c>
      <x:c r="B102" s="54" t="s">
        <x:v>59</x:v>
      </x:c>
      <x:c r="C102" s="54" t="s">
        <x:v>43</x:v>
      </x:c>
      <x:c r="D102" s="55">
        <x:v>45474</x:v>
      </x:c>
      <x:c r="E102" s="54" t="s">
        <x:v>70</x:v>
      </x:c>
      <x:c r="F102" s="54">
        <x:v>1</x:v>
      </x:c>
      <x:c r="G102" s="148">
        <x:v>5970.66</x:v>
      </x:c>
      <x:c r="H102" s="148" t="n">
        <x:f t="shared" si="5">IFERROR(IF(OR($F$1="",D102=""),0,MAX(0,$F$1-D102)),0)</x:f>
        <x:v>913</x:v>
      </x:c>
      <x:c r="I102" s="148">
        <x:v>0.2</x:v>
      </x:c>
      <x:c r="J102" s="148" t="n">
        <x:f t="shared" si="6">IFERROR(IF(OR(G102="",G102&lt;=0,I102="",D102="",$F$1=""),0,IF($F$1&lt;D102,0,MIN(MAX(G102-1,0),MAX(0,(G102*I102/365)*H102)))),0)</x:f>
        <x:v>2986.9657972602745</x:v>
      </x:c>
      <x:c r="K102" s="148" t="n">
        <x:f t="shared" si="7">IFERROR(IF(OR(G102="",G102&lt;=0),0,MAX(1,G102-J102)),0)</x:f>
        <x:v>2983.6942027397254</x:v>
      </x:c>
      <x:c r="L102" s="148" t="n">
        <x:f t="shared" si="8">IFERROR(IF(OR(G102="",G102&lt;=0,I102="",D102="",$F$1=""),0,IF($F$1&lt;D102,0,IF(K102&lt;=1,0,MIN(G102*I102/12,K102-1)))),0)</x:f>
        <x:v>99.51100000000001</x:v>
      </x:c>
      <x:c r="M102" s="58" t="s">
        <x:v>18</x:v>
      </x:c>
    </x:row>
    <x:row r="103" ht="19.899999618530273" customHeight="1">
      <x:c r="A103" s="53">
        <x:f t="shared" si="9"/>
        <x:v>98</x:v>
      </x:c>
      <x:c r="B103" s="54" t="s">
        <x:v>59</x:v>
      </x:c>
      <x:c r="C103" s="54" t="s">
        <x:v>43</x:v>
      </x:c>
      <x:c r="D103" s="55">
        <x:v>45474</x:v>
      </x:c>
      <x:c r="E103" s="54" t="s">
        <x:v>70</x:v>
      </x:c>
      <x:c r="F103" s="54">
        <x:v>1</x:v>
      </x:c>
      <x:c r="G103" s="148">
        <x:v>5970.66</x:v>
      </x:c>
      <x:c r="H103" s="148" t="n">
        <x:f t="shared" si="5">IFERROR(IF(OR($F$1="",D103=""),0,MAX(0,$F$1-D103)),0)</x:f>
        <x:v>913</x:v>
      </x:c>
      <x:c r="I103" s="148">
        <x:v>0.2</x:v>
      </x:c>
      <x:c r="J103" s="148" t="n">
        <x:f t="shared" si="6">IFERROR(IF(OR(G103="",G103&lt;=0,I103="",D103="",$F$1=""),0,IF($F$1&lt;D103,0,MIN(MAX(G103-1,0),MAX(0,(G103*I103/365)*H103)))),0)</x:f>
        <x:v>2986.9657972602745</x:v>
      </x:c>
      <x:c r="K103" s="148" t="n">
        <x:f t="shared" si="7">IFERROR(IF(OR(G103="",G103&lt;=0),0,MAX(1,G103-J103)),0)</x:f>
        <x:v>2983.6942027397254</x:v>
      </x:c>
      <x:c r="L103" s="148" t="n">
        <x:f t="shared" si="8">IFERROR(IF(OR(G103="",G103&lt;=0,I103="",D103="",$F$1=""),0,IF($F$1&lt;D103,0,IF(K103&lt;=1,0,MIN(G103*I103/12,K103-1)))),0)</x:f>
        <x:v>99.51100000000001</x:v>
      </x:c>
      <x:c r="M103" s="58" t="s">
        <x:v>18</x:v>
      </x:c>
    </x:row>
    <x:row r="104" ht="19.899999618530273" customHeight="1">
      <x:c r="A104" s="53">
        <x:f t="shared" si="9"/>
        <x:v>99</x:v>
      </x:c>
      <x:c r="B104" s="54" t="s">
        <x:v>59</x:v>
      </x:c>
      <x:c r="C104" s="54" t="s">
        <x:v>43</x:v>
      </x:c>
      <x:c r="D104" s="55">
        <x:v>45474</x:v>
      </x:c>
      <x:c r="E104" s="54" t="s">
        <x:v>70</x:v>
      </x:c>
      <x:c r="F104" s="54">
        <x:v>1</x:v>
      </x:c>
      <x:c r="G104" s="149">
        <x:v>5970.66</x:v>
      </x:c>
      <x:c r="H104" s="149" t="n">
        <x:f t="shared" si="5">IFERROR(IF(OR($F$1="",D104=""),0,MAX(0,$F$1-D104)),0)</x:f>
        <x:v>913</x:v>
      </x:c>
      <x:c r="I104" s="149">
        <x:v>0.2</x:v>
      </x:c>
      <x:c r="J104" s="149" t="n">
        <x:f t="shared" si="6">IFERROR(IF(OR(G104="",G104&lt;=0,I104="",D104="",$F$1=""),0,IF($F$1&lt;D104,0,MIN(MAX(G104-1,0),MAX(0,(G104*I104/365)*H104)))),0)</x:f>
        <x:v>2986.9657972602745</x:v>
      </x:c>
      <x:c r="K104" s="148" t="n">
        <x:f t="shared" si="7">IFERROR(IF(OR(G104="",G104&lt;=0),0,MAX(1,G104-J104)),0)</x:f>
        <x:v>2983.6942027397254</x:v>
      </x:c>
      <x:c r="L104" s="148" t="n">
        <x:f t="shared" si="8">IFERROR(IF(OR(G104="",G104&lt;=0,I104="",D104="",$F$1=""),0,IF($F$1&lt;D104,0,IF(K104&lt;=1,0,MIN(G104*I104/12,K104-1)))),0)</x:f>
        <x:v>99.51100000000001</x:v>
      </x:c>
      <x:c r="M104" s="58" t="s">
        <x:v>18</x:v>
      </x:c>
    </x:row>
    <x:row r="105" ht="19.899999618530273" customHeight="1">
      <x:c r="A105" s="53">
        <x:f t="shared" si="9"/>
        <x:v>100</x:v>
      </x:c>
      <x:c r="B105" s="54" t="s">
        <x:v>59</x:v>
      </x:c>
      <x:c r="C105" s="54" t="s">
        <x:v>43</x:v>
      </x:c>
      <x:c r="D105" s="55">
        <x:v>45474</x:v>
      </x:c>
      <x:c r="E105" s="54" t="s">
        <x:v>71</x:v>
      </x:c>
      <x:c r="F105" s="54">
        <x:v>1</x:v>
      </x:c>
      <x:c r="G105" s="148">
        <x:v>5496.35</x:v>
      </x:c>
      <x:c r="H105" s="148" t="n">
        <x:f t="shared" si="5">IFERROR(IF(OR($F$1="",D105=""),0,MAX(0,$F$1-D105)),0)</x:f>
        <x:v>913</x:v>
      </x:c>
      <x:c r="I105" s="148">
        <x:v>0.2</x:v>
      </x:c>
      <x:c r="J105" s="148" t="n">
        <x:f t="shared" si="6">IFERROR(IF(OR(G105="",G105&lt;=0,I105="",D105="",$F$1=""),0,IF($F$1&lt;D105,0,MIN(MAX(G105-1,0),MAX(0,(G105*I105/365)*H105)))),0)</x:f>
        <x:v>2749.6808493150693</x:v>
      </x:c>
      <x:c r="K105" s="148" t="n">
        <x:f t="shared" si="7">IFERROR(IF(OR(G105="",G105&lt;=0),0,MAX(1,G105-J105)),0)</x:f>
        <x:v>2746.669150684931</x:v>
      </x:c>
      <x:c r="L105" s="148" t="n">
        <x:f t="shared" si="8">IFERROR(IF(OR(G105="",G105&lt;=0,I105="",D105="",$F$1=""),0,IF($F$1&lt;D105,0,IF(K105&lt;=1,0,MIN(G105*I105/12,K105-1)))),0)</x:f>
        <x:v>91.60583333333335</x:v>
      </x:c>
      <x:c r="M105" s="58" t="s">
        <x:v>18</x:v>
      </x:c>
    </x:row>
    <x:row r="106" ht="19.899999618530273" customHeight="1">
      <x:c r="A106" s="53">
        <x:f t="shared" si="9"/>
        <x:v>101</x:v>
      </x:c>
      <x:c r="B106" s="54" t="s">
        <x:v>59</x:v>
      </x:c>
      <x:c r="C106" s="54" t="s">
        <x:v>43</x:v>
      </x:c>
      <x:c r="D106" s="55">
        <x:v>45474</x:v>
      </x:c>
      <x:c r="E106" s="54" t="s">
        <x:v>71</x:v>
      </x:c>
      <x:c r="F106" s="54">
        <x:v>1</x:v>
      </x:c>
      <x:c r="G106" s="148">
        <x:v>5496.35</x:v>
      </x:c>
      <x:c r="H106" s="148" t="n">
        <x:f t="shared" si="5">IFERROR(IF(OR($F$1="",D106=""),0,MAX(0,$F$1-D106)),0)</x:f>
        <x:v>913</x:v>
      </x:c>
      <x:c r="I106" s="148">
        <x:v>0.2</x:v>
      </x:c>
      <x:c r="J106" s="148" t="n">
        <x:f t="shared" si="6">IFERROR(IF(OR(G106="",G106&lt;=0,I106="",D106="",$F$1=""),0,IF($F$1&lt;D106,0,MIN(MAX(G106-1,0),MAX(0,(G106*I106/365)*H106)))),0)</x:f>
        <x:v>2749.6808493150693</x:v>
      </x:c>
      <x:c r="K106" s="148" t="n">
        <x:f t="shared" si="7">IFERROR(IF(OR(G106="",G106&lt;=0),0,MAX(1,G106-J106)),0)</x:f>
        <x:v>2746.669150684931</x:v>
      </x:c>
      <x:c r="L106" s="148" t="n">
        <x:f t="shared" si="8">IFERROR(IF(OR(G106="",G106&lt;=0,I106="",D106="",$F$1=""),0,IF($F$1&lt;D106,0,IF(K106&lt;=1,0,MIN(G106*I106/12,K106-1)))),0)</x:f>
        <x:v>91.60583333333335</x:v>
      </x:c>
      <x:c r="M106" s="58" t="s">
        <x:v>18</x:v>
      </x:c>
    </x:row>
    <x:row r="107" ht="19.899999618530273" customHeight="1">
      <x:c r="A107" s="53">
        <x:f t="shared" si="9"/>
        <x:v>102</x:v>
      </x:c>
      <x:c r="B107" s="54" t="s">
        <x:v>59</x:v>
      </x:c>
      <x:c r="C107" s="54" t="s">
        <x:v>43</x:v>
      </x:c>
      <x:c r="D107" s="55">
        <x:v>45474</x:v>
      </x:c>
      <x:c r="E107" s="54" t="s">
        <x:v>71</x:v>
      </x:c>
      <x:c r="F107" s="54">
        <x:v>1</x:v>
      </x:c>
      <x:c r="G107" s="148">
        <x:v>5496.35</x:v>
      </x:c>
      <x:c r="H107" s="148" t="n">
        <x:f t="shared" si="5">IFERROR(IF(OR($F$1="",D107=""),0,MAX(0,$F$1-D107)),0)</x:f>
        <x:v>913</x:v>
      </x:c>
      <x:c r="I107" s="148">
        <x:v>0.2</x:v>
      </x:c>
      <x:c r="J107" s="148" t="n">
        <x:f t="shared" si="6">IFERROR(IF(OR(G107="",G107&lt;=0,I107="",D107="",$F$1=""),0,IF($F$1&lt;D107,0,MIN(MAX(G107-1,0),MAX(0,(G107*I107/365)*H107)))),0)</x:f>
        <x:v>2749.6808493150693</x:v>
      </x:c>
      <x:c r="K107" s="148" t="n">
        <x:f t="shared" si="7">IFERROR(IF(OR(G107="",G107&lt;=0),0,MAX(1,G107-J107)),0)</x:f>
        <x:v>2746.669150684931</x:v>
      </x:c>
      <x:c r="L107" s="148" t="n">
        <x:f t="shared" si="8">IFERROR(IF(OR(G107="",G107&lt;=0,I107="",D107="",$F$1=""),0,IF($F$1&lt;D107,0,IF(K107&lt;=1,0,MIN(G107*I107/12,K107-1)))),0)</x:f>
        <x:v>91.60583333333335</x:v>
      </x:c>
      <x:c r="M107" s="58" t="s">
        <x:v>18</x:v>
      </x:c>
    </x:row>
    <x:row r="108" ht="19.899999618530273" customHeight="1">
      <x:c r="A108" s="53">
        <x:f t="shared" si="9"/>
        <x:v>103</x:v>
      </x:c>
      <x:c r="B108" s="54" t="s">
        <x:v>59</x:v>
      </x:c>
      <x:c r="C108" s="54" t="s">
        <x:v>43</x:v>
      </x:c>
      <x:c r="D108" s="55">
        <x:v>45474</x:v>
      </x:c>
      <x:c r="E108" s="54" t="s">
        <x:v>71</x:v>
      </x:c>
      <x:c r="F108" s="54">
        <x:v>1</x:v>
      </x:c>
      <x:c r="G108" s="148">
        <x:v>5496.35</x:v>
      </x:c>
      <x:c r="H108" s="148" t="n">
        <x:f t="shared" si="5">IFERROR(IF(OR($F$1="",D108=""),0,MAX(0,$F$1-D108)),0)</x:f>
        <x:v>913</x:v>
      </x:c>
      <x:c r="I108" s="148">
        <x:v>0.2</x:v>
      </x:c>
      <x:c r="J108" s="148" t="n">
        <x:f t="shared" si="6">IFERROR(IF(OR(G108="",G108&lt;=0,I108="",D108="",$F$1=""),0,IF($F$1&lt;D108,0,MIN(MAX(G108-1,0),MAX(0,(G108*I108/365)*H108)))),0)</x:f>
        <x:v>2749.6808493150693</x:v>
      </x:c>
      <x:c r="K108" s="148" t="n">
        <x:f t="shared" si="7">IFERROR(IF(OR(G108="",G108&lt;=0),0,MAX(1,G108-J108)),0)</x:f>
        <x:v>2746.669150684931</x:v>
      </x:c>
      <x:c r="L108" s="148" t="n">
        <x:f t="shared" si="8">IFERROR(IF(OR(G108="",G108&lt;=0,I108="",D108="",$F$1=""),0,IF($F$1&lt;D108,0,IF(K108&lt;=1,0,MIN(G108*I108/12,K108-1)))),0)</x:f>
        <x:v>91.60583333333335</x:v>
      </x:c>
      <x:c r="M108" s="58" t="s">
        <x:v>18</x:v>
      </x:c>
    </x:row>
    <x:row r="109" ht="19.899999618530273" customHeight="1">
      <x:c r="A109" s="53">
        <x:f t="shared" si="9"/>
        <x:v>104</x:v>
      </x:c>
      <x:c r="B109" s="54" t="s">
        <x:v>59</x:v>
      </x:c>
      <x:c r="C109" s="54" t="s">
        <x:v>43</x:v>
      </x:c>
      <x:c r="D109" s="55">
        <x:v>45474</x:v>
      </x:c>
      <x:c r="E109" s="54" t="s">
        <x:v>71</x:v>
      </x:c>
      <x:c r="F109" s="54">
        <x:v>1</x:v>
      </x:c>
      <x:c r="G109" s="148">
        <x:v>5496.35</x:v>
      </x:c>
      <x:c r="H109" s="148" t="n">
        <x:f t="shared" si="5">IFERROR(IF(OR($F$1="",D109=""),0,MAX(0,$F$1-D109)),0)</x:f>
        <x:v>913</x:v>
      </x:c>
      <x:c r="I109" s="148">
        <x:v>0.2</x:v>
      </x:c>
      <x:c r="J109" s="148" t="n">
        <x:f t="shared" si="6">IFERROR(IF(OR(G109="",G109&lt;=0,I109="",D109="",$F$1=""),0,IF($F$1&lt;D109,0,MIN(MAX(G109-1,0),MAX(0,(G109*I109/365)*H109)))),0)</x:f>
        <x:v>2749.6808493150693</x:v>
      </x:c>
      <x:c r="K109" s="148" t="n">
        <x:f t="shared" si="7">IFERROR(IF(OR(G109="",G109&lt;=0),0,MAX(1,G109-J109)),0)</x:f>
        <x:v>2746.669150684931</x:v>
      </x:c>
      <x:c r="L109" s="148" t="n">
        <x:f t="shared" si="8">IFERROR(IF(OR(G109="",G109&lt;=0,I109="",D109="",$F$1=""),0,IF($F$1&lt;D109,0,IF(K109&lt;=1,0,MIN(G109*I109/12,K109-1)))),0)</x:f>
        <x:v>91.60583333333335</x:v>
      </x:c>
      <x:c r="M109" s="58" t="s">
        <x:v>18</x:v>
      </x:c>
    </x:row>
    <x:row r="110" ht="19.899999618530273" customHeight="1">
      <x:c r="A110" s="53">
        <x:f t="shared" si="9"/>
        <x:v>105</x:v>
      </x:c>
      <x:c r="B110" s="54" t="s">
        <x:v>59</x:v>
      </x:c>
      <x:c r="C110" s="54" t="s">
        <x:v>43</x:v>
      </x:c>
      <x:c r="D110" s="55">
        <x:v>45474</x:v>
      </x:c>
      <x:c r="E110" s="54" t="s">
        <x:v>71</x:v>
      </x:c>
      <x:c r="F110" s="54">
        <x:v>1</x:v>
      </x:c>
      <x:c r="G110" s="148">
        <x:v>5496.35</x:v>
      </x:c>
      <x:c r="H110" s="148" t="n">
        <x:f t="shared" si="5">IFERROR(IF(OR($F$1="",D110=""),0,MAX(0,$F$1-D110)),0)</x:f>
        <x:v>913</x:v>
      </x:c>
      <x:c r="I110" s="148">
        <x:v>0.2</x:v>
      </x:c>
      <x:c r="J110" s="148" t="n">
        <x:f t="shared" si="6">IFERROR(IF(OR(G110="",G110&lt;=0,I110="",D110="",$F$1=""),0,IF($F$1&lt;D110,0,MIN(MAX(G110-1,0),MAX(0,(G110*I110/365)*H110)))),0)</x:f>
        <x:v>2749.6808493150693</x:v>
      </x:c>
      <x:c r="K110" s="148" t="n">
        <x:f t="shared" si="7">IFERROR(IF(OR(G110="",G110&lt;=0),0,MAX(1,G110-J110)),0)</x:f>
        <x:v>2746.669150684931</x:v>
      </x:c>
      <x:c r="L110" s="148" t="n">
        <x:f t="shared" si="8">IFERROR(IF(OR(G110="",G110&lt;=0,I110="",D110="",$F$1=""),0,IF($F$1&lt;D110,0,IF(K110&lt;=1,0,MIN(G110*I110/12,K110-1)))),0)</x:f>
        <x:v>91.60583333333335</x:v>
      </x:c>
      <x:c r="M110" s="58" t="s">
        <x:v>18</x:v>
      </x:c>
    </x:row>
    <x:row r="111" ht="19.899999618530273" customHeight="1">
      <x:c r="A111" s="53">
        <x:f t="shared" si="9"/>
        <x:v>106</x:v>
      </x:c>
      <x:c r="B111" s="54" t="s">
        <x:v>59</x:v>
      </x:c>
      <x:c r="C111" s="54" t="s">
        <x:v>43</x:v>
      </x:c>
      <x:c r="D111" s="55">
        <x:v>45474</x:v>
      </x:c>
      <x:c r="E111" s="54" t="s">
        <x:v>71</x:v>
      </x:c>
      <x:c r="F111" s="54">
        <x:v>1</x:v>
      </x:c>
      <x:c r="G111" s="148">
        <x:v>5496.35</x:v>
      </x:c>
      <x:c r="H111" s="148" t="n">
        <x:f t="shared" si="5">IFERROR(IF(OR($F$1="",D111=""),0,MAX(0,$F$1-D111)),0)</x:f>
        <x:v>913</x:v>
      </x:c>
      <x:c r="I111" s="148">
        <x:v>0.2</x:v>
      </x:c>
      <x:c r="J111" s="148" t="n">
        <x:f t="shared" si="6">IFERROR(IF(OR(G111="",G111&lt;=0,I111="",D111="",$F$1=""),0,IF($F$1&lt;D111,0,MIN(MAX(G111-1,0),MAX(0,(G111*I111/365)*H111)))),0)</x:f>
        <x:v>2749.6808493150693</x:v>
      </x:c>
      <x:c r="K111" s="148" t="n">
        <x:f t="shared" si="7">IFERROR(IF(OR(G111="",G111&lt;=0),0,MAX(1,G111-J111)),0)</x:f>
        <x:v>2746.669150684931</x:v>
      </x:c>
      <x:c r="L111" s="148" t="n">
        <x:f t="shared" si="8">IFERROR(IF(OR(G111="",G111&lt;=0,I111="",D111="",$F$1=""),0,IF($F$1&lt;D111,0,IF(K111&lt;=1,0,MIN(G111*I111/12,K111-1)))),0)</x:f>
        <x:v>91.60583333333335</x:v>
      </x:c>
      <x:c r="M111" s="58" t="s">
        <x:v>18</x:v>
      </x:c>
    </x:row>
    <x:row r="112" ht="19.899999618530273" customHeight="1">
      <x:c r="A112" s="53">
        <x:f t="shared" si="9"/>
        <x:v>107</x:v>
      </x:c>
      <x:c r="B112" s="54" t="s">
        <x:v>59</x:v>
      </x:c>
      <x:c r="C112" s="54" t="s">
        <x:v>43</x:v>
      </x:c>
      <x:c r="D112" s="55">
        <x:v>45474</x:v>
      </x:c>
      <x:c r="E112" s="54" t="s">
        <x:v>71</x:v>
      </x:c>
      <x:c r="F112" s="54">
        <x:v>1</x:v>
      </x:c>
      <x:c r="G112" s="148">
        <x:v>5496.35</x:v>
      </x:c>
      <x:c r="H112" s="148" t="n">
        <x:f t="shared" si="5">IFERROR(IF(OR($F$1="",D112=""),0,MAX(0,$F$1-D112)),0)</x:f>
        <x:v>913</x:v>
      </x:c>
      <x:c r="I112" s="148">
        <x:v>0.2</x:v>
      </x:c>
      <x:c r="J112" s="148" t="n">
        <x:f t="shared" si="6">IFERROR(IF(OR(G112="",G112&lt;=0,I112="",D112="",$F$1=""),0,IF($F$1&lt;D112,0,MIN(MAX(G112-1,0),MAX(0,(G112*I112/365)*H112)))),0)</x:f>
        <x:v>2749.6808493150693</x:v>
      </x:c>
      <x:c r="K112" s="148" t="n">
        <x:f t="shared" si="7">IFERROR(IF(OR(G112="",G112&lt;=0),0,MAX(1,G112-J112)),0)</x:f>
        <x:v>2746.669150684931</x:v>
      </x:c>
      <x:c r="L112" s="148" t="n">
        <x:f t="shared" si="8">IFERROR(IF(OR(G112="",G112&lt;=0,I112="",D112="",$F$1=""),0,IF($F$1&lt;D112,0,IF(K112&lt;=1,0,MIN(G112*I112/12,K112-1)))),0)</x:f>
        <x:v>91.60583333333335</x:v>
      </x:c>
      <x:c r="M112" s="58" t="s">
        <x:v>18</x:v>
      </x:c>
    </x:row>
    <x:row r="113" ht="19.899999618530273" customHeight="1">
      <x:c r="A113" s="53">
        <x:f t="shared" si="9"/>
        <x:v>108</x:v>
      </x:c>
      <x:c r="B113" s="54" t="s">
        <x:v>59</x:v>
      </x:c>
      <x:c r="C113" s="54" t="s">
        <x:v>43</x:v>
      </x:c>
      <x:c r="D113" s="55">
        <x:v>45474</x:v>
      </x:c>
      <x:c r="E113" s="54" t="s">
        <x:v>71</x:v>
      </x:c>
      <x:c r="F113" s="54">
        <x:v>1</x:v>
      </x:c>
      <x:c r="G113" s="148">
        <x:v>5496.35</x:v>
      </x:c>
      <x:c r="H113" s="148" t="n">
        <x:f t="shared" si="5">IFERROR(IF(OR($F$1="",D113=""),0,MAX(0,$F$1-D113)),0)</x:f>
        <x:v>913</x:v>
      </x:c>
      <x:c r="I113" s="148">
        <x:v>0.2</x:v>
      </x:c>
      <x:c r="J113" s="148" t="n">
        <x:f t="shared" si="6">IFERROR(IF(OR(G113="",G113&lt;=0,I113="",D113="",$F$1=""),0,IF($F$1&lt;D113,0,MIN(MAX(G113-1,0),MAX(0,(G113*I113/365)*H113)))),0)</x:f>
        <x:v>2749.6808493150693</x:v>
      </x:c>
      <x:c r="K113" s="148" t="n">
        <x:f t="shared" si="7">IFERROR(IF(OR(G113="",G113&lt;=0),0,MAX(1,G113-J113)),0)</x:f>
        <x:v>2746.669150684931</x:v>
      </x:c>
      <x:c r="L113" s="148" t="n">
        <x:f t="shared" si="8">IFERROR(IF(OR(G113="",G113&lt;=0,I113="",D113="",$F$1=""),0,IF($F$1&lt;D113,0,IF(K113&lt;=1,0,MIN(G113*I113/12,K113-1)))),0)</x:f>
        <x:v>91.60583333333335</x:v>
      </x:c>
      <x:c r="M113" s="58" t="s">
        <x:v>18</x:v>
      </x:c>
    </x:row>
    <x:row r="114" ht="19.899999618530273" customHeight="1">
      <x:c r="A114" s="53">
        <x:f t="shared" si="9"/>
        <x:v>109</x:v>
      </x:c>
      <x:c r="B114" s="54" t="s">
        <x:v>59</x:v>
      </x:c>
      <x:c r="C114" s="54" t="s">
        <x:v>43</x:v>
      </x:c>
      <x:c r="D114" s="55">
        <x:v>45474</x:v>
      </x:c>
      <x:c r="E114" s="54" t="s">
        <x:v>71</x:v>
      </x:c>
      <x:c r="F114" s="54">
        <x:v>1</x:v>
      </x:c>
      <x:c r="G114" s="148">
        <x:v>5496.35</x:v>
      </x:c>
      <x:c r="H114" s="148" t="n">
        <x:f t="shared" si="5">IFERROR(IF(OR($F$1="",D114=""),0,MAX(0,$F$1-D114)),0)</x:f>
        <x:v>913</x:v>
      </x:c>
      <x:c r="I114" s="148">
        <x:v>0.2</x:v>
      </x:c>
      <x:c r="J114" s="148" t="n">
        <x:f t="shared" si="6">IFERROR(IF(OR(G114="",G114&lt;=0,I114="",D114="",$F$1=""),0,IF($F$1&lt;D114,0,MIN(MAX(G114-1,0),MAX(0,(G114*I114/365)*H114)))),0)</x:f>
        <x:v>2749.6808493150693</x:v>
      </x:c>
      <x:c r="K114" s="148" t="n">
        <x:f t="shared" si="7">IFERROR(IF(OR(G114="",G114&lt;=0),0,MAX(1,G114-J114)),0)</x:f>
        <x:v>2746.669150684931</x:v>
      </x:c>
      <x:c r="L114" s="148" t="n">
        <x:f t="shared" si="8">IFERROR(IF(OR(G114="",G114&lt;=0,I114="",D114="",$F$1=""),0,IF($F$1&lt;D114,0,IF(K114&lt;=1,0,MIN(G114*I114/12,K114-1)))),0)</x:f>
        <x:v>91.60583333333335</x:v>
      </x:c>
      <x:c r="M114" s="58" t="s">
        <x:v>18</x:v>
      </x:c>
    </x:row>
    <x:row r="115" ht="19.899999618530273" customHeight="1">
      <x:c r="A115" s="53">
        <x:f t="shared" si="9"/>
        <x:v>110</x:v>
      </x:c>
      <x:c r="B115" s="54" t="s">
        <x:v>59</x:v>
      </x:c>
      <x:c r="C115" s="54" t="s">
        <x:v>43</x:v>
      </x:c>
      <x:c r="D115" s="55">
        <x:v>45474</x:v>
      </x:c>
      <x:c r="E115" s="54" t="s">
        <x:v>71</x:v>
      </x:c>
      <x:c r="F115" s="54">
        <x:v>1</x:v>
      </x:c>
      <x:c r="G115" s="148">
        <x:v>5496.35</x:v>
      </x:c>
      <x:c r="H115" s="148" t="n">
        <x:f t="shared" si="5">IFERROR(IF(OR($F$1="",D115=""),0,MAX(0,$F$1-D115)),0)</x:f>
        <x:v>913</x:v>
      </x:c>
      <x:c r="I115" s="148">
        <x:v>0.2</x:v>
      </x:c>
      <x:c r="J115" s="148" t="n">
        <x:f t="shared" si="6">IFERROR(IF(OR(G115="",G115&lt;=0,I115="",D115="",$F$1=""),0,IF($F$1&lt;D115,0,MIN(MAX(G115-1,0),MAX(0,(G115*I115/365)*H115)))),0)</x:f>
        <x:v>2749.6808493150693</x:v>
      </x:c>
      <x:c r="K115" s="148" t="n">
        <x:f t="shared" si="7">IFERROR(IF(OR(G115="",G115&lt;=0),0,MAX(1,G115-J115)),0)</x:f>
        <x:v>2746.669150684931</x:v>
      </x:c>
      <x:c r="L115" s="148" t="n">
        <x:f t="shared" si="8">IFERROR(IF(OR(G115="",G115&lt;=0,I115="",D115="",$F$1=""),0,IF($F$1&lt;D115,0,IF(K115&lt;=1,0,MIN(G115*I115/12,K115-1)))),0)</x:f>
        <x:v>91.60583333333335</x:v>
      </x:c>
      <x:c r="M115" s="58" t="s">
        <x:v>18</x:v>
      </x:c>
    </x:row>
    <x:row r="116" ht="19.899999618530273" customHeight="1">
      <x:c r="A116" s="53">
        <x:f t="shared" si="9"/>
        <x:v>111</x:v>
      </x:c>
      <x:c r="B116" s="54" t="s">
        <x:v>59</x:v>
      </x:c>
      <x:c r="C116" s="54" t="s">
        <x:v>43</x:v>
      </x:c>
      <x:c r="D116" s="55">
        <x:v>45474</x:v>
      </x:c>
      <x:c r="E116" s="54" t="s">
        <x:v>72</x:v>
      </x:c>
      <x:c r="F116" s="54">
        <x:v>1</x:v>
      </x:c>
      <x:c r="G116" s="148">
        <x:v>13982.49</x:v>
      </x:c>
      <x:c r="H116" s="148" t="n">
        <x:f t="shared" si="5">IFERROR(IF(OR($F$1="",D116=""),0,MAX(0,$F$1-D116)),0)</x:f>
        <x:v>913</x:v>
      </x:c>
      <x:c r="I116" s="148">
        <x:v>0.2</x:v>
      </x:c>
      <x:c r="J116" s="148" t="n">
        <x:f t="shared" si="6">IFERROR(IF(OR(G116="",G116&lt;=0,I116="",D116="",$F$1=""),0,IF($F$1&lt;D116,0,MIN(MAX(G116-1,0),MAX(0,(G116*I116/365)*H116)))),0)</x:f>
        <x:v>6995.0758191780815</x:v>
      </x:c>
      <x:c r="K116" s="148" t="n">
        <x:f t="shared" si="7">IFERROR(IF(OR(G116="",G116&lt;=0),0,MAX(1,G116-J116)),0)</x:f>
        <x:v>6987.414180821918</x:v>
      </x:c>
      <x:c r="L116" s="148" t="n">
        <x:f t="shared" si="8">IFERROR(IF(OR(G116="",G116&lt;=0,I116="",D116="",$F$1=""),0,IF($F$1&lt;D116,0,IF(K116&lt;=1,0,MIN(G116*I116/12,K116-1)))),0)</x:f>
        <x:v>233.0415</x:v>
      </x:c>
      <x:c r="M116" s="58" t="s">
        <x:v>18</x:v>
      </x:c>
    </x:row>
    <x:row r="117" ht="19.899999618530273" customHeight="1">
      <x:c r="A117" s="53">
        <x:f t="shared" si="9"/>
        <x:v>112</x:v>
      </x:c>
      <x:c r="B117" s="54" t="s">
        <x:v>59</x:v>
      </x:c>
      <x:c r="C117" s="54" t="s">
        <x:v>43</x:v>
      </x:c>
      <x:c r="D117" s="55">
        <x:v>45474</x:v>
      </x:c>
      <x:c r="E117" s="54" t="s">
        <x:v>73</x:v>
      </x:c>
      <x:c r="F117" s="54">
        <x:v>1</x:v>
      </x:c>
      <x:c r="G117" s="148">
        <x:v>39203.9</x:v>
      </x:c>
      <x:c r="H117" s="148" t="n">
        <x:f t="shared" si="5">IFERROR(IF(OR($F$1="",D117=""),0,MAX(0,$F$1-D117)),0)</x:f>
        <x:v>913</x:v>
      </x:c>
      <x:c r="I117" s="148">
        <x:v>0.2</x:v>
      </x:c>
      <x:c r="J117" s="148" t="n">
        <x:f t="shared" si="6">IFERROR(IF(OR(G117="",G117&lt;=0,I117="",D117="",$F$1=""),0,IF($F$1&lt;D117,0,MIN(MAX(G117-1,0),MAX(0,(G117*I117/365)*H117)))),0)</x:f>
        <x:v>19612.69079452055</x:v>
      </x:c>
      <x:c r="K117" s="148" t="n">
        <x:f t="shared" si="7">IFERROR(IF(OR(G117="",G117&lt;=0),0,MAX(1,G117-J117)),0)</x:f>
        <x:v>19591.209205479452</x:v>
      </x:c>
      <x:c r="L117" s="148" t="n">
        <x:f t="shared" si="8">IFERROR(IF(OR(G117="",G117&lt;=0,I117="",D117="",$F$1=""),0,IF($F$1&lt;D117,0,IF(K117&lt;=1,0,MIN(G117*I117/12,K117-1)))),0)</x:f>
        <x:v>653.3983333333334</x:v>
      </x:c>
      <x:c r="M117" s="58" t="s">
        <x:v>18</x:v>
      </x:c>
    </x:row>
    <x:row r="118" ht="19.899999618530273" customHeight="1">
      <x:c r="A118" s="53">
        <x:f t="shared" si="9"/>
        <x:v>113</x:v>
      </x:c>
      <x:c r="B118" s="54" t="s">
        <x:v>74</x:v>
      </x:c>
      <x:c r="C118" s="54" t="s">
        <x:v>23</x:v>
      </x:c>
      <x:c r="D118" s="55">
        <x:v>45028</x:v>
      </x:c>
      <x:c r="E118" s="54" t="s">
        <x:v>75</x:v>
      </x:c>
      <x:c r="F118" s="54">
        <x:v>1</x:v>
      </x:c>
      <x:c r="G118" s="148">
        <x:v>5883.48</x:v>
      </x:c>
      <x:c r="H118" s="148" t="n">
        <x:f t="shared" si="5">IFERROR(IF(OR($F$1="",D118=""),0,MAX(0,$F$1-D118)),0)</x:f>
        <x:v>1359</x:v>
      </x:c>
      <x:c r="I118" s="148">
        <x:v>0.2</x:v>
      </x:c>
      <x:c r="J118" s="148" t="n">
        <x:f t="shared" si="6">IFERROR(IF(OR(G118="",G118&lt;=0,I118="",D118="",$F$1=""),0,IF($F$1&lt;D118,0,MIN(MAX(G118-1,0),MAX(0,(G118*I118/365)*H118)))),0)</x:f>
        <x:v>4381.17770958904</x:v>
      </x:c>
      <x:c r="K118" s="148" t="n">
        <x:f t="shared" si="7">IFERROR(IF(OR(G118="",G118&lt;=0),0,MAX(1,G118-J118)),0)</x:f>
        <x:v>1502.3022904109594</x:v>
      </x:c>
      <x:c r="L118" s="148" t="n">
        <x:f t="shared" si="8">IFERROR(IF(OR(G118="",G118&lt;=0,I118="",D118="",$F$1=""),0,IF($F$1&lt;D118,0,IF(K118&lt;=1,0,MIN(G118*I118/12,K118-1)))),0)</x:f>
        <x:v>98.05799999999999</x:v>
      </x:c>
      <x:c r="M118" s="58" t="s">
        <x:v>18</x:v>
      </x:c>
    </x:row>
    <x:row r="119" ht="19.899999618530273" customHeight="1">
      <x:c r="A119" s="53">
        <x:f t="shared" si="9"/>
        <x:v>114</x:v>
      </x:c>
      <x:c r="B119" s="54" t="s">
        <x:v>74</x:v>
      </x:c>
      <x:c r="C119" s="54" t="s">
        <x:v>41</x:v>
      </x:c>
      <x:c r="D119" s="55">
        <x:v>45057</x:v>
      </x:c>
      <x:c r="E119" s="54" t="s">
        <x:v>76</x:v>
      </x:c>
      <x:c r="F119" s="54">
        <x:v>1</x:v>
      </x:c>
      <x:c r="G119" s="148">
        <x:v>86197.23</x:v>
      </x:c>
      <x:c r="H119" s="148" t="n">
        <x:f t="shared" si="5">IFERROR(IF(OR($F$1="",D119=""),0,MAX(0,$F$1-D119)),0)</x:f>
        <x:v>1330</x:v>
      </x:c>
      <x:c r="I119" s="148">
        <x:v>0.15</x:v>
      </x:c>
      <x:c r="J119" s="148" t="n">
        <x:f t="shared" si="6">IFERROR(IF(OR(G119="",G119&lt;=0,I119="",D119="",$F$1=""),0,IF($F$1&lt;D119,0,MIN(MAX(G119-1,0),MAX(0,(G119*I119/365)*H119)))),0)</x:f>
        <x:v>47113.28050684931</x:v>
      </x:c>
      <x:c r="K119" s="148" t="n">
        <x:f t="shared" si="7">IFERROR(IF(OR(G119="",G119&lt;=0),0,MAX(1,G119-J119)),0)</x:f>
        <x:v>39083.949493150685</x:v>
      </x:c>
      <x:c r="L119" s="148" t="n">
        <x:f t="shared" si="8">IFERROR(IF(OR(G119="",G119&lt;=0,I119="",D119="",$F$1=""),0,IF($F$1&lt;D119,0,IF(K119&lt;=1,0,MIN(G119*I119/12,K119-1)))),0)</x:f>
        <x:v>1077.465375</x:v>
      </x:c>
      <x:c r="M119" s="58" t="s">
        <x:v>18</x:v>
      </x:c>
    </x:row>
    <x:row r="120" ht="19.899999618530273" customHeight="1">
      <x:c r="A120" s="53">
        <x:f t="shared" si="9"/>
        <x:v>115</x:v>
      </x:c>
      <x:c r="B120" s="54" t="s">
        <x:v>74</x:v>
      </x:c>
      <x:c r="C120" s="54" t="s">
        <x:v>43</x:v>
      </x:c>
      <x:c r="D120" s="55">
        <x:v>45474</x:v>
      </x:c>
      <x:c r="E120" s="54" t="s">
        <x:v>77</x:v>
      </x:c>
      <x:c r="F120" s="54">
        <x:v>1</x:v>
      </x:c>
      <x:c r="G120" s="148">
        <x:v>4307.54</x:v>
      </x:c>
      <x:c r="H120" s="148" t="n">
        <x:f t="shared" si="5">IFERROR(IF(OR($F$1="",D120=""),0,MAX(0,$F$1-D120)),0)</x:f>
        <x:v>913</x:v>
      </x:c>
      <x:c r="I120" s="148">
        <x:v>0.2</x:v>
      </x:c>
      <x:c r="J120" s="148" t="n">
        <x:f t="shared" si="6">IFERROR(IF(OR(G120="",G120&lt;=0,I120="",D120="",$F$1=""),0,IF($F$1&lt;D120,0,MIN(MAX(G120-1,0),MAX(0,(G120*I120/365)*H120)))),0)</x:f>
        <x:v>2154.9501479452056</x:v>
      </x:c>
      <x:c r="K120" s="148" t="n">
        <x:f t="shared" si="7">IFERROR(IF(OR(G120="",G120&lt;=0),0,MAX(1,G120-J120)),0)</x:f>
        <x:v>2152.5898520547944</x:v>
      </x:c>
      <x:c r="L120" s="148" t="n">
        <x:f t="shared" si="8">IFERROR(IF(OR(G120="",G120&lt;=0,I120="",D120="",$F$1=""),0,IF($F$1&lt;D120,0,IF(K120&lt;=1,0,MIN(G120*I120/12,K120-1)))),0)</x:f>
        <x:v>71.79233333333333</x:v>
      </x:c>
      <x:c r="M120" s="58" t="s">
        <x:v>18</x:v>
      </x:c>
    </x:row>
    <x:row r="121" ht="19.899999618530273" customHeight="1">
      <x:c r="A121" s="53">
        <x:f t="shared" si="9"/>
        <x:v>116</x:v>
      </x:c>
      <x:c r="B121" s="54" t="s">
        <x:v>74</x:v>
      </x:c>
      <x:c r="C121" s="54" t="s">
        <x:v>43</x:v>
      </x:c>
      <x:c r="D121" s="55">
        <x:v>45474</x:v>
      </x:c>
      <x:c r="E121" s="54" t="s">
        <x:v>78</x:v>
      </x:c>
      <x:c r="F121" s="54">
        <x:v>1</x:v>
      </x:c>
      <x:c r="G121" s="148">
        <x:v>5535.81</x:v>
      </x:c>
      <x:c r="H121" s="148" t="n">
        <x:f t="shared" si="5">IFERROR(IF(OR($F$1="",D121=""),0,MAX(0,$F$1-D121)),0)</x:f>
        <x:v>913</x:v>
      </x:c>
      <x:c r="I121" s="148">
        <x:v>0.2</x:v>
      </x:c>
      <x:c r="J121" s="148" t="n">
        <x:f t="shared" si="6">IFERROR(IF(OR(G121="",G121&lt;=0,I121="",D121="",$F$1=""),0,IF($F$1&lt;D121,0,MIN(MAX(G121-1,0),MAX(0,(G121*I121/365)*H121)))),0)</x:f>
        <x:v>2769.4216602739725</x:v>
      </x:c>
      <x:c r="K121" s="148" t="n">
        <x:f t="shared" si="7">IFERROR(IF(OR(G121="",G121&lt;=0),0,MAX(1,G121-J121)),0)</x:f>
        <x:v>2766.388339726028</x:v>
      </x:c>
      <x:c r="L121" s="148" t="n">
        <x:f t="shared" si="8">IFERROR(IF(OR(G121="",G121&lt;=0,I121="",D121="",$F$1=""),0,IF($F$1&lt;D121,0,IF(K121&lt;=1,0,MIN(G121*I121/12,K121-1)))),0)</x:f>
        <x:v>92.26350000000001</x:v>
      </x:c>
      <x:c r="M121" s="58" t="s">
        <x:v>18</x:v>
      </x:c>
    </x:row>
    <x:row r="122" ht="19.899999618530273" customHeight="1">
      <x:c r="A122" s="53">
        <x:f t="shared" si="9"/>
        <x:v>117</x:v>
      </x:c>
      <x:c r="B122" s="54" t="s">
        <x:v>74</x:v>
      </x:c>
      <x:c r="C122" s="54" t="s">
        <x:v>43</x:v>
      </x:c>
      <x:c r="D122" s="55">
        <x:v>45474</x:v>
      </x:c>
      <x:c r="E122" s="54" t="s">
        <x:v>78</x:v>
      </x:c>
      <x:c r="F122" s="54">
        <x:v>1</x:v>
      </x:c>
      <x:c r="G122" s="148">
        <x:v>5535.81</x:v>
      </x:c>
      <x:c r="H122" s="148" t="n">
        <x:f t="shared" si="5">IFERROR(IF(OR($F$1="",D122=""),0,MAX(0,$F$1-D122)),0)</x:f>
        <x:v>913</x:v>
      </x:c>
      <x:c r="I122" s="148">
        <x:v>0.2</x:v>
      </x:c>
      <x:c r="J122" s="148" t="n">
        <x:f t="shared" si="6">IFERROR(IF(OR(G122="",G122&lt;=0,I122="",D122="",$F$1=""),0,IF($F$1&lt;D122,0,MIN(MAX(G122-1,0),MAX(0,(G122*I122/365)*H122)))),0)</x:f>
        <x:v>2769.4216602739725</x:v>
      </x:c>
      <x:c r="K122" s="148" t="n">
        <x:f t="shared" si="7">IFERROR(IF(OR(G122="",G122&lt;=0),0,MAX(1,G122-J122)),0)</x:f>
        <x:v>2766.388339726028</x:v>
      </x:c>
      <x:c r="L122" s="148" t="n">
        <x:f t="shared" si="8">IFERROR(IF(OR(G122="",G122&lt;=0,I122="",D122="",$F$1=""),0,IF($F$1&lt;D122,0,IF(K122&lt;=1,0,MIN(G122*I122/12,K122-1)))),0)</x:f>
        <x:v>92.26350000000001</x:v>
      </x:c>
      <x:c r="M122" s="58" t="s">
        <x:v>18</x:v>
      </x:c>
    </x:row>
    <x:row r="123" ht="19.899999618530273" customHeight="1">
      <x:c r="A123" s="53">
        <x:f t="shared" si="9"/>
        <x:v>118</x:v>
      </x:c>
      <x:c r="B123" s="54" t="s">
        <x:v>74</x:v>
      </x:c>
      <x:c r="C123" s="54" t="s">
        <x:v>43</x:v>
      </x:c>
      <x:c r="D123" s="55">
        <x:v>45474</x:v>
      </x:c>
      <x:c r="E123" s="54" t="s">
        <x:v>78</x:v>
      </x:c>
      <x:c r="F123" s="54">
        <x:v>1</x:v>
      </x:c>
      <x:c r="G123" s="148">
        <x:v>5535.81</x:v>
      </x:c>
      <x:c r="H123" s="148" t="n">
        <x:f t="shared" si="5">IFERROR(IF(OR($F$1="",D123=""),0,MAX(0,$F$1-D123)),0)</x:f>
        <x:v>913</x:v>
      </x:c>
      <x:c r="I123" s="148">
        <x:v>0.2</x:v>
      </x:c>
      <x:c r="J123" s="148" t="n">
        <x:f t="shared" si="6">IFERROR(IF(OR(G123="",G123&lt;=0,I123="",D123="",$F$1=""),0,IF($F$1&lt;D123,0,MIN(MAX(G123-1,0),MAX(0,(G123*I123/365)*H123)))),0)</x:f>
        <x:v>2769.4216602739725</x:v>
      </x:c>
      <x:c r="K123" s="148" t="n">
        <x:f t="shared" si="7">IFERROR(IF(OR(G123="",G123&lt;=0),0,MAX(1,G123-J123)),0)</x:f>
        <x:v>2766.388339726028</x:v>
      </x:c>
      <x:c r="L123" s="148" t="n">
        <x:f t="shared" si="8">IFERROR(IF(OR(G123="",G123&lt;=0,I123="",D123="",$F$1=""),0,IF($F$1&lt;D123,0,IF(K123&lt;=1,0,MIN(G123*I123/12,K123-1)))),0)</x:f>
        <x:v>92.26350000000001</x:v>
      </x:c>
      <x:c r="M123" s="58" t="s">
        <x:v>18</x:v>
      </x:c>
    </x:row>
    <x:row r="124" ht="19.899999618530273" customHeight="1">
      <x:c r="A124" s="53">
        <x:f t="shared" si="9"/>
        <x:v>119</x:v>
      </x:c>
      <x:c r="B124" s="54" t="s">
        <x:v>74</x:v>
      </x:c>
      <x:c r="C124" s="54" t="s">
        <x:v>43</x:v>
      </x:c>
      <x:c r="D124" s="55">
        <x:v>45474</x:v>
      </x:c>
      <x:c r="E124" s="54" t="s">
        <x:v>78</x:v>
      </x:c>
      <x:c r="F124" s="54">
        <x:v>1</x:v>
      </x:c>
      <x:c r="G124" s="148">
        <x:v>5535.81</x:v>
      </x:c>
      <x:c r="H124" s="148" t="n">
        <x:f t="shared" si="5">IFERROR(IF(OR($F$1="",D124=""),0,MAX(0,$F$1-D124)),0)</x:f>
        <x:v>913</x:v>
      </x:c>
      <x:c r="I124" s="148">
        <x:v>0.2</x:v>
      </x:c>
      <x:c r="J124" s="148" t="n">
        <x:f t="shared" si="6">IFERROR(IF(OR(G124="",G124&lt;=0,I124="",D124="",$F$1=""),0,IF($F$1&lt;D124,0,MIN(MAX(G124-1,0),MAX(0,(G124*I124/365)*H124)))),0)</x:f>
        <x:v>2769.4216602739725</x:v>
      </x:c>
      <x:c r="K124" s="148" t="n">
        <x:f t="shared" si="7">IFERROR(IF(OR(G124="",G124&lt;=0),0,MAX(1,G124-J124)),0)</x:f>
        <x:v>2766.388339726028</x:v>
      </x:c>
      <x:c r="L124" s="148" t="n">
        <x:f t="shared" si="8">IFERROR(IF(OR(G124="",G124&lt;=0,I124="",D124="",$F$1=""),0,IF($F$1&lt;D124,0,IF(K124&lt;=1,0,MIN(G124*I124/12,K124-1)))),0)</x:f>
        <x:v>92.26350000000001</x:v>
      </x:c>
      <x:c r="M124" s="58" t="s">
        <x:v>18</x:v>
      </x:c>
    </x:row>
    <x:row r="125" ht="19.899999618530273" customHeight="1">
      <x:c r="A125" s="53">
        <x:f t="shared" si="9"/>
        <x:v>120</x:v>
      </x:c>
      <x:c r="B125" s="54" t="s">
        <x:v>74</x:v>
      </x:c>
      <x:c r="C125" s="54" t="s">
        <x:v>21</x:v>
      </x:c>
      <x:c r="D125" s="55">
        <x:v>45292</x:v>
      </x:c>
      <x:c r="E125" s="54" t="s">
        <x:v>79</x:v>
      </x:c>
      <x:c r="F125" s="54">
        <x:v>1</x:v>
      </x:c>
      <x:c r="G125" s="148">
        <x:v>15000</x:v>
      </x:c>
      <x:c r="H125" s="148" t="n">
        <x:f t="shared" si="5">IFERROR(IF(OR($F$1="",D125=""),0,MAX(0,$F$1-D125)),0)</x:f>
        <x:v>1095</x:v>
      </x:c>
      <x:c r="I125" s="148">
        <x:v>0.33329999999999999</x:v>
      </x:c>
      <x:c r="J125" s="148" t="n">
        <x:f t="shared" si="6">IFERROR(IF(OR(G125="",G125&lt;=0,I125="",D125="",$F$1=""),0,IF($F$1&lt;D125,0,MIN(MAX(G125-1,0),MAX(0,(G125*I125/365)*H125)))),0)</x:f>
        <x:v>14998.5</x:v>
      </x:c>
      <x:c r="K125" s="148" t="n">
        <x:f t="shared" si="7">IFERROR(IF(OR(G125="",G125&lt;=0),0,MAX(1,G125-J125)),0)</x:f>
        <x:v>1.5</x:v>
      </x:c>
      <x:c r="L125" s="148" t="n">
        <x:f t="shared" si="8">IFERROR(IF(OR(G125="",G125&lt;=0,I125="",D125="",$F$1=""),0,IF($F$1&lt;D125,0,IF(K125&lt;=1,0,MIN(G125*I125/12,K125-1)))),0)</x:f>
        <x:v>0.5</x:v>
      </x:c>
      <x:c r="M125" s="58" t="s">
        <x:v>18</x:v>
      </x:c>
    </x:row>
    <x:row r="126" ht="19.899999618530273" customHeight="1">
      <x:c r="A126" s="53">
        <x:f t="shared" si="9"/>
        <x:v>121</x:v>
      </x:c>
      <x:c r="B126" s="54" t="s">
        <x:v>74</x:v>
      </x:c>
      <x:c r="C126" s="54" t="s">
        <x:v>27</x:v>
      </x:c>
      <x:c r="D126" s="55">
        <x:v>45292</x:v>
      </x:c>
      <x:c r="E126" s="54" t="s">
        <x:v>80</x:v>
      </x:c>
      <x:c r="F126" s="54">
        <x:v>1</x:v>
      </x:c>
      <x:c r="G126" s="148">
        <x:v>433.04300000000001</x:v>
      </x:c>
      <x:c r="H126" s="148" t="n">
        <x:f t="shared" si="5">IFERROR(IF(OR($F$1="",D126=""),0,MAX(0,$F$1-D126)),0)</x:f>
        <x:v>1095</x:v>
      </x:c>
      <x:c r="I126" s="148">
        <x:v>0.33329999999999999</x:v>
      </x:c>
      <x:c r="J126" s="148" t="n">
        <x:f t="shared" si="6">IFERROR(IF(OR(G126="",G126&lt;=0,I126="",D126="",$F$1=""),0,IF($F$1&lt;D126,0,MIN(MAX(G126-1,0),MAX(0,(G126*I126/365)*H126)))),0)</x:f>
        <x:v>432.043</x:v>
      </x:c>
      <x:c r="K126" s="148" t="n">
        <x:f t="shared" si="7">IFERROR(IF(OR(G126="",G126&lt;=0),0,MAX(1,G126-J126)),0)</x:f>
        <x:v>1</x:v>
      </x:c>
      <x:c r="L126" s="148" t="n">
        <x:f t="shared" si="8">IFERROR(IF(OR(G126="",G126&lt;=0,I126="",D126="",$F$1=""),0,IF($F$1&lt;D126,0,IF(K126&lt;=1,0,MIN(G126*I126/12,K126-1)))),0)</x:f>
        <x:v>0</x:v>
      </x:c>
      <x:c r="M126" s="58" t="s">
        <x:v>18</x:v>
      </x:c>
    </x:row>
    <x:row r="127" ht="19.899999618530273" customHeight="1">
      <x:c r="A127" s="53">
        <x:f t="shared" si="9"/>
        <x:v>122</x:v>
      </x:c>
      <x:c r="B127" s="54" t="s">
        <x:v>74</x:v>
      </x:c>
      <x:c r="C127" s="54" t="s">
        <x:v>27</x:v>
      </x:c>
      <x:c r="D127" s="55">
        <x:v>45292</x:v>
      </x:c>
      <x:c r="E127" s="54" t="s">
        <x:v>80</x:v>
      </x:c>
      <x:c r="F127" s="54">
        <x:v>1</x:v>
      </x:c>
      <x:c r="G127" s="148">
        <x:v>433.04300000000001</x:v>
      </x:c>
      <x:c r="H127" s="148" t="n">
        <x:f t="shared" si="5">IFERROR(IF(OR($F$1="",D127=""),0,MAX(0,$F$1-D127)),0)</x:f>
        <x:v>1095</x:v>
      </x:c>
      <x:c r="I127" s="148">
        <x:v>0.33329999999999999</x:v>
      </x:c>
      <x:c r="J127" s="148" t="n">
        <x:f t="shared" si="6">IFERROR(IF(OR(G127="",G127&lt;=0,I127="",D127="",$F$1=""),0,IF($F$1&lt;D127,0,MIN(MAX(G127-1,0),MAX(0,(G127*I127/365)*H127)))),0)</x:f>
        <x:v>432.043</x:v>
      </x:c>
      <x:c r="K127" s="148" t="n">
        <x:f t="shared" si="7">IFERROR(IF(OR(G127="",G127&lt;=0),0,MAX(1,G127-J127)),0)</x:f>
        <x:v>1</x:v>
      </x:c>
      <x:c r="L127" s="148" t="n">
        <x:f t="shared" si="8">IFERROR(IF(OR(G127="",G127&lt;=0,I127="",D127="",$F$1=""),0,IF($F$1&lt;D127,0,IF(K127&lt;=1,0,MIN(G127*I127/12,K127-1)))),0)</x:f>
        <x:v>0</x:v>
      </x:c>
      <x:c r="M127" s="58" t="s">
        <x:v>18</x:v>
      </x:c>
    </x:row>
    <x:row r="128" ht="19.899999618530273" customHeight="1">
      <x:c r="A128" s="53">
        <x:f t="shared" si="9"/>
        <x:v>123</x:v>
      </x:c>
      <x:c r="B128" s="54" t="s">
        <x:v>74</x:v>
      </x:c>
      <x:c r="C128" s="54" t="s">
        <x:v>27</x:v>
      </x:c>
      <x:c r="D128" s="55">
        <x:v>45292</x:v>
      </x:c>
      <x:c r="E128" s="54" t="s">
        <x:v>80</x:v>
      </x:c>
      <x:c r="F128" s="54">
        <x:v>1</x:v>
      </x:c>
      <x:c r="G128" s="148">
        <x:v>433.04300000000001</x:v>
      </x:c>
      <x:c r="H128" s="148" t="n">
        <x:f t="shared" si="5">IFERROR(IF(OR($F$1="",D128=""),0,MAX(0,$F$1-D128)),0)</x:f>
        <x:v>1095</x:v>
      </x:c>
      <x:c r="I128" s="148">
        <x:v>0.33329999999999999</x:v>
      </x:c>
      <x:c r="J128" s="148" t="n">
        <x:f t="shared" si="6">IFERROR(IF(OR(G128="",G128&lt;=0,I128="",D128="",$F$1=""),0,IF($F$1&lt;D128,0,MIN(MAX(G128-1,0),MAX(0,(G128*I128/365)*H128)))),0)</x:f>
        <x:v>432.043</x:v>
      </x:c>
      <x:c r="K128" s="148" t="n">
        <x:f t="shared" si="7">IFERROR(IF(OR(G128="",G128&lt;=0),0,MAX(1,G128-J128)),0)</x:f>
        <x:v>1</x:v>
      </x:c>
      <x:c r="L128" s="148" t="n">
        <x:f t="shared" si="8">IFERROR(IF(OR(G128="",G128&lt;=0,I128="",D128="",$F$1=""),0,IF($F$1&lt;D128,0,IF(K128&lt;=1,0,MIN(G128*I128/12,K128-1)))),0)</x:f>
        <x:v>0</x:v>
      </x:c>
      <x:c r="M128" s="58" t="s">
        <x:v>18</x:v>
      </x:c>
    </x:row>
    <x:row r="129" ht="19.899999618530273" customHeight="1">
      <x:c r="A129" s="53">
        <x:f t="shared" si="9"/>
        <x:v>124</x:v>
      </x:c>
      <x:c r="B129" s="54" t="s">
        <x:v>74</x:v>
      </x:c>
      <x:c r="C129" s="54" t="s">
        <x:v>27</x:v>
      </x:c>
      <x:c r="D129" s="55">
        <x:v>45292</x:v>
      </x:c>
      <x:c r="E129" s="54" t="s">
        <x:v>80</x:v>
      </x:c>
      <x:c r="F129" s="54">
        <x:v>1</x:v>
      </x:c>
      <x:c r="G129" s="148">
        <x:v>433.04300000000001</x:v>
      </x:c>
      <x:c r="H129" s="148" t="n">
        <x:f t="shared" si="5">IFERROR(IF(OR($F$1="",D129=""),0,MAX(0,$F$1-D129)),0)</x:f>
        <x:v>1095</x:v>
      </x:c>
      <x:c r="I129" s="148">
        <x:v>0.33329999999999999</x:v>
      </x:c>
      <x:c r="J129" s="148" t="n">
        <x:f t="shared" si="6">IFERROR(IF(OR(G129="",G129&lt;=0,I129="",D129="",$F$1=""),0,IF($F$1&lt;D129,0,MIN(MAX(G129-1,0),MAX(0,(G129*I129/365)*H129)))),0)</x:f>
        <x:v>432.043</x:v>
      </x:c>
      <x:c r="K129" s="148" t="n">
        <x:f t="shared" si="7">IFERROR(IF(OR(G129="",G129&lt;=0),0,MAX(1,G129-J129)),0)</x:f>
        <x:v>1</x:v>
      </x:c>
      <x:c r="L129" s="148" t="n">
        <x:f t="shared" si="8">IFERROR(IF(OR(G129="",G129&lt;=0,I129="",D129="",$F$1=""),0,IF($F$1&lt;D129,0,IF(K129&lt;=1,0,MIN(G129*I129/12,K129-1)))),0)</x:f>
        <x:v>0</x:v>
      </x:c>
      <x:c r="M129" s="58" t="s">
        <x:v>18</x:v>
      </x:c>
    </x:row>
    <x:row r="130" ht="19.899999618530273" customHeight="1">
      <x:c r="A130" s="53">
        <x:f t="shared" si="9"/>
        <x:v>125</x:v>
      </x:c>
      <x:c r="B130" s="54" t="s">
        <x:v>74</x:v>
      </x:c>
      <x:c r="C130" s="54" t="s">
        <x:v>27</x:v>
      </x:c>
      <x:c r="D130" s="55">
        <x:v>45292</x:v>
      </x:c>
      <x:c r="E130" s="54" t="s">
        <x:v>80</x:v>
      </x:c>
      <x:c r="F130" s="54">
        <x:v>1</x:v>
      </x:c>
      <x:c r="G130" s="148">
        <x:v>433.04300000000001</x:v>
      </x:c>
      <x:c r="H130" s="148" t="n">
        <x:f t="shared" si="5">IFERROR(IF(OR($F$1="",D130=""),0,MAX(0,$F$1-D130)),0)</x:f>
        <x:v>1095</x:v>
      </x:c>
      <x:c r="I130" s="148">
        <x:v>0.33329999999999999</x:v>
      </x:c>
      <x:c r="J130" s="148" t="n">
        <x:f t="shared" si="6">IFERROR(IF(OR(G130="",G130&lt;=0,I130="",D130="",$F$1=""),0,IF($F$1&lt;D130,0,MIN(MAX(G130-1,0),MAX(0,(G130*I130/365)*H130)))),0)</x:f>
        <x:v>432.043</x:v>
      </x:c>
      <x:c r="K130" s="148" t="n">
        <x:f t="shared" si="7">IFERROR(IF(OR(G130="",G130&lt;=0),0,MAX(1,G130-J130)),0)</x:f>
        <x:v>1</x:v>
      </x:c>
      <x:c r="L130" s="148" t="n">
        <x:f t="shared" si="8">IFERROR(IF(OR(G130="",G130&lt;=0,I130="",D130="",$F$1=""),0,IF($F$1&lt;D130,0,IF(K130&lt;=1,0,MIN(G130*I130/12,K130-1)))),0)</x:f>
        <x:v>0</x:v>
      </x:c>
      <x:c r="M130" s="58" t="s">
        <x:v>18</x:v>
      </x:c>
    </x:row>
    <x:row r="131" ht="19.899999618530273" customHeight="1">
      <x:c r="A131" s="53">
        <x:f t="shared" si="9"/>
        <x:v>126</x:v>
      </x:c>
      <x:c r="B131" s="54" t="s">
        <x:v>74</x:v>
      </x:c>
      <x:c r="C131" s="54" t="s">
        <x:v>27</x:v>
      </x:c>
      <x:c r="D131" s="55">
        <x:v>45292</x:v>
      </x:c>
      <x:c r="E131" s="54" t="s">
        <x:v>80</x:v>
      </x:c>
      <x:c r="F131" s="54">
        <x:v>1</x:v>
      </x:c>
      <x:c r="G131" s="148">
        <x:v>433.04300000000001</x:v>
      </x:c>
      <x:c r="H131" s="148" t="n">
        <x:f t="shared" si="5">IFERROR(IF(OR($F$1="",D131=""),0,MAX(0,$F$1-D131)),0)</x:f>
        <x:v>1095</x:v>
      </x:c>
      <x:c r="I131" s="148">
        <x:v>0.33329999999999999</x:v>
      </x:c>
      <x:c r="J131" s="148" t="n">
        <x:f t="shared" si="6">IFERROR(IF(OR(G131="",G131&lt;=0,I131="",D131="",$F$1=""),0,IF($F$1&lt;D131,0,MIN(MAX(G131-1,0),MAX(0,(G131*I131/365)*H131)))),0)</x:f>
        <x:v>432.043</x:v>
      </x:c>
      <x:c r="K131" s="148" t="n">
        <x:f t="shared" si="7">IFERROR(IF(OR(G131="",G131&lt;=0),0,MAX(1,G131-J131)),0)</x:f>
        <x:v>1</x:v>
      </x:c>
      <x:c r="L131" s="148" t="n">
        <x:f t="shared" si="8">IFERROR(IF(OR(G131="",G131&lt;=0,I131="",D131="",$F$1=""),0,IF($F$1&lt;D131,0,IF(K131&lt;=1,0,MIN(G131*I131/12,K131-1)))),0)</x:f>
        <x:v>0</x:v>
      </x:c>
      <x:c r="M131" s="58" t="s">
        <x:v>18</x:v>
      </x:c>
    </x:row>
    <x:row r="132" ht="19.899999618530273" customHeight="1">
      <x:c r="A132" s="53">
        <x:f t="shared" si="9"/>
        <x:v>127</x:v>
      </x:c>
      <x:c r="B132" s="54" t="s">
        <x:v>74</x:v>
      </x:c>
      <x:c r="C132" s="54" t="s">
        <x:v>27</x:v>
      </x:c>
      <x:c r="D132" s="55">
        <x:v>45292</x:v>
      </x:c>
      <x:c r="E132" s="54" t="s">
        <x:v>80</x:v>
      </x:c>
      <x:c r="F132" s="54">
        <x:v>1</x:v>
      </x:c>
      <x:c r="G132" s="148">
        <x:v>433.04300000000001</x:v>
      </x:c>
      <x:c r="H132" s="148" t="n">
        <x:f t="shared" si="5">IFERROR(IF(OR($F$1="",D132=""),0,MAX(0,$F$1-D132)),0)</x:f>
        <x:v>1095</x:v>
      </x:c>
      <x:c r="I132" s="148">
        <x:v>0.33329999999999999</x:v>
      </x:c>
      <x:c r="J132" s="148" t="n">
        <x:f t="shared" si="6">IFERROR(IF(OR(G132="",G132&lt;=0,I132="",D132="",$F$1=""),0,IF($F$1&lt;D132,0,MIN(MAX(G132-1,0),MAX(0,(G132*I132/365)*H132)))),0)</x:f>
        <x:v>432.043</x:v>
      </x:c>
      <x:c r="K132" s="148" t="n">
        <x:f t="shared" si="7">IFERROR(IF(OR(G132="",G132&lt;=0),0,MAX(1,G132-J132)),0)</x:f>
        <x:v>1</x:v>
      </x:c>
      <x:c r="L132" s="148" t="n">
        <x:f t="shared" si="8">IFERROR(IF(OR(G132="",G132&lt;=0,I132="",D132="",$F$1=""),0,IF($F$1&lt;D132,0,IF(K132&lt;=1,0,MIN(G132*I132/12,K132-1)))),0)</x:f>
        <x:v>0</x:v>
      </x:c>
      <x:c r="M132" s="58" t="s">
        <x:v>18</x:v>
      </x:c>
    </x:row>
    <x:row r="133" ht="19.899999618530273" customHeight="1">
      <x:c r="A133" s="53">
        <x:f t="shared" si="9"/>
        <x:v>128</x:v>
      </x:c>
      <x:c r="B133" s="54" t="s">
        <x:v>74</x:v>
      </x:c>
      <x:c r="C133" s="54" t="s">
        <x:v>27</x:v>
      </x:c>
      <x:c r="D133" s="55">
        <x:v>45292</x:v>
      </x:c>
      <x:c r="E133" s="54" t="s">
        <x:v>80</x:v>
      </x:c>
      <x:c r="F133" s="54">
        <x:v>1</x:v>
      </x:c>
      <x:c r="G133" s="148">
        <x:v>433.04300000000001</x:v>
      </x:c>
      <x:c r="H133" s="148" t="n">
        <x:f t="shared" si="5">IFERROR(IF(OR($F$1="",D133=""),0,MAX(0,$F$1-D133)),0)</x:f>
        <x:v>1095</x:v>
      </x:c>
      <x:c r="I133" s="148">
        <x:v>0.33329999999999999</x:v>
      </x:c>
      <x:c r="J133" s="148" t="n">
        <x:f t="shared" si="6">IFERROR(IF(OR(G133="",G133&lt;=0,I133="",D133="",$F$1=""),0,IF($F$1&lt;D133,0,MIN(MAX(G133-1,0),MAX(0,(G133*I133/365)*H133)))),0)</x:f>
        <x:v>432.043</x:v>
      </x:c>
      <x:c r="K133" s="148" t="n">
        <x:f t="shared" si="7">IFERROR(IF(OR(G133="",G133&lt;=0),0,MAX(1,G133-J133)),0)</x:f>
        <x:v>1</x:v>
      </x:c>
      <x:c r="L133" s="148" t="n">
        <x:f t="shared" si="8">IFERROR(IF(OR(G133="",G133&lt;=0,I133="",D133="",$F$1=""),0,IF($F$1&lt;D133,0,IF(K133&lt;=1,0,MIN(G133*I133/12,K133-1)))),0)</x:f>
        <x:v>0</x:v>
      </x:c>
      <x:c r="M133" s="58" t="s">
        <x:v>18</x:v>
      </x:c>
    </x:row>
    <x:row r="134" ht="19.899999618530273" customHeight="1">
      <x:c r="A134" s="53">
        <x:f t="shared" si="9"/>
        <x:v>129</x:v>
      </x:c>
      <x:c r="B134" s="54" t="s">
        <x:v>74</x:v>
      </x:c>
      <x:c r="C134" s="54" t="s">
        <x:v>27</x:v>
      </x:c>
      <x:c r="D134" s="55">
        <x:v>45292</x:v>
      </x:c>
      <x:c r="E134" s="54" t="s">
        <x:v>80</x:v>
      </x:c>
      <x:c r="F134" s="54">
        <x:v>1</x:v>
      </x:c>
      <x:c r="G134" s="148">
        <x:v>433.04300000000001</x:v>
      </x:c>
      <x:c r="H134" s="148" t="n">
        <x:f t="shared" ref="H134:H197" si="10">IFERROR(IF(OR($F$1="",D134=""),0,MAX(0,$F$1-D134)),0)</x:f>
        <x:v>1095</x:v>
      </x:c>
      <x:c r="I134" s="148">
        <x:v>0.33329999999999999</x:v>
      </x:c>
      <x:c r="J134" s="148" t="n">
        <x:f t="shared" ref="J134:J197" si="11">IFERROR(IF(OR(G134="",G134&lt;=0,I134="",D134="",$F$1=""),0,IF($F$1&lt;D134,0,MIN(MAX(G134-1,0),MAX(0,(G134*I134/365)*H134)))),0)</x:f>
        <x:v>432.043</x:v>
      </x:c>
      <x:c r="K134" s="148" t="n">
        <x:f t="shared" ref="K134:K197" si="12">IFERROR(IF(OR(G134="",G134&lt;=0),0,MAX(1,G134-J134)),0)</x:f>
        <x:v>1</x:v>
      </x:c>
      <x:c r="L134" s="148" t="n">
        <x:f t="shared" ref="L134:L197" si="13">IFERROR(IF(OR(G134="",G134&lt;=0,I134="",D134="",$F$1=""),0,IF($F$1&lt;D134,0,IF(K134&lt;=1,0,MIN(G134*I134/12,K134-1)))),0)</x:f>
        <x:v>0</x:v>
      </x:c>
      <x:c r="M134" s="58" t="s">
        <x:v>18</x:v>
      </x:c>
    </x:row>
    <x:row r="135" ht="19.899999618530273" customHeight="1">
      <x:c r="A135" s="53">
        <x:f t="shared" si="9"/>
        <x:v>130</x:v>
      </x:c>
      <x:c r="B135" s="54" t="s">
        <x:v>74</x:v>
      </x:c>
      <x:c r="C135" s="54" t="s">
        <x:v>27</x:v>
      </x:c>
      <x:c r="D135" s="55">
        <x:v>45292</x:v>
      </x:c>
      <x:c r="E135" s="54" t="s">
        <x:v>80</x:v>
      </x:c>
      <x:c r="F135" s="54">
        <x:v>1</x:v>
      </x:c>
      <x:c r="G135" s="148">
        <x:v>433.04300000000001</x:v>
      </x:c>
      <x:c r="H135" s="148" t="n">
        <x:f t="shared" si="10">IFERROR(IF(OR($F$1="",D135=""),0,MAX(0,$F$1-D135)),0)</x:f>
        <x:v>1095</x:v>
      </x:c>
      <x:c r="I135" s="148">
        <x:v>0.33329999999999999</x:v>
      </x:c>
      <x:c r="J135" s="148" t="n">
        <x:f t="shared" si="11">IFERROR(IF(OR(G135="",G135&lt;=0,I135="",D135="",$F$1=""),0,IF($F$1&lt;D135,0,MIN(MAX(G135-1,0),MAX(0,(G135*I135/365)*H135)))),0)</x:f>
        <x:v>432.043</x:v>
      </x:c>
      <x:c r="K135" s="148" t="n">
        <x:f t="shared" si="12">IFERROR(IF(OR(G135="",G135&lt;=0),0,MAX(1,G135-J135)),0)</x:f>
        <x:v>1</x:v>
      </x:c>
      <x:c r="L135" s="148" t="n">
        <x:f t="shared" si="13">IFERROR(IF(OR(G135="",G135&lt;=0,I135="",D135="",$F$1=""),0,IF($F$1&lt;D135,0,IF(K135&lt;=1,0,MIN(G135*I135/12,K135-1)))),0)</x:f>
        <x:v>0</x:v>
      </x:c>
      <x:c r="M135" s="58" t="s">
        <x:v>18</x:v>
      </x:c>
    </x:row>
    <x:row r="136" ht="19.899999618530273" customHeight="1">
      <x:c r="A136" s="53">
        <x:f t="shared" si="9"/>
        <x:v>131</x:v>
      </x:c>
      <x:c r="B136" s="54" t="s">
        <x:v>74</x:v>
      </x:c>
      <x:c r="C136" s="54" t="s">
        <x:v>27</x:v>
      </x:c>
      <x:c r="D136" s="55">
        <x:v>45292</x:v>
      </x:c>
      <x:c r="E136" s="54" t="s">
        <x:v>80</x:v>
      </x:c>
      <x:c r="F136" s="54">
        <x:v>1</x:v>
      </x:c>
      <x:c r="G136" s="148">
        <x:v>433.04300000000001</x:v>
      </x:c>
      <x:c r="H136" s="148" t="n">
        <x:f t="shared" si="10">IFERROR(IF(OR($F$1="",D136=""),0,MAX(0,$F$1-D136)),0)</x:f>
        <x:v>1095</x:v>
      </x:c>
      <x:c r="I136" s="148">
        <x:v>0.33329999999999999</x:v>
      </x:c>
      <x:c r="J136" s="148" t="n">
        <x:f t="shared" si="11">IFERROR(IF(OR(G136="",G136&lt;=0,I136="",D136="",$F$1=""),0,IF($F$1&lt;D136,0,MIN(MAX(G136-1,0),MAX(0,(G136*I136/365)*H136)))),0)</x:f>
        <x:v>432.043</x:v>
      </x:c>
      <x:c r="K136" s="148" t="n">
        <x:f t="shared" si="12">IFERROR(IF(OR(G136="",G136&lt;=0),0,MAX(1,G136-J136)),0)</x:f>
        <x:v>1</x:v>
      </x:c>
      <x:c r="L136" s="148" t="n">
        <x:f t="shared" si="13">IFERROR(IF(OR(G136="",G136&lt;=0,I136="",D136="",$F$1=""),0,IF($F$1&lt;D136,0,IF(K136&lt;=1,0,MIN(G136*I136/12,K136-1)))),0)</x:f>
        <x:v>0</x:v>
      </x:c>
      <x:c r="M136" s="58" t="s">
        <x:v>18</x:v>
      </x:c>
    </x:row>
    <x:row r="137" ht="19.899999618530273" customHeight="1">
      <x:c r="A137" s="53" t="n">
        <x:f t="shared" ref="A137:A200" si="14">A136+1</x:f>
        <x:v>132</x:v>
      </x:c>
      <x:c r="B137" s="54" t="s">
        <x:v>74</x:v>
      </x:c>
      <x:c r="C137" s="54" t="s">
        <x:v>27</x:v>
      </x:c>
      <x:c r="D137" s="55">
        <x:v>45292</x:v>
      </x:c>
      <x:c r="E137" s="54" t="s">
        <x:v>80</x:v>
      </x:c>
      <x:c r="F137" s="54">
        <x:v>1</x:v>
      </x:c>
      <x:c r="G137" s="148">
        <x:v>433.04300000000001</x:v>
      </x:c>
      <x:c r="H137" s="148" t="n">
        <x:f t="shared" si="10">IFERROR(IF(OR($F$1="",D137=""),0,MAX(0,$F$1-D137)),0)</x:f>
        <x:v>1095</x:v>
      </x:c>
      <x:c r="I137" s="148">
        <x:v>0.33329999999999999</x:v>
      </x:c>
      <x:c r="J137" s="148" t="n">
        <x:f t="shared" si="11">IFERROR(IF(OR(G137="",G137&lt;=0,I137="",D137="",$F$1=""),0,IF($F$1&lt;D137,0,MIN(MAX(G137-1,0),MAX(0,(G137*I137/365)*H137)))),0)</x:f>
        <x:v>432.043</x:v>
      </x:c>
      <x:c r="K137" s="148" t="n">
        <x:f t="shared" si="12">IFERROR(IF(OR(G137="",G137&lt;=0),0,MAX(1,G137-J137)),0)</x:f>
        <x:v>1</x:v>
      </x:c>
      <x:c r="L137" s="148" t="n">
        <x:f t="shared" si="13">IFERROR(IF(OR(G137="",G137&lt;=0,I137="",D137="",$F$1=""),0,IF($F$1&lt;D137,0,IF(K137&lt;=1,0,MIN(G137*I137/12,K137-1)))),0)</x:f>
        <x:v>0</x:v>
      </x:c>
      <x:c r="M137" s="58" t="s">
        <x:v>18</x:v>
      </x:c>
    </x:row>
    <x:row r="138" ht="19.899999618530273" customHeight="1">
      <x:c r="A138" s="53">
        <x:f t="shared" si="14"/>
        <x:v>133</x:v>
      </x:c>
      <x:c r="B138" s="54" t="s">
        <x:v>74</x:v>
      </x:c>
      <x:c r="C138" s="54" t="s">
        <x:v>27</x:v>
      </x:c>
      <x:c r="D138" s="55">
        <x:v>45292</x:v>
      </x:c>
      <x:c r="E138" s="54" t="s">
        <x:v>80</x:v>
      </x:c>
      <x:c r="F138" s="54">
        <x:v>1</x:v>
      </x:c>
      <x:c r="G138" s="148">
        <x:v>433.04300000000001</x:v>
      </x:c>
      <x:c r="H138" s="148" t="n">
        <x:f t="shared" si="10">IFERROR(IF(OR($F$1="",D138=""),0,MAX(0,$F$1-D138)),0)</x:f>
        <x:v>1095</x:v>
      </x:c>
      <x:c r="I138" s="148">
        <x:v>0.33329999999999999</x:v>
      </x:c>
      <x:c r="J138" s="148" t="n">
        <x:f t="shared" si="11">IFERROR(IF(OR(G138="",G138&lt;=0,I138="",D138="",$F$1=""),0,IF($F$1&lt;D138,0,MIN(MAX(G138-1,0),MAX(0,(G138*I138/365)*H138)))),0)</x:f>
        <x:v>432.043</x:v>
      </x:c>
      <x:c r="K138" s="148" t="n">
        <x:f t="shared" si="12">IFERROR(IF(OR(G138="",G138&lt;=0),0,MAX(1,G138-J138)),0)</x:f>
        <x:v>1</x:v>
      </x:c>
      <x:c r="L138" s="148" t="n">
        <x:f t="shared" si="13">IFERROR(IF(OR(G138="",G138&lt;=0,I138="",D138="",$F$1=""),0,IF($F$1&lt;D138,0,IF(K138&lt;=1,0,MIN(G138*I138/12,K138-1)))),0)</x:f>
        <x:v>0</x:v>
      </x:c>
      <x:c r="M138" s="58" t="s">
        <x:v>18</x:v>
      </x:c>
    </x:row>
    <x:row r="139" ht="19.899999618530273" customHeight="1">
      <x:c r="A139" s="53">
        <x:f t="shared" si="14"/>
        <x:v>134</x:v>
      </x:c>
      <x:c r="B139" s="54" t="s">
        <x:v>74</x:v>
      </x:c>
      <x:c r="C139" s="54" t="s">
        <x:v>27</x:v>
      </x:c>
      <x:c r="D139" s="55">
        <x:v>45292</x:v>
      </x:c>
      <x:c r="E139" s="54" t="s">
        <x:v>81</x:v>
      </x:c>
      <x:c r="F139" s="54">
        <x:v>1</x:v>
      </x:c>
      <x:c r="G139" s="148">
        <x:v>690</x:v>
      </x:c>
      <x:c r="H139" s="148" t="n">
        <x:f t="shared" si="10">IFERROR(IF(OR($F$1="",D139=""),0,MAX(0,$F$1-D139)),0)</x:f>
        <x:v>1095</x:v>
      </x:c>
      <x:c r="I139" s="148">
        <x:v>0.33329999999999999</x:v>
      </x:c>
      <x:c r="J139" s="148" t="n">
        <x:f t="shared" si="11">IFERROR(IF(OR(G139="",G139&lt;=0,I139="",D139="",$F$1=""),0,IF($F$1&lt;D139,0,MIN(MAX(G139-1,0),MAX(0,(G139*I139/365)*H139)))),0)</x:f>
        <x:v>689</x:v>
      </x:c>
      <x:c r="K139" s="148" t="n">
        <x:f t="shared" si="12">IFERROR(IF(OR(G139="",G139&lt;=0),0,MAX(1,G139-J139)),0)</x:f>
        <x:v>1</x:v>
      </x:c>
      <x:c r="L139" s="148" t="n">
        <x:f t="shared" si="13">IFERROR(IF(OR(G139="",G139&lt;=0,I139="",D139="",$F$1=""),0,IF($F$1&lt;D139,0,IF(K139&lt;=1,0,MIN(G139*I139/12,K139-1)))),0)</x:f>
        <x:v>0</x:v>
      </x:c>
      <x:c r="M139" s="58" t="s">
        <x:v>18</x:v>
      </x:c>
    </x:row>
    <x:row r="140" ht="19.899999618530273" customHeight="1">
      <x:c r="A140" s="53">
        <x:f t="shared" si="14"/>
        <x:v>135</x:v>
      </x:c>
      <x:c r="B140" s="54" t="s">
        <x:v>74</x:v>
      </x:c>
      <x:c r="C140" s="54" t="s">
        <x:v>27</x:v>
      </x:c>
      <x:c r="D140" s="55">
        <x:v>45292</x:v>
      </x:c>
      <x:c r="E140" s="54" t="s">
        <x:v>81</x:v>
      </x:c>
      <x:c r="F140" s="54">
        <x:v>1</x:v>
      </x:c>
      <x:c r="G140" s="148">
        <x:v>690</x:v>
      </x:c>
      <x:c r="H140" s="148" t="n">
        <x:f t="shared" si="10">IFERROR(IF(OR($F$1="",D140=""),0,MAX(0,$F$1-D140)),0)</x:f>
        <x:v>1095</x:v>
      </x:c>
      <x:c r="I140" s="148">
        <x:v>0.33329999999999999</x:v>
      </x:c>
      <x:c r="J140" s="148" t="n">
        <x:f t="shared" si="11">IFERROR(IF(OR(G140="",G140&lt;=0,I140="",D140="",$F$1=""),0,IF($F$1&lt;D140,0,MIN(MAX(G140-1,0),MAX(0,(G140*I140/365)*H140)))),0)</x:f>
        <x:v>689</x:v>
      </x:c>
      <x:c r="K140" s="148" t="n">
        <x:f t="shared" si="12">IFERROR(IF(OR(G140="",G140&lt;=0),0,MAX(1,G140-J140)),0)</x:f>
        <x:v>1</x:v>
      </x:c>
      <x:c r="L140" s="148" t="n">
        <x:f t="shared" si="13">IFERROR(IF(OR(G140="",G140&lt;=0,I140="",D140="",$F$1=""),0,IF($F$1&lt;D140,0,IF(K140&lt;=1,0,MIN(G140*I140/12,K140-1)))),0)</x:f>
        <x:v>0</x:v>
      </x:c>
      <x:c r="M140" s="58" t="s">
        <x:v>18</x:v>
      </x:c>
    </x:row>
    <x:row r="141" ht="19.899999618530273" customHeight="1">
      <x:c r="A141" s="53">
        <x:f t="shared" si="14"/>
        <x:v>136</x:v>
      </x:c>
      <x:c r="B141" s="54" t="s">
        <x:v>74</x:v>
      </x:c>
      <x:c r="C141" s="54" t="s">
        <x:v>27</x:v>
      </x:c>
      <x:c r="D141" s="55">
        <x:v>45292</x:v>
      </x:c>
      <x:c r="E141" s="54" t="s">
        <x:v>81</x:v>
      </x:c>
      <x:c r="F141" s="54">
        <x:v>1</x:v>
      </x:c>
      <x:c r="G141" s="148">
        <x:v>690</x:v>
      </x:c>
      <x:c r="H141" s="148" t="n">
        <x:f t="shared" si="10">IFERROR(IF(OR($F$1="",D141=""),0,MAX(0,$F$1-D141)),0)</x:f>
        <x:v>1095</x:v>
      </x:c>
      <x:c r="I141" s="148">
        <x:v>0.33329999999999999</x:v>
      </x:c>
      <x:c r="J141" s="148" t="n">
        <x:f t="shared" si="11">IFERROR(IF(OR(G141="",G141&lt;=0,I141="",D141="",$F$1=""),0,IF($F$1&lt;D141,0,MIN(MAX(G141-1,0),MAX(0,(G141*I141/365)*H141)))),0)</x:f>
        <x:v>689</x:v>
      </x:c>
      <x:c r="K141" s="148" t="n">
        <x:f t="shared" si="12">IFERROR(IF(OR(G141="",G141&lt;=0),0,MAX(1,G141-J141)),0)</x:f>
        <x:v>1</x:v>
      </x:c>
      <x:c r="L141" s="148" t="n">
        <x:f t="shared" si="13">IFERROR(IF(OR(G141="",G141&lt;=0,I141="",D141="",$F$1=""),0,IF($F$1&lt;D141,0,IF(K141&lt;=1,0,MIN(G141*I141/12,K141-1)))),0)</x:f>
        <x:v>0</x:v>
      </x:c>
      <x:c r="M141" s="58" t="s">
        <x:v>18</x:v>
      </x:c>
    </x:row>
    <x:row r="142" ht="19.899999618530273" customHeight="1">
      <x:c r="A142" s="53">
        <x:f t="shared" si="14"/>
        <x:v>137</x:v>
      </x:c>
      <x:c r="B142" s="54" t="s">
        <x:v>82</x:v>
      </x:c>
      <x:c r="C142" s="54" t="s">
        <x:v>27</x:v>
      </x:c>
      <x:c r="D142" s="55">
        <x:v>45059</x:v>
      </x:c>
      <x:c r="E142" s="54" t="s">
        <x:v>83</x:v>
      </x:c>
      <x:c r="F142" s="54">
        <x:v>1</x:v>
      </x:c>
      <x:c r="G142" s="148">
        <x:v>1417.39</x:v>
      </x:c>
      <x:c r="H142" s="148" t="n">
        <x:f t="shared" si="10">IFERROR(IF(OR($F$1="",D142=""),0,MAX(0,$F$1-D142)),0)</x:f>
        <x:v>1328</x:v>
      </x:c>
      <x:c r="I142" s="148">
        <x:v>0.33329999999999999</x:v>
      </x:c>
      <x:c r="J142" s="148" t="n">
        <x:f t="shared" si="11">IFERROR(IF(OR(G142="",G142&lt;=0,I142="",D142="",$F$1=""),0,IF($F$1&lt;D142,0,MIN(MAX(G142-1,0),MAX(0,(G142*I142/365)*H142)))),0)</x:f>
        <x:v>1416.39</x:v>
      </x:c>
      <x:c r="K142" s="148" t="n">
        <x:f t="shared" si="12">IFERROR(IF(OR(G142="",G142&lt;=0),0,MAX(1,G142-J142)),0)</x:f>
        <x:v>1</x:v>
      </x:c>
      <x:c r="L142" s="148" t="n">
        <x:f t="shared" si="13">IFERROR(IF(OR(G142="",G142&lt;=0,I142="",D142="",$F$1=""),0,IF($F$1&lt;D142,0,IF(K142&lt;=1,0,MIN(G142*I142/12,K142-1)))),0)</x:f>
        <x:v>0</x:v>
      </x:c>
      <x:c r="M142" s="58" t="s">
        <x:v>18</x:v>
      </x:c>
    </x:row>
    <x:row r="143" ht="19.899999618530273" customHeight="1">
      <x:c r="A143" s="53">
        <x:f t="shared" si="14"/>
        <x:v>138</x:v>
      </x:c>
      <x:c r="B143" s="54" t="s">
        <x:v>82</x:v>
      </x:c>
      <x:c r="C143" s="54" t="s">
        <x:v>23</x:v>
      </x:c>
      <x:c r="D143" s="55">
        <x:v>45077</x:v>
      </x:c>
      <x:c r="E143" s="54" t="s">
        <x:v>84</x:v>
      </x:c>
      <x:c r="F143" s="54">
        <x:v>1</x:v>
      </x:c>
      <x:c r="G143" s="148">
        <x:v>49255</x:v>
      </x:c>
      <x:c r="H143" s="148" t="n">
        <x:f t="shared" si="10">IFERROR(IF(OR($F$1="",D143=""),0,MAX(0,$F$1-D143)),0)</x:f>
        <x:v>1310</x:v>
      </x:c>
      <x:c r="I143" s="148">
        <x:v>0.2</x:v>
      </x:c>
      <x:c r="J143" s="148" t="n">
        <x:f t="shared" si="11">IFERROR(IF(OR(G143="",G143&lt;=0,I143="",D143="",$F$1=""),0,IF($F$1&lt;D143,0,MIN(MAX(G143-1,0),MAX(0,(G143*I143/365)*H143)))),0)</x:f>
        <x:v>35355.643835616436</x:v>
      </x:c>
      <x:c r="K143" s="148" t="n">
        <x:f t="shared" si="12">IFERROR(IF(OR(G143="",G143&lt;=0),0,MAX(1,G143-J143)),0)</x:f>
        <x:v>13899.356164383564</x:v>
      </x:c>
      <x:c r="L143" s="148" t="n">
        <x:f t="shared" si="13">IFERROR(IF(OR(G143="",G143&lt;=0,I143="",D143="",$F$1=""),0,IF($F$1&lt;D143,0,IF(K143&lt;=1,0,MIN(G143*I143/12,K143-1)))),0)</x:f>
        <x:v>820.9166666666666</x:v>
      </x:c>
      <x:c r="M143" s="58" t="s">
        <x:v>18</x:v>
      </x:c>
    </x:row>
    <x:row r="144" ht="19.899999618530273" customHeight="1">
      <x:c r="A144" s="53">
        <x:f t="shared" si="14"/>
        <x:v>139</x:v>
      </x:c>
      <x:c r="B144" s="54" t="s">
        <x:v>82</x:v>
      </x:c>
      <x:c r="C144" s="54" t="s">
        <x:v>41</x:v>
      </x:c>
      <x:c r="D144" s="55">
        <x:v>45024</x:v>
      </x:c>
      <x:c r="E144" s="54" t="s">
        <x:v>85</x:v>
      </x:c>
      <x:c r="F144" s="54">
        <x:v>1</x:v>
      </x:c>
      <x:c r="G144" s="148">
        <x:v>48934.29</x:v>
      </x:c>
      <x:c r="H144" s="148" t="n">
        <x:f t="shared" si="10">IFERROR(IF(OR($F$1="",D144=""),0,MAX(0,$F$1-D144)),0)</x:f>
        <x:v>1363</x:v>
      </x:c>
      <x:c r="I144" s="148">
        <x:v>0.15</x:v>
      </x:c>
      <x:c r="J144" s="148" t="n">
        <x:f t="shared" si="11">IFERROR(IF(OR(G144="",G144&lt;=0,I144="",D144="",$F$1=""),0,IF($F$1&lt;D144,0,MIN(MAX(G144-1,0),MAX(0,(G144*I144/365)*H144)))),0)</x:f>
        <x:v>27409.90572739726</x:v>
      </x:c>
      <x:c r="K144" s="148" t="n">
        <x:f t="shared" si="12">IFERROR(IF(OR(G144="",G144&lt;=0),0,MAX(1,G144-J144)),0)</x:f>
        <x:v>21524.38427260274</x:v>
      </x:c>
      <x:c r="L144" s="148" t="n">
        <x:f t="shared" si="13">IFERROR(IF(OR(G144="",G144&lt;=0,I144="",D144="",$F$1=""),0,IF($F$1&lt;D144,0,IF(K144&lt;=1,0,MIN(G144*I144/12,K144-1)))),0)</x:f>
        <x:v>611.678625</x:v>
      </x:c>
      <x:c r="M144" s="58" t="s">
        <x:v>18</x:v>
      </x:c>
    </x:row>
    <x:row r="145" ht="19.899999618530273" customHeight="1">
      <x:c r="A145" s="53">
        <x:f t="shared" si="14"/>
        <x:v>140</x:v>
      </x:c>
      <x:c r="B145" s="54" t="s">
        <x:v>82</x:v>
      </x:c>
      <x:c r="C145" s="54" t="s">
        <x:v>27</x:v>
      </x:c>
      <x:c r="D145" s="55">
        <x:v>45216</x:v>
      </x:c>
      <x:c r="E145" s="54" t="s">
        <x:v>86</x:v>
      </x:c>
      <x:c r="F145" s="54">
        <x:v>1</x:v>
      </x:c>
      <x:c r="G145" s="148">
        <x:v>190</x:v>
      </x:c>
      <x:c r="H145" s="148" t="n">
        <x:f t="shared" si="10">IFERROR(IF(OR($F$1="",D145=""),0,MAX(0,$F$1-D145)),0)</x:f>
        <x:v>1171</x:v>
      </x:c>
      <x:c r="I145" s="148">
        <x:v>0.33329999999999999</x:v>
      </x:c>
      <x:c r="J145" s="148" t="n">
        <x:f t="shared" si="11">IFERROR(IF(OR(G145="",G145&lt;=0,I145="",D145="",$F$1=""),0,IF($F$1&lt;D145,0,MIN(MAX(G145-1,0),MAX(0,(G145*I145/365)*H145)))),0)</x:f>
        <x:v>189</x:v>
      </x:c>
      <x:c r="K145" s="148" t="n">
        <x:f t="shared" si="12">IFERROR(IF(OR(G145="",G145&lt;=0),0,MAX(1,G145-J145)),0)</x:f>
        <x:v>1</x:v>
      </x:c>
      <x:c r="L145" s="148" t="n">
        <x:f t="shared" si="13">IFERROR(IF(OR(G145="",G145&lt;=0,I145="",D145="",$F$1=""),0,IF($F$1&lt;D145,0,IF(K145&lt;=1,0,MIN(G145*I145/12,K145-1)))),0)</x:f>
        <x:v>0</x:v>
      </x:c>
      <x:c r="M145" s="58" t="s">
        <x:v>18</x:v>
      </x:c>
    </x:row>
    <x:row r="146" ht="19.899999618530273" customHeight="1">
      <x:c r="A146" s="53">
        <x:f t="shared" si="14"/>
        <x:v>141</x:v>
      </x:c>
      <x:c r="B146" s="54" t="s">
        <x:v>82</x:v>
      </x:c>
      <x:c r="C146" s="54" t="s">
        <x:v>27</x:v>
      </x:c>
      <x:c r="D146" s="55">
        <x:v>45216</x:v>
      </x:c>
      <x:c r="E146" s="54" t="s">
        <x:v>86</x:v>
      </x:c>
      <x:c r="F146" s="54">
        <x:v>1</x:v>
      </x:c>
      <x:c r="G146" s="148">
        <x:v>190</x:v>
      </x:c>
      <x:c r="H146" s="148" t="n">
        <x:f t="shared" si="10">IFERROR(IF(OR($F$1="",D146=""),0,MAX(0,$F$1-D146)),0)</x:f>
        <x:v>1171</x:v>
      </x:c>
      <x:c r="I146" s="148">
        <x:v>0.33329999999999999</x:v>
      </x:c>
      <x:c r="J146" s="148" t="n">
        <x:f t="shared" si="11">IFERROR(IF(OR(G146="",G146&lt;=0,I146="",D146="",$F$1=""),0,IF($F$1&lt;D146,0,MIN(MAX(G146-1,0),MAX(0,(G146*I146/365)*H146)))),0)</x:f>
        <x:v>189</x:v>
      </x:c>
      <x:c r="K146" s="148" t="n">
        <x:f t="shared" si="12">IFERROR(IF(OR(G146="",G146&lt;=0),0,MAX(1,G146-J146)),0)</x:f>
        <x:v>1</x:v>
      </x:c>
      <x:c r="L146" s="148" t="n">
        <x:f t="shared" si="13">IFERROR(IF(OR(G146="",G146&lt;=0,I146="",D146="",$F$1=""),0,IF($F$1&lt;D146,0,IF(K146&lt;=1,0,MIN(G146*I146/12,K146-1)))),0)</x:f>
        <x:v>0</x:v>
      </x:c>
      <x:c r="M146" s="58" t="s">
        <x:v>18</x:v>
      </x:c>
    </x:row>
    <x:row r="147" ht="19.899999618530273" customHeight="1">
      <x:c r="A147" s="53">
        <x:f t="shared" si="14"/>
        <x:v>142</x:v>
      </x:c>
      <x:c r="B147" s="54" t="s">
        <x:v>82</x:v>
      </x:c>
      <x:c r="C147" s="54" t="s">
        <x:v>27</x:v>
      </x:c>
      <x:c r="D147" s="55">
        <x:v>45216</x:v>
      </x:c>
      <x:c r="E147" s="54" t="s">
        <x:v>86</x:v>
      </x:c>
      <x:c r="F147" s="54">
        <x:v>1</x:v>
      </x:c>
      <x:c r="G147" s="148">
        <x:v>190</x:v>
      </x:c>
      <x:c r="H147" s="148" t="n">
        <x:f t="shared" si="10">IFERROR(IF(OR($F$1="",D147=""),0,MAX(0,$F$1-D147)),0)</x:f>
        <x:v>1171</x:v>
      </x:c>
      <x:c r="I147" s="148">
        <x:v>0.33329999999999999</x:v>
      </x:c>
      <x:c r="J147" s="148" t="n">
        <x:f t="shared" si="11">IFERROR(IF(OR(G147="",G147&lt;=0,I147="",D147="",$F$1=""),0,IF($F$1&lt;D147,0,MIN(MAX(G147-1,0),MAX(0,(G147*I147/365)*H147)))),0)</x:f>
        <x:v>189</x:v>
      </x:c>
      <x:c r="K147" s="148" t="n">
        <x:f t="shared" si="12">IFERROR(IF(OR(G147="",G147&lt;=0),0,MAX(1,G147-J147)),0)</x:f>
        <x:v>1</x:v>
      </x:c>
      <x:c r="L147" s="148" t="n">
        <x:f t="shared" si="13">IFERROR(IF(OR(G147="",G147&lt;=0,I147="",D147="",$F$1=""),0,IF($F$1&lt;D147,0,IF(K147&lt;=1,0,MIN(G147*I147/12,K147-1)))),0)</x:f>
        <x:v>0</x:v>
      </x:c>
      <x:c r="M147" s="58" t="s">
        <x:v>18</x:v>
      </x:c>
    </x:row>
    <x:row r="148" ht="19.899999618530273" customHeight="1">
      <x:c r="A148" s="53">
        <x:f t="shared" si="14"/>
        <x:v>143</x:v>
      </x:c>
      <x:c r="B148" s="54" t="s">
        <x:v>82</x:v>
      </x:c>
      <x:c r="C148" s="54" t="s">
        <x:v>27</x:v>
      </x:c>
      <x:c r="D148" s="55">
        <x:v>45216</x:v>
      </x:c>
      <x:c r="E148" s="54" t="s">
        <x:v>87</x:v>
      </x:c>
      <x:c r="F148" s="54">
        <x:v>1</x:v>
      </x:c>
      <x:c r="G148" s="148">
        <x:v>999.13</x:v>
      </x:c>
      <x:c r="H148" s="148" t="n">
        <x:f t="shared" si="10">IFERROR(IF(OR($F$1="",D148=""),0,MAX(0,$F$1-D148)),0)</x:f>
        <x:v>1171</x:v>
      </x:c>
      <x:c r="I148" s="148">
        <x:v>0.33329999999999999</x:v>
      </x:c>
      <x:c r="J148" s="148" t="n">
        <x:f t="shared" si="11">IFERROR(IF(OR(G148="",G148&lt;=0,I148="",D148="",$F$1=""),0,IF($F$1&lt;D148,0,MIN(MAX(G148-1,0),MAX(0,(G148*I148/365)*H148)))),0)</x:f>
        <x:v>998.13</x:v>
      </x:c>
      <x:c r="K148" s="148" t="n">
        <x:f t="shared" si="12">IFERROR(IF(OR(G148="",G148&lt;=0),0,MAX(1,G148-J148)),0)</x:f>
        <x:v>1</x:v>
      </x:c>
      <x:c r="L148" s="148" t="n">
        <x:f t="shared" si="13">IFERROR(IF(OR(G148="",G148&lt;=0,I148="",D148="",$F$1=""),0,IF($F$1&lt;D148,0,IF(K148&lt;=1,0,MIN(G148*I148/12,K148-1)))),0)</x:f>
        <x:v>0</x:v>
      </x:c>
      <x:c r="M148" s="58" t="s">
        <x:v>18</x:v>
      </x:c>
    </x:row>
    <x:row r="149" ht="19.899999618530273" customHeight="1">
      <x:c r="A149" s="53">
        <x:f t="shared" si="14"/>
        <x:v>144</x:v>
      </x:c>
      <x:c r="B149" s="54" t="s">
        <x:v>82</x:v>
      </x:c>
      <x:c r="C149" s="54" t="s">
        <x:v>41</x:v>
      </x:c>
      <x:c r="D149" s="55">
        <x:v>45026</x:v>
      </x:c>
      <x:c r="E149" s="54" t="s">
        <x:v>88</x:v>
      </x:c>
      <x:c r="F149" s="54">
        <x:v>1</x:v>
      </x:c>
      <x:c r="G149" s="148">
        <x:v>5628</x:v>
      </x:c>
      <x:c r="H149" s="148" t="n">
        <x:f t="shared" si="10">IFERROR(IF(OR($F$1="",D149=""),0,MAX(0,$F$1-D149)),0)</x:f>
        <x:v>1361</x:v>
      </x:c>
      <x:c r="I149" s="148">
        <x:v>0.15</x:v>
      </x:c>
      <x:c r="J149" s="148" t="n">
        <x:f t="shared" si="11">IFERROR(IF(OR(G149="",G149&lt;=0,I149="",D149="",$F$1=""),0,IF($F$1&lt;D149,0,MIN(MAX(G149-1,0),MAX(0,(G149*I149/365)*H149)))),0)</x:f>
        <x:v>3147.8252054794516</x:v>
      </x:c>
      <x:c r="K149" s="148" t="n">
        <x:f t="shared" si="12">IFERROR(IF(OR(G149="",G149&lt;=0),0,MAX(1,G149-J149)),0)</x:f>
        <x:v>2480.1747945205484</x:v>
      </x:c>
      <x:c r="L149" s="148" t="n">
        <x:f t="shared" si="13">IFERROR(IF(OR(G149="",G149&lt;=0,I149="",D149="",$F$1=""),0,IF($F$1&lt;D149,0,IF(K149&lt;=1,0,MIN(G149*I149/12,K149-1)))),0)</x:f>
        <x:v>70.35</x:v>
      </x:c>
      <x:c r="M149" s="58" t="s">
        <x:v>18</x:v>
      </x:c>
    </x:row>
    <x:row r="150" ht="19.899999618530273" customHeight="1">
      <x:c r="A150" s="53">
        <x:f t="shared" si="14"/>
        <x:v>145</x:v>
      </x:c>
      <x:c r="B150" s="54" t="s">
        <x:v>82</x:v>
      </x:c>
      <x:c r="C150" s="54" t="s">
        <x:v>41</x:v>
      </x:c>
      <x:c r="D150" s="55">
        <x:v>45026</x:v>
      </x:c>
      <x:c r="E150" s="54" t="s">
        <x:v>89</x:v>
      </x:c>
      <x:c r="F150" s="54">
        <x:v>1</x:v>
      </x:c>
      <x:c r="G150" s="148">
        <x:v>5779</x:v>
      </x:c>
      <x:c r="H150" s="148" t="n">
        <x:f t="shared" si="10">IFERROR(IF(OR($F$1="",D150=""),0,MAX(0,$F$1-D150)),0)</x:f>
        <x:v>1361</x:v>
      </x:c>
      <x:c r="I150" s="148">
        <x:v>0.15</x:v>
      </x:c>
      <x:c r="J150" s="148" t="n">
        <x:f t="shared" si="11">IFERROR(IF(OR(G150="",G150&lt;=0,I150="",D150="",$F$1=""),0,IF($F$1&lt;D150,0,MIN(MAX(G150-1,0),MAX(0,(G150*I150/365)*H150)))),0)</x:f>
        <x:v>3232.281780821918</x:v>
      </x:c>
      <x:c r="K150" s="148" t="n">
        <x:f t="shared" si="12">IFERROR(IF(OR(G150="",G150&lt;=0),0,MAX(1,G150-J150)),0)</x:f>
        <x:v>2546.718219178082</x:v>
      </x:c>
      <x:c r="L150" s="148" t="n">
        <x:f t="shared" si="13">IFERROR(IF(OR(G150="",G150&lt;=0,I150="",D150="",$F$1=""),0,IF($F$1&lt;D150,0,IF(K150&lt;=1,0,MIN(G150*I150/12,K150-1)))),0)</x:f>
        <x:v>72.2375</x:v>
      </x:c>
      <x:c r="M150" s="58" t="s">
        <x:v>18</x:v>
      </x:c>
    </x:row>
    <x:row r="151" ht="19.899999618530273" customHeight="1">
      <x:c r="A151" s="53">
        <x:f t="shared" si="14"/>
        <x:v>146</x:v>
      </x:c>
      <x:c r="B151" s="54" t="s">
        <x:v>82</x:v>
      </x:c>
      <x:c r="C151" s="54" t="s">
        <x:v>21</x:v>
      </x:c>
      <x:c r="D151" s="55">
        <x:v>45383</x:v>
      </x:c>
      <x:c r="E151" s="54" t="s">
        <x:v>90</x:v>
      </x:c>
      <x:c r="F151" s="54">
        <x:v>1</x:v>
      </x:c>
      <x:c r="G151" s="148">
        <x:v>10000</x:v>
      </x:c>
      <x:c r="H151" s="148" t="n">
        <x:f t="shared" si="10">IFERROR(IF(OR($F$1="",D151=""),0,MAX(0,$F$1-D151)),0)</x:f>
        <x:v>1004</x:v>
      </x:c>
      <x:c r="I151" s="148">
        <x:v>0.33329999999999999</x:v>
      </x:c>
      <x:c r="J151" s="148" t="n">
        <x:f t="shared" si="11">IFERROR(IF(OR(G151="",G151&lt;=0,I151="",D151="",$F$1=""),0,IF($F$1&lt;D151,0,MIN(MAX(G151-1,0),MAX(0,(G151*I151/365)*H151)))),0)</x:f>
        <x:v>9168.032876712328</x:v>
      </x:c>
      <x:c r="K151" s="148" t="n">
        <x:f t="shared" si="12">IFERROR(IF(OR(G151="",G151&lt;=0),0,MAX(1,G151-J151)),0)</x:f>
        <x:v>831.9671232876717</x:v>
      </x:c>
      <x:c r="L151" s="148" t="n">
        <x:f t="shared" si="13">IFERROR(IF(OR(G151="",G151&lt;=0,I151="",D151="",$F$1=""),0,IF($F$1&lt;D151,0,IF(K151&lt;=1,0,MIN(G151*I151/12,K151-1)))),0)</x:f>
        <x:v>277.75</x:v>
      </x:c>
      <x:c r="M151" s="58" t="s">
        <x:v>18</x:v>
      </x:c>
    </x:row>
    <x:row r="152" ht="19.899999618530273" customHeight="1">
      <x:c r="A152" s="53">
        <x:f t="shared" si="14"/>
        <x:v>147</x:v>
      </x:c>
      <x:c r="B152" s="54" t="s">
        <x:v>82</x:v>
      </x:c>
      <x:c r="C152" s="54" t="s">
        <x:v>43</x:v>
      </x:c>
      <x:c r="D152" s="55">
        <x:v>45474</x:v>
      </x:c>
      <x:c r="E152" s="54" t="s">
        <x:v>91</x:v>
      </x:c>
      <x:c r="F152" s="54">
        <x:v>1</x:v>
      </x:c>
      <x:c r="G152" s="148">
        <x:v>6404.22</x:v>
      </x:c>
      <x:c r="H152" s="148" t="n">
        <x:f t="shared" si="10">IFERROR(IF(OR($F$1="",D152=""),0,MAX(0,$F$1-D152)),0)</x:f>
        <x:v>913</x:v>
      </x:c>
      <x:c r="I152" s="148">
        <x:v>0.2</x:v>
      </x:c>
      <x:c r="J152" s="148" t="n">
        <x:f t="shared" si="11">IFERROR(IF(OR(G152="",G152&lt;=0,I152="",D152="",$F$1=""),0,IF($F$1&lt;D152,0,MIN(MAX(G152-1,0),MAX(0,(G152*I152/365)*H152)))),0)</x:f>
        <x:v>3203.864580821918</x:v>
      </x:c>
      <x:c r="K152" s="148" t="n">
        <x:f t="shared" si="12">IFERROR(IF(OR(G152="",G152&lt;=0),0,MAX(1,G152-J152)),0)</x:f>
        <x:v>3200.3554191780822</x:v>
      </x:c>
      <x:c r="L152" s="148" t="n">
        <x:f t="shared" si="13">IFERROR(IF(OR(G152="",G152&lt;=0,I152="",D152="",$F$1=""),0,IF($F$1&lt;D152,0,IF(K152&lt;=1,0,MIN(G152*I152/12,K152-1)))),0)</x:f>
        <x:v>106.73700000000001</x:v>
      </x:c>
      <x:c r="M152" s="58" t="s">
        <x:v>18</x:v>
      </x:c>
    </x:row>
    <x:row r="153" ht="19.899999618530273" customHeight="1">
      <x:c r="A153" s="53">
        <x:f t="shared" si="14"/>
        <x:v>148</x:v>
      </x:c>
      <x:c r="B153" s="54" t="s">
        <x:v>82</x:v>
      </x:c>
      <x:c r="C153" s="54" t="s">
        <x:v>43</x:v>
      </x:c>
      <x:c r="D153" s="55">
        <x:v>45474</x:v>
      </x:c>
      <x:c r="E153" s="54" t="s">
        <x:v>91</x:v>
      </x:c>
      <x:c r="F153" s="54">
        <x:v>1</x:v>
      </x:c>
      <x:c r="G153" s="148">
        <x:v>6404.22</x:v>
      </x:c>
      <x:c r="H153" s="148" t="n">
        <x:f t="shared" si="10">IFERROR(IF(OR($F$1="",D153=""),0,MAX(0,$F$1-D153)),0)</x:f>
        <x:v>913</x:v>
      </x:c>
      <x:c r="I153" s="148">
        <x:v>0.2</x:v>
      </x:c>
      <x:c r="J153" s="148" t="n">
        <x:f t="shared" si="11">IFERROR(IF(OR(G153="",G153&lt;=0,I153="",D153="",$F$1=""),0,IF($F$1&lt;D153,0,MIN(MAX(G153-1,0),MAX(0,(G153*I153/365)*H153)))),0)</x:f>
        <x:v>3203.864580821918</x:v>
      </x:c>
      <x:c r="K153" s="148" t="n">
        <x:f t="shared" si="12">IFERROR(IF(OR(G153="",G153&lt;=0),0,MAX(1,G153-J153)),0)</x:f>
        <x:v>3200.3554191780822</x:v>
      </x:c>
      <x:c r="L153" s="148" t="n">
        <x:f t="shared" si="13">IFERROR(IF(OR(G153="",G153&lt;=0,I153="",D153="",$F$1=""),0,IF($F$1&lt;D153,0,IF(K153&lt;=1,0,MIN(G153*I153/12,K153-1)))),0)</x:f>
        <x:v>106.73700000000001</x:v>
      </x:c>
      <x:c r="M153" s="58" t="s">
        <x:v>18</x:v>
      </x:c>
    </x:row>
    <x:row r="154" ht="19.899999618530273" customHeight="1">
      <x:c r="A154" s="53">
        <x:f t="shared" si="14"/>
        <x:v>149</x:v>
      </x:c>
      <x:c r="B154" s="54" t="s">
        <x:v>82</x:v>
      </x:c>
      <x:c r="C154" s="54" t="s">
        <x:v>43</x:v>
      </x:c>
      <x:c r="D154" s="55">
        <x:v>45474</x:v>
      </x:c>
      <x:c r="E154" s="54" t="s">
        <x:v>91</x:v>
      </x:c>
      <x:c r="F154" s="54">
        <x:v>1</x:v>
      </x:c>
      <x:c r="G154" s="148">
        <x:v>6404.22</x:v>
      </x:c>
      <x:c r="H154" s="148" t="n">
        <x:f t="shared" si="10">IFERROR(IF(OR($F$1="",D154=""),0,MAX(0,$F$1-D154)),0)</x:f>
        <x:v>913</x:v>
      </x:c>
      <x:c r="I154" s="148">
        <x:v>0.2</x:v>
      </x:c>
      <x:c r="J154" s="148" t="n">
        <x:f t="shared" si="11">IFERROR(IF(OR(G154="",G154&lt;=0,I154="",D154="",$F$1=""),0,IF($F$1&lt;D154,0,MIN(MAX(G154-1,0),MAX(0,(G154*I154/365)*H154)))),0)</x:f>
        <x:v>3203.864580821918</x:v>
      </x:c>
      <x:c r="K154" s="148" t="n">
        <x:f t="shared" si="12">IFERROR(IF(OR(G154="",G154&lt;=0),0,MAX(1,G154-J154)),0)</x:f>
        <x:v>3200.3554191780822</x:v>
      </x:c>
      <x:c r="L154" s="148" t="n">
        <x:f t="shared" si="13">IFERROR(IF(OR(G154="",G154&lt;=0,I154="",D154="",$F$1=""),0,IF($F$1&lt;D154,0,IF(K154&lt;=1,0,MIN(G154*I154/12,K154-1)))),0)</x:f>
        <x:v>106.73700000000001</x:v>
      </x:c>
      <x:c r="M154" s="58" t="s">
        <x:v>18</x:v>
      </x:c>
    </x:row>
    <x:row r="155" ht="19.899999618530273" customHeight="1">
      <x:c r="A155" s="53">
        <x:f t="shared" si="14"/>
        <x:v>150</x:v>
      </x:c>
      <x:c r="B155" s="54" t="s">
        <x:v>82</x:v>
      </x:c>
      <x:c r="C155" s="54" t="s">
        <x:v>43</x:v>
      </x:c>
      <x:c r="D155" s="55">
        <x:v>45474</x:v>
      </x:c>
      <x:c r="E155" s="54" t="s">
        <x:v>91</x:v>
      </x:c>
      <x:c r="F155" s="54">
        <x:v>1</x:v>
      </x:c>
      <x:c r="G155" s="148">
        <x:v>6404.22</x:v>
      </x:c>
      <x:c r="H155" s="148" t="n">
        <x:f t="shared" si="10">IFERROR(IF(OR($F$1="",D155=""),0,MAX(0,$F$1-D155)),0)</x:f>
        <x:v>913</x:v>
      </x:c>
      <x:c r="I155" s="148">
        <x:v>0.2</x:v>
      </x:c>
      <x:c r="J155" s="148" t="n">
        <x:f t="shared" si="11">IFERROR(IF(OR(G155="",G155&lt;=0,I155="",D155="",$F$1=""),0,IF($F$1&lt;D155,0,MIN(MAX(G155-1,0),MAX(0,(G155*I155/365)*H155)))),0)</x:f>
        <x:v>3203.864580821918</x:v>
      </x:c>
      <x:c r="K155" s="148" t="n">
        <x:f t="shared" si="12">IFERROR(IF(OR(G155="",G155&lt;=0),0,MAX(1,G155-J155)),0)</x:f>
        <x:v>3200.3554191780822</x:v>
      </x:c>
      <x:c r="L155" s="148" t="n">
        <x:f t="shared" si="13">IFERROR(IF(OR(G155="",G155&lt;=0,I155="",D155="",$F$1=""),0,IF($F$1&lt;D155,0,IF(K155&lt;=1,0,MIN(G155*I155/12,K155-1)))),0)</x:f>
        <x:v>106.73700000000001</x:v>
      </x:c>
      <x:c r="M155" s="58" t="s">
        <x:v>18</x:v>
      </x:c>
    </x:row>
    <x:row r="156" ht="19.899999618530273" customHeight="1">
      <x:c r="A156" s="53">
        <x:f t="shared" si="14"/>
        <x:v>151</x:v>
      </x:c>
      <x:c r="B156" s="54" t="s">
        <x:v>82</x:v>
      </x:c>
      <x:c r="C156" s="54" t="s">
        <x:v>43</x:v>
      </x:c>
      <x:c r="D156" s="55">
        <x:v>45474</x:v>
      </x:c>
      <x:c r="E156" s="54" t="s">
        <x:v>91</x:v>
      </x:c>
      <x:c r="F156" s="54">
        <x:v>1</x:v>
      </x:c>
      <x:c r="G156" s="148">
        <x:v>6404.22</x:v>
      </x:c>
      <x:c r="H156" s="148" t="n">
        <x:f t="shared" si="10">IFERROR(IF(OR($F$1="",D156=""),0,MAX(0,$F$1-D156)),0)</x:f>
        <x:v>913</x:v>
      </x:c>
      <x:c r="I156" s="148">
        <x:v>0.2</x:v>
      </x:c>
      <x:c r="J156" s="148" t="n">
        <x:f t="shared" si="11">IFERROR(IF(OR(G156="",G156&lt;=0,I156="",D156="",$F$1=""),0,IF($F$1&lt;D156,0,MIN(MAX(G156-1,0),MAX(0,(G156*I156/365)*H156)))),0)</x:f>
        <x:v>3203.864580821918</x:v>
      </x:c>
      <x:c r="K156" s="148" t="n">
        <x:f t="shared" si="12">IFERROR(IF(OR(G156="",G156&lt;=0),0,MAX(1,G156-J156)),0)</x:f>
        <x:v>3200.3554191780822</x:v>
      </x:c>
      <x:c r="L156" s="148" t="n">
        <x:f t="shared" si="13">IFERROR(IF(OR(G156="",G156&lt;=0,I156="",D156="",$F$1=""),0,IF($F$1&lt;D156,0,IF(K156&lt;=1,0,MIN(G156*I156/12,K156-1)))),0)</x:f>
        <x:v>106.73700000000001</x:v>
      </x:c>
      <x:c r="M156" s="58" t="s">
        <x:v>18</x:v>
      </x:c>
    </x:row>
    <x:row r="157" ht="19.899999618530273" customHeight="1">
      <x:c r="A157" s="53">
        <x:f t="shared" si="14"/>
        <x:v>152</x:v>
      </x:c>
      <x:c r="B157" s="54" t="s">
        <x:v>82</x:v>
      </x:c>
      <x:c r="C157" s="54" t="s">
        <x:v>43</x:v>
      </x:c>
      <x:c r="D157" s="55">
        <x:v>45474</x:v>
      </x:c>
      <x:c r="E157" s="54" t="s">
        <x:v>91</x:v>
      </x:c>
      <x:c r="F157" s="54">
        <x:v>1</x:v>
      </x:c>
      <x:c r="G157" s="148">
        <x:v>6404.22</x:v>
      </x:c>
      <x:c r="H157" s="148" t="n">
        <x:f t="shared" si="10">IFERROR(IF(OR($F$1="",D157=""),0,MAX(0,$F$1-D157)),0)</x:f>
        <x:v>913</x:v>
      </x:c>
      <x:c r="I157" s="148">
        <x:v>0.2</x:v>
      </x:c>
      <x:c r="J157" s="148" t="n">
        <x:f t="shared" si="11">IFERROR(IF(OR(G157="",G157&lt;=0,I157="",D157="",$F$1=""),0,IF($F$1&lt;D157,0,MIN(MAX(G157-1,0),MAX(0,(G157*I157/365)*H157)))),0)</x:f>
        <x:v>3203.864580821918</x:v>
      </x:c>
      <x:c r="K157" s="148" t="n">
        <x:f t="shared" si="12">IFERROR(IF(OR(G157="",G157&lt;=0),0,MAX(1,G157-J157)),0)</x:f>
        <x:v>3200.3554191780822</x:v>
      </x:c>
      <x:c r="L157" s="148" t="n">
        <x:f t="shared" si="13">IFERROR(IF(OR(G157="",G157&lt;=0,I157="",D157="",$F$1=""),0,IF($F$1&lt;D157,0,IF(K157&lt;=1,0,MIN(G157*I157/12,K157-1)))),0)</x:f>
        <x:v>106.73700000000001</x:v>
      </x:c>
      <x:c r="M157" s="58" t="s">
        <x:v>18</x:v>
      </x:c>
    </x:row>
    <x:row r="158" ht="19.899999618530273" customHeight="1">
      <x:c r="A158" s="53">
        <x:f t="shared" si="14"/>
        <x:v>153</x:v>
      </x:c>
      <x:c r="B158" s="54" t="s">
        <x:v>82</x:v>
      </x:c>
      <x:c r="C158" s="54" t="s">
        <x:v>43</x:v>
      </x:c>
      <x:c r="D158" s="55">
        <x:v>45474</x:v>
      </x:c>
      <x:c r="E158" s="54" t="s">
        <x:v>91</x:v>
      </x:c>
      <x:c r="F158" s="54">
        <x:v>1</x:v>
      </x:c>
      <x:c r="G158" s="148">
        <x:v>6404.22</x:v>
      </x:c>
      <x:c r="H158" s="148" t="n">
        <x:f t="shared" si="10">IFERROR(IF(OR($F$1="",D158=""),0,MAX(0,$F$1-D158)),0)</x:f>
        <x:v>913</x:v>
      </x:c>
      <x:c r="I158" s="148">
        <x:v>0.2</x:v>
      </x:c>
      <x:c r="J158" s="148" t="n">
        <x:f t="shared" si="11">IFERROR(IF(OR(G158="",G158&lt;=0,I158="",D158="",$F$1=""),0,IF($F$1&lt;D158,0,MIN(MAX(G158-1,0),MAX(0,(G158*I158/365)*H158)))),0)</x:f>
        <x:v>3203.864580821918</x:v>
      </x:c>
      <x:c r="K158" s="148" t="n">
        <x:f t="shared" si="12">IFERROR(IF(OR(G158="",G158&lt;=0),0,MAX(1,G158-J158)),0)</x:f>
        <x:v>3200.3554191780822</x:v>
      </x:c>
      <x:c r="L158" s="148" t="n">
        <x:f t="shared" si="13">IFERROR(IF(OR(G158="",G158&lt;=0,I158="",D158="",$F$1=""),0,IF($F$1&lt;D158,0,IF(K158&lt;=1,0,MIN(G158*I158/12,K158-1)))),0)</x:f>
        <x:v>106.73700000000001</x:v>
      </x:c>
      <x:c r="M158" s="58" t="s">
        <x:v>18</x:v>
      </x:c>
    </x:row>
    <x:row r="159" ht="19.899999618530273" customHeight="1">
      <x:c r="A159" s="53">
        <x:f t="shared" si="14"/>
        <x:v>154</x:v>
      </x:c>
      <x:c r="B159" s="54" t="s">
        <x:v>82</x:v>
      </x:c>
      <x:c r="C159" s="54" t="s">
        <x:v>43</x:v>
      </x:c>
      <x:c r="D159" s="55">
        <x:v>45474</x:v>
      </x:c>
      <x:c r="E159" s="54" t="s">
        <x:v>91</x:v>
      </x:c>
      <x:c r="F159" s="54">
        <x:v>1</x:v>
      </x:c>
      <x:c r="G159" s="148">
        <x:v>6404.22</x:v>
      </x:c>
      <x:c r="H159" s="148" t="n">
        <x:f t="shared" si="10">IFERROR(IF(OR($F$1="",D159=""),0,MAX(0,$F$1-D159)),0)</x:f>
        <x:v>913</x:v>
      </x:c>
      <x:c r="I159" s="148">
        <x:v>0.2</x:v>
      </x:c>
      <x:c r="J159" s="148" t="n">
        <x:f t="shared" si="11">IFERROR(IF(OR(G159="",G159&lt;=0,I159="",D159="",$F$1=""),0,IF($F$1&lt;D159,0,MIN(MAX(G159-1,0),MAX(0,(G159*I159/365)*H159)))),0)</x:f>
        <x:v>3203.864580821918</x:v>
      </x:c>
      <x:c r="K159" s="148" t="n">
        <x:f t="shared" si="12">IFERROR(IF(OR(G159="",G159&lt;=0),0,MAX(1,G159-J159)),0)</x:f>
        <x:v>3200.3554191780822</x:v>
      </x:c>
      <x:c r="L159" s="148" t="n">
        <x:f t="shared" si="13">IFERROR(IF(OR(G159="",G159&lt;=0,I159="",D159="",$F$1=""),0,IF($F$1&lt;D159,0,IF(K159&lt;=1,0,MIN(G159*I159/12,K159-1)))),0)</x:f>
        <x:v>106.73700000000001</x:v>
      </x:c>
      <x:c r="M159" s="58" t="s">
        <x:v>18</x:v>
      </x:c>
    </x:row>
    <x:row r="160" ht="19.899999618530273" customHeight="1">
      <x:c r="A160" s="53">
        <x:f t="shared" si="14"/>
        <x:v>155</x:v>
      </x:c>
      <x:c r="B160" s="54" t="s">
        <x:v>82</x:v>
      </x:c>
      <x:c r="C160" s="54" t="s">
        <x:v>43</x:v>
      </x:c>
      <x:c r="D160" s="55">
        <x:v>45474</x:v>
      </x:c>
      <x:c r="E160" s="54" t="s">
        <x:v>92</x:v>
      </x:c>
      <x:c r="F160" s="54">
        <x:v>1</x:v>
      </x:c>
      <x:c r="G160" s="148">
        <x:v>8493.35</x:v>
      </x:c>
      <x:c r="H160" s="148" t="n">
        <x:f t="shared" si="10">IFERROR(IF(OR($F$1="",D160=""),0,MAX(0,$F$1-D160)),0)</x:f>
        <x:v>913</x:v>
      </x:c>
      <x:c r="I160" s="148">
        <x:v>0.2</x:v>
      </x:c>
      <x:c r="J160" s="148" t="n">
        <x:f t="shared" si="11">IFERROR(IF(OR(G160="",G160&lt;=0,I160="",D160="",$F$1=""),0,IF($F$1&lt;D160,0,MIN(MAX(G160-1,0),MAX(0,(G160*I160/365)*H160)))),0)</x:f>
        <x:v>4249.001945205479</x:v>
      </x:c>
      <x:c r="K160" s="148" t="n">
        <x:f t="shared" si="12">IFERROR(IF(OR(G160="",G160&lt;=0),0,MAX(1,G160-J160)),0)</x:f>
        <x:v>4244.348054794521</x:v>
      </x:c>
      <x:c r="L160" s="148" t="n">
        <x:f t="shared" si="13">IFERROR(IF(OR(G160="",G160&lt;=0,I160="",D160="",$F$1=""),0,IF($F$1&lt;D160,0,IF(K160&lt;=1,0,MIN(G160*I160/12,K160-1)))),0)</x:f>
        <x:v>141.55583333333334</x:v>
      </x:c>
      <x:c r="M160" s="58" t="s">
        <x:v>18</x:v>
      </x:c>
    </x:row>
    <x:row r="161" ht="19.899999618530273" customHeight="1">
      <x:c r="A161" s="53">
        <x:f t="shared" si="14"/>
        <x:v>156</x:v>
      </x:c>
      <x:c r="B161" s="54" t="s">
        <x:v>82</x:v>
      </x:c>
      <x:c r="C161" s="54" t="s">
        <x:v>43</x:v>
      </x:c>
      <x:c r="D161" s="55">
        <x:v>45474</x:v>
      </x:c>
      <x:c r="E161" s="54" t="s">
        <x:v>92</x:v>
      </x:c>
      <x:c r="F161" s="54">
        <x:v>1</x:v>
      </x:c>
      <x:c r="G161" s="148">
        <x:v>8493.35</x:v>
      </x:c>
      <x:c r="H161" s="148" t="n">
        <x:f t="shared" si="10">IFERROR(IF(OR($F$1="",D161=""),0,MAX(0,$F$1-D161)),0)</x:f>
        <x:v>913</x:v>
      </x:c>
      <x:c r="I161" s="148">
        <x:v>0.2</x:v>
      </x:c>
      <x:c r="J161" s="148" t="n">
        <x:f t="shared" si="11">IFERROR(IF(OR(G161="",G161&lt;=0,I161="",D161="",$F$1=""),0,IF($F$1&lt;D161,0,MIN(MAX(G161-1,0),MAX(0,(G161*I161/365)*H161)))),0)</x:f>
        <x:v>4249.001945205479</x:v>
      </x:c>
      <x:c r="K161" s="148" t="n">
        <x:f t="shared" si="12">IFERROR(IF(OR(G161="",G161&lt;=0),0,MAX(1,G161-J161)),0)</x:f>
        <x:v>4244.348054794521</x:v>
      </x:c>
      <x:c r="L161" s="148" t="n">
        <x:f t="shared" si="13">IFERROR(IF(OR(G161="",G161&lt;=0,I161="",D161="",$F$1=""),0,IF($F$1&lt;D161,0,IF(K161&lt;=1,0,MIN(G161*I161/12,K161-1)))),0)</x:f>
        <x:v>141.55583333333334</x:v>
      </x:c>
      <x:c r="M161" s="58" t="s">
        <x:v>18</x:v>
      </x:c>
    </x:row>
    <x:row r="162" ht="19.899999618530273" customHeight="1">
      <x:c r="A162" s="53">
        <x:f t="shared" si="14"/>
        <x:v>157</x:v>
      </x:c>
      <x:c r="B162" s="54" t="s">
        <x:v>19</x:v>
      </x:c>
      <x:c r="C162" s="54" t="s">
        <x:v>27</x:v>
      </x:c>
      <x:c r="D162" s="55">
        <x:v>45870</x:v>
      </x:c>
      <x:c r="E162" s="54" t="s">
        <x:v>37</x:v>
      </x:c>
      <x:c r="F162" s="54">
        <x:v>1</x:v>
      </x:c>
      <x:c r="G162" s="148">
        <x:v>190</x:v>
      </x:c>
      <x:c r="H162" s="148" t="n">
        <x:f t="shared" si="10">IFERROR(IF(OR($F$1="",D162=""),0,MAX(0,$F$1-D162)),0)</x:f>
        <x:v>517</x:v>
      </x:c>
      <x:c r="I162" s="148">
        <x:v>0.33329999999999999</x:v>
      </x:c>
      <x:c r="J162" s="148" t="n">
        <x:f t="shared" si="11">IFERROR(IF(OR(G162="",G162&lt;=0,I162="",D162="",$F$1=""),0,IF($F$1&lt;D162,0,MIN(MAX(G162-1,0),MAX(0,(G162*I162/365)*H162)))),0)</x:f>
        <x:v>89.69879178082192</x:v>
      </x:c>
      <x:c r="K162" s="148" t="n">
        <x:f t="shared" si="12">IFERROR(IF(OR(G162="",G162&lt;=0),0,MAX(1,G162-J162)),0)</x:f>
        <x:v>100.30120821917808</x:v>
      </x:c>
      <x:c r="L162" s="148" t="n">
        <x:f t="shared" si="13">IFERROR(IF(OR(G162="",G162&lt;=0,I162="",D162="",$F$1=""),0,IF($F$1&lt;D162,0,IF(K162&lt;=1,0,MIN(G162*I162/12,K162-1)))),0)</x:f>
        <x:v>5.2772499999999996</x:v>
      </x:c>
      <x:c r="M162" s="58" t="s">
        <x:v>18</x:v>
      </x:c>
    </x:row>
    <x:row r="163" ht="19.899999618530273" customHeight="1">
      <x:c r="A163" s="53">
        <x:f t="shared" si="14"/>
        <x:v>158</x:v>
      </x:c>
      <x:c r="B163" s="54" t="s">
        <x:v>19</x:v>
      </x:c>
      <x:c r="C163" s="54" t="s">
        <x:v>27</x:v>
      </x:c>
      <x:c r="D163" s="55">
        <x:v>45870</x:v>
      </x:c>
      <x:c r="E163" s="54" t="s">
        <x:v>37</x:v>
      </x:c>
      <x:c r="F163" s="54">
        <x:v>1</x:v>
      </x:c>
      <x:c r="G163" s="148">
        <x:v>190</x:v>
      </x:c>
      <x:c r="H163" s="148" t="n">
        <x:f t="shared" si="10">IFERROR(IF(OR($F$1="",D163=""),0,MAX(0,$F$1-D163)),0)</x:f>
        <x:v>517</x:v>
      </x:c>
      <x:c r="I163" s="148">
        <x:v>0.33329999999999999</x:v>
      </x:c>
      <x:c r="J163" s="148" t="n">
        <x:f t="shared" si="11">IFERROR(IF(OR(G163="",G163&lt;=0,I163="",D163="",$F$1=""),0,IF($F$1&lt;D163,0,MIN(MAX(G163-1,0),MAX(0,(G163*I163/365)*H163)))),0)</x:f>
        <x:v>89.69879178082192</x:v>
      </x:c>
      <x:c r="K163" s="148" t="n">
        <x:f t="shared" si="12">IFERROR(IF(OR(G163="",G163&lt;=0),0,MAX(1,G163-J163)),0)</x:f>
        <x:v>100.30120821917808</x:v>
      </x:c>
      <x:c r="L163" s="148" t="n">
        <x:f t="shared" si="13">IFERROR(IF(OR(G163="",G163&lt;=0,I163="",D163="",$F$1=""),0,IF($F$1&lt;D163,0,IF(K163&lt;=1,0,MIN(G163*I163/12,K163-1)))),0)</x:f>
        <x:v>5.2772499999999996</x:v>
      </x:c>
      <x:c r="M163" s="58" t="s">
        <x:v>18</x:v>
      </x:c>
    </x:row>
    <x:row r="164" ht="19.899999618530273" customHeight="1">
      <x:c r="A164" s="53">
        <x:f t="shared" si="14"/>
        <x:v>159</x:v>
      </x:c>
      <x:c r="B164" s="54" t="s">
        <x:v>19</x:v>
      </x:c>
      <x:c r="C164" s="54" t="s">
        <x:v>27</x:v>
      </x:c>
      <x:c r="D164" s="55">
        <x:v>45870</x:v>
      </x:c>
      <x:c r="E164" s="54" t="s">
        <x:v>37</x:v>
      </x:c>
      <x:c r="F164" s="54">
        <x:v>1</x:v>
      </x:c>
      <x:c r="G164" s="148">
        <x:v>190</x:v>
      </x:c>
      <x:c r="H164" s="148" t="n">
        <x:f t="shared" si="10">IFERROR(IF(OR($F$1="",D164=""),0,MAX(0,$F$1-D164)),0)</x:f>
        <x:v>517</x:v>
      </x:c>
      <x:c r="I164" s="148">
        <x:v>0.33329999999999999</x:v>
      </x:c>
      <x:c r="J164" s="148" t="n">
        <x:f t="shared" si="11">IFERROR(IF(OR(G164="",G164&lt;=0,I164="",D164="",$F$1=""),0,IF($F$1&lt;D164,0,MIN(MAX(G164-1,0),MAX(0,(G164*I164/365)*H164)))),0)</x:f>
        <x:v>89.69879178082192</x:v>
      </x:c>
      <x:c r="K164" s="148" t="n">
        <x:f t="shared" si="12">IFERROR(IF(OR(G164="",G164&lt;=0),0,MAX(1,G164-J164)),0)</x:f>
        <x:v>100.30120821917808</x:v>
      </x:c>
      <x:c r="L164" s="148" t="n">
        <x:f t="shared" si="13">IFERROR(IF(OR(G164="",G164&lt;=0,I164="",D164="",$F$1=""),0,IF($F$1&lt;D164,0,IF(K164&lt;=1,0,MIN(G164*I164/12,K164-1)))),0)</x:f>
        <x:v>5.2772499999999996</x:v>
      </x:c>
      <x:c r="M164" s="58" t="s">
        <x:v>18</x:v>
      </x:c>
    </x:row>
    <x:row r="165" ht="19.899999618530273" customHeight="1">
      <x:c r="A165" s="53">
        <x:f t="shared" si="14"/>
        <x:v>160</x:v>
      </x:c>
      <x:c r="B165" s="54" t="s">
        <x:v>19</x:v>
      </x:c>
      <x:c r="C165" s="54" t="s">
        <x:v>27</x:v>
      </x:c>
      <x:c r="D165" s="55">
        <x:v>45870</x:v>
      </x:c>
      <x:c r="E165" s="54" t="s">
        <x:v>37</x:v>
      </x:c>
      <x:c r="F165" s="54">
        <x:v>1</x:v>
      </x:c>
      <x:c r="G165" s="148">
        <x:v>190</x:v>
      </x:c>
      <x:c r="H165" s="148" t="n">
        <x:f t="shared" si="10">IFERROR(IF(OR($F$1="",D165=""),0,MAX(0,$F$1-D165)),0)</x:f>
        <x:v>517</x:v>
      </x:c>
      <x:c r="I165" s="148">
        <x:v>0.33329999999999999</x:v>
      </x:c>
      <x:c r="J165" s="148" t="n">
        <x:f t="shared" si="11">IFERROR(IF(OR(G165="",G165&lt;=0,I165="",D165="",$F$1=""),0,IF($F$1&lt;D165,0,MIN(MAX(G165-1,0),MAX(0,(G165*I165/365)*H165)))),0)</x:f>
        <x:v>89.69879178082192</x:v>
      </x:c>
      <x:c r="K165" s="148" t="n">
        <x:f t="shared" si="12">IFERROR(IF(OR(G165="",G165&lt;=0),0,MAX(1,G165-J165)),0)</x:f>
        <x:v>100.30120821917808</x:v>
      </x:c>
      <x:c r="L165" s="148" t="n">
        <x:f t="shared" si="13">IFERROR(IF(OR(G165="",G165&lt;=0,I165="",D165="",$F$1=""),0,IF($F$1&lt;D165,0,IF(K165&lt;=1,0,MIN(G165*I165/12,K165-1)))),0)</x:f>
        <x:v>5.2772499999999996</x:v>
      </x:c>
      <x:c r="M165" s="58" t="s">
        <x:v>18</x:v>
      </x:c>
    </x:row>
    <x:row r="166" ht="19.899999618530273" customHeight="1">
      <x:c r="A166" s="53">
        <x:f t="shared" si="14"/>
        <x:v>161</x:v>
      </x:c>
      <x:c r="B166" s="54" t="s">
        <x:v>19</x:v>
      </x:c>
      <x:c r="C166" s="54" t="s">
        <x:v>27</x:v>
      </x:c>
      <x:c r="D166" s="55">
        <x:v>45870</x:v>
      </x:c>
      <x:c r="E166" s="54" t="s">
        <x:v>37</x:v>
      </x:c>
      <x:c r="F166" s="54">
        <x:v>1</x:v>
      </x:c>
      <x:c r="G166" s="148">
        <x:v>190</x:v>
      </x:c>
      <x:c r="H166" s="148" t="n">
        <x:f t="shared" si="10">IFERROR(IF(OR($F$1="",D166=""),0,MAX(0,$F$1-D166)),0)</x:f>
        <x:v>517</x:v>
      </x:c>
      <x:c r="I166" s="148">
        <x:v>0.33329999999999999</x:v>
      </x:c>
      <x:c r="J166" s="148" t="n">
        <x:f t="shared" si="11">IFERROR(IF(OR(G166="",G166&lt;=0,I166="",D166="",$F$1=""),0,IF($F$1&lt;D166,0,MIN(MAX(G166-1,0),MAX(0,(G166*I166/365)*H166)))),0)</x:f>
        <x:v>89.69879178082192</x:v>
      </x:c>
      <x:c r="K166" s="148" t="n">
        <x:f t="shared" si="12">IFERROR(IF(OR(G166="",G166&lt;=0),0,MAX(1,G166-J166)),0)</x:f>
        <x:v>100.30120821917808</x:v>
      </x:c>
      <x:c r="L166" s="148" t="n">
        <x:f t="shared" si="13">IFERROR(IF(OR(G166="",G166&lt;=0,I166="",D166="",$F$1=""),0,IF($F$1&lt;D166,0,IF(K166&lt;=1,0,MIN(G166*I166/12,K166-1)))),0)</x:f>
        <x:v>5.2772499999999996</x:v>
      </x:c>
      <x:c r="M166" s="58" t="s">
        <x:v>18</x:v>
      </x:c>
    </x:row>
    <x:row r="167" ht="19.899999618530273" customHeight="1">
      <x:c r="A167" s="53">
        <x:f t="shared" si="14"/>
        <x:v>162</x:v>
      </x:c>
      <x:c r="B167" s="54" t="s">
        <x:v>19</x:v>
      </x:c>
      <x:c r="C167" s="54" t="s">
        <x:v>27</x:v>
      </x:c>
      <x:c r="D167" s="55">
        <x:v>45870</x:v>
      </x:c>
      <x:c r="E167" s="54" t="s">
        <x:v>37</x:v>
      </x:c>
      <x:c r="F167" s="54">
        <x:v>1</x:v>
      </x:c>
      <x:c r="G167" s="148">
        <x:v>190</x:v>
      </x:c>
      <x:c r="H167" s="148" t="n">
        <x:f t="shared" si="10">IFERROR(IF(OR($F$1="",D167=""),0,MAX(0,$F$1-D167)),0)</x:f>
        <x:v>517</x:v>
      </x:c>
      <x:c r="I167" s="148">
        <x:v>0.33329999999999999</x:v>
      </x:c>
      <x:c r="J167" s="148" t="n">
        <x:f t="shared" si="11">IFERROR(IF(OR(G167="",G167&lt;=0,I167="",D167="",$F$1=""),0,IF($F$1&lt;D167,0,MIN(MAX(G167-1,0),MAX(0,(G167*I167/365)*H167)))),0)</x:f>
        <x:v>89.69879178082192</x:v>
      </x:c>
      <x:c r="K167" s="148" t="n">
        <x:f t="shared" si="12">IFERROR(IF(OR(G167="",G167&lt;=0),0,MAX(1,G167-J167)),0)</x:f>
        <x:v>100.30120821917808</x:v>
      </x:c>
      <x:c r="L167" s="148" t="n">
        <x:f t="shared" si="13">IFERROR(IF(OR(G167="",G167&lt;=0,I167="",D167="",$F$1=""),0,IF($F$1&lt;D167,0,IF(K167&lt;=1,0,MIN(G167*I167/12,K167-1)))),0)</x:f>
        <x:v>5.2772499999999996</x:v>
      </x:c>
      <x:c r="M167" s="58" t="s">
        <x:v>18</x:v>
      </x:c>
    </x:row>
    <x:row r="168" ht="19.899999618530273" customHeight="1">
      <x:c r="A168" s="53">
        <x:f t="shared" si="14"/>
        <x:v>163</x:v>
      </x:c>
      <x:c r="B168" s="54" t="s">
        <x:v>19</x:v>
      </x:c>
      <x:c r="C168" s="54" t="s">
        <x:v>27</x:v>
      </x:c>
      <x:c r="D168" s="55">
        <x:v>45870</x:v>
      </x:c>
      <x:c r="E168" s="54" t="s">
        <x:v>37</x:v>
      </x:c>
      <x:c r="F168" s="54">
        <x:v>1</x:v>
      </x:c>
      <x:c r="G168" s="148">
        <x:v>190</x:v>
      </x:c>
      <x:c r="H168" s="148" t="n">
        <x:f t="shared" si="10">IFERROR(IF(OR($F$1="",D168=""),0,MAX(0,$F$1-D168)),0)</x:f>
        <x:v>517</x:v>
      </x:c>
      <x:c r="I168" s="148">
        <x:v>0.33329999999999999</x:v>
      </x:c>
      <x:c r="J168" s="148" t="n">
        <x:f t="shared" si="11">IFERROR(IF(OR(G168="",G168&lt;=0,I168="",D168="",$F$1=""),0,IF($F$1&lt;D168,0,MIN(MAX(G168-1,0),MAX(0,(G168*I168/365)*H168)))),0)</x:f>
        <x:v>89.69879178082192</x:v>
      </x:c>
      <x:c r="K168" s="148" t="n">
        <x:f t="shared" si="12">IFERROR(IF(OR(G168="",G168&lt;=0),0,MAX(1,G168-J168)),0)</x:f>
        <x:v>100.30120821917808</x:v>
      </x:c>
      <x:c r="L168" s="148" t="n">
        <x:f t="shared" si="13">IFERROR(IF(OR(G168="",G168&lt;=0,I168="",D168="",$F$1=""),0,IF($F$1&lt;D168,0,IF(K168&lt;=1,0,MIN(G168*I168/12,K168-1)))),0)</x:f>
        <x:v>5.2772499999999996</x:v>
      </x:c>
      <x:c r="M168" s="58" t="s">
        <x:v>18</x:v>
      </x:c>
    </x:row>
    <x:row r="169" ht="19.899999618530273" customHeight="1">
      <x:c r="A169" s="53">
        <x:f t="shared" si="14"/>
        <x:v>164</x:v>
      </x:c>
      <x:c r="B169" s="54" t="s">
        <x:v>19</x:v>
      </x:c>
      <x:c r="C169" s="54" t="s">
        <x:v>27</x:v>
      </x:c>
      <x:c r="D169" s="55">
        <x:v>45870</x:v>
      </x:c>
      <x:c r="E169" s="54" t="s">
        <x:v>37</x:v>
      </x:c>
      <x:c r="F169" s="54">
        <x:v>1</x:v>
      </x:c>
      <x:c r="G169" s="148">
        <x:v>190</x:v>
      </x:c>
      <x:c r="H169" s="148" t="n">
        <x:f t="shared" si="10">IFERROR(IF(OR($F$1="",D169=""),0,MAX(0,$F$1-D169)),0)</x:f>
        <x:v>517</x:v>
      </x:c>
      <x:c r="I169" s="148">
        <x:v>0.33329999999999999</x:v>
      </x:c>
      <x:c r="J169" s="148" t="n">
        <x:f t="shared" si="11">IFERROR(IF(OR(G169="",G169&lt;=0,I169="",D169="",$F$1=""),0,IF($F$1&lt;D169,0,MIN(MAX(G169-1,0),MAX(0,(G169*I169/365)*H169)))),0)</x:f>
        <x:v>89.69879178082192</x:v>
      </x:c>
      <x:c r="K169" s="148" t="n">
        <x:f t="shared" si="12">IFERROR(IF(OR(G169="",G169&lt;=0),0,MAX(1,G169-J169)),0)</x:f>
        <x:v>100.30120821917808</x:v>
      </x:c>
      <x:c r="L169" s="148" t="n">
        <x:f t="shared" si="13">IFERROR(IF(OR(G169="",G169&lt;=0,I169="",D169="",$F$1=""),0,IF($F$1&lt;D169,0,IF(K169&lt;=1,0,MIN(G169*I169/12,K169-1)))),0)</x:f>
        <x:v>5.2772499999999996</x:v>
      </x:c>
      <x:c r="M169" s="58" t="s">
        <x:v>18</x:v>
      </x:c>
    </x:row>
    <x:row r="170" ht="19.899999618530273" customHeight="1">
      <x:c r="A170" s="53">
        <x:f t="shared" si="14"/>
        <x:v>165</x:v>
      </x:c>
      <x:c r="B170" s="54" t="s">
        <x:v>19</x:v>
      </x:c>
      <x:c r="C170" s="54" t="s">
        <x:v>27</x:v>
      </x:c>
      <x:c r="D170" s="55">
        <x:v>45870</x:v>
      </x:c>
      <x:c r="E170" s="54" t="s">
        <x:v>37</x:v>
      </x:c>
      <x:c r="F170" s="54">
        <x:v>1</x:v>
      </x:c>
      <x:c r="G170" s="148">
        <x:v>190</x:v>
      </x:c>
      <x:c r="H170" s="148" t="n">
        <x:f t="shared" si="10">IFERROR(IF(OR($F$1="",D170=""),0,MAX(0,$F$1-D170)),0)</x:f>
        <x:v>517</x:v>
      </x:c>
      <x:c r="I170" s="148">
        <x:v>0.33329999999999999</x:v>
      </x:c>
      <x:c r="J170" s="148" t="n">
        <x:f t="shared" si="11">IFERROR(IF(OR(G170="",G170&lt;=0,I170="",D170="",$F$1=""),0,IF($F$1&lt;D170,0,MIN(MAX(G170-1,0),MAX(0,(G170*I170/365)*H170)))),0)</x:f>
        <x:v>89.69879178082192</x:v>
      </x:c>
      <x:c r="K170" s="148" t="n">
        <x:f t="shared" si="12">IFERROR(IF(OR(G170="",G170&lt;=0),0,MAX(1,G170-J170)),0)</x:f>
        <x:v>100.30120821917808</x:v>
      </x:c>
      <x:c r="L170" s="148" t="n">
        <x:f t="shared" si="13">IFERROR(IF(OR(G170="",G170&lt;=0,I170="",D170="",$F$1=""),0,IF($F$1&lt;D170,0,IF(K170&lt;=1,0,MIN(G170*I170/12,K170-1)))),0)</x:f>
        <x:v>5.2772499999999996</x:v>
      </x:c>
      <x:c r="M170" s="58" t="s">
        <x:v>18</x:v>
      </x:c>
    </x:row>
    <x:row r="171" ht="19.899999618530273" customHeight="1">
      <x:c r="A171" s="53">
        <x:f t="shared" si="14"/>
        <x:v>166</x:v>
      </x:c>
      <x:c r="B171" s="54" t="s">
        <x:v>19</x:v>
      </x:c>
      <x:c r="C171" s="54" t="s">
        <x:v>27</x:v>
      </x:c>
      <x:c r="D171" s="55">
        <x:v>45870</x:v>
      </x:c>
      <x:c r="E171" s="54" t="s">
        <x:v>93</x:v>
      </x:c>
      <x:c r="F171" s="54">
        <x:v>1</x:v>
      </x:c>
      <x:c r="G171" s="148">
        <x:v>205</x:v>
      </x:c>
      <x:c r="H171" s="148" t="n">
        <x:f t="shared" si="10">IFERROR(IF(OR($F$1="",D171=""),0,MAX(0,$F$1-D171)),0)</x:f>
        <x:v>517</x:v>
      </x:c>
      <x:c r="I171" s="148">
        <x:v>0.33329999999999999</x:v>
      </x:c>
      <x:c r="J171" s="148" t="n">
        <x:f t="shared" si="11">IFERROR(IF(OR(G171="",G171&lt;=0,I171="",D171="",$F$1=""),0,IF($F$1&lt;D171,0,MIN(MAX(G171-1,0),MAX(0,(G171*I171/365)*H171)))),0)</x:f>
        <x:v>96.78027534246574</x:v>
      </x:c>
      <x:c r="K171" s="148" t="n">
        <x:f t="shared" si="12">IFERROR(IF(OR(G171="",G171&lt;=0),0,MAX(1,G171-J171)),0)</x:f>
        <x:v>108.21972465753426</x:v>
      </x:c>
      <x:c r="L171" s="148" t="n">
        <x:f t="shared" si="13">IFERROR(IF(OR(G171="",G171&lt;=0,I171="",D171="",$F$1=""),0,IF($F$1&lt;D171,0,IF(K171&lt;=1,0,MIN(G171*I171/12,K171-1)))),0)</x:f>
        <x:v>5.693874999999999</x:v>
      </x:c>
      <x:c r="M171" s="58" t="s">
        <x:v>18</x:v>
      </x:c>
    </x:row>
    <x:row r="172" ht="19.899999618530273" customHeight="1">
      <x:c r="A172" s="53">
        <x:f t="shared" si="14"/>
        <x:v>167</x:v>
      </x:c>
      <x:c r="B172" s="54" t="s">
        <x:v>19</x:v>
      </x:c>
      <x:c r="C172" s="54" t="s">
        <x:v>27</x:v>
      </x:c>
      <x:c r="D172" s="55">
        <x:v>45870</x:v>
      </x:c>
      <x:c r="E172" s="54" t="s">
        <x:v>93</x:v>
      </x:c>
      <x:c r="F172" s="54">
        <x:v>1</x:v>
      </x:c>
      <x:c r="G172" s="148">
        <x:v>205</x:v>
      </x:c>
      <x:c r="H172" s="148" t="n">
        <x:f t="shared" si="10">IFERROR(IF(OR($F$1="",D172=""),0,MAX(0,$F$1-D172)),0)</x:f>
        <x:v>517</x:v>
      </x:c>
      <x:c r="I172" s="148">
        <x:v>0.33329999999999999</x:v>
      </x:c>
      <x:c r="J172" s="148" t="n">
        <x:f t="shared" si="11">IFERROR(IF(OR(G172="",G172&lt;=0,I172="",D172="",$F$1=""),0,IF($F$1&lt;D172,0,MIN(MAX(G172-1,0),MAX(0,(G172*I172/365)*H172)))),0)</x:f>
        <x:v>96.78027534246574</x:v>
      </x:c>
      <x:c r="K172" s="148" t="n">
        <x:f t="shared" si="12">IFERROR(IF(OR(G172="",G172&lt;=0),0,MAX(1,G172-J172)),0)</x:f>
        <x:v>108.21972465753426</x:v>
      </x:c>
      <x:c r="L172" s="148" t="n">
        <x:f t="shared" si="13">IFERROR(IF(OR(G172="",G172&lt;=0,I172="",D172="",$F$1=""),0,IF($F$1&lt;D172,0,IF(K172&lt;=1,0,MIN(G172*I172/12,K172-1)))),0)</x:f>
        <x:v>5.693874999999999</x:v>
      </x:c>
      <x:c r="M172" s="58" t="s">
        <x:v>18</x:v>
      </x:c>
    </x:row>
    <x:row r="173" ht="19.899999618530273" customHeight="1">
      <x:c r="A173" s="53">
        <x:f t="shared" si="14"/>
        <x:v>168</x:v>
      </x:c>
      <x:c r="B173" s="54" t="s">
        <x:v>19</x:v>
      </x:c>
      <x:c r="C173" s="54" t="s">
        <x:v>27</x:v>
      </x:c>
      <x:c r="D173" s="55">
        <x:v>45870</x:v>
      </x:c>
      <x:c r="E173" s="54" t="s">
        <x:v>93</x:v>
      </x:c>
      <x:c r="F173" s="54">
        <x:v>1</x:v>
      </x:c>
      <x:c r="G173" s="148">
        <x:v>205</x:v>
      </x:c>
      <x:c r="H173" s="148" t="n">
        <x:f t="shared" si="10">IFERROR(IF(OR($F$1="",D173=""),0,MAX(0,$F$1-D173)),0)</x:f>
        <x:v>517</x:v>
      </x:c>
      <x:c r="I173" s="148">
        <x:v>0.33329999999999999</x:v>
      </x:c>
      <x:c r="J173" s="148" t="n">
        <x:f t="shared" si="11">IFERROR(IF(OR(G173="",G173&lt;=0,I173="",D173="",$F$1=""),0,IF($F$1&lt;D173,0,MIN(MAX(G173-1,0),MAX(0,(G173*I173/365)*H173)))),0)</x:f>
        <x:v>96.78027534246574</x:v>
      </x:c>
      <x:c r="K173" s="148" t="n">
        <x:f t="shared" si="12">IFERROR(IF(OR(G173="",G173&lt;=0),0,MAX(1,G173-J173)),0)</x:f>
        <x:v>108.21972465753426</x:v>
      </x:c>
      <x:c r="L173" s="148" t="n">
        <x:f t="shared" si="13">IFERROR(IF(OR(G173="",G173&lt;=0,I173="",D173="",$F$1=""),0,IF($F$1&lt;D173,0,IF(K173&lt;=1,0,MIN(G173*I173/12,K173-1)))),0)</x:f>
        <x:v>5.693874999999999</x:v>
      </x:c>
      <x:c r="M173" s="58" t="s">
        <x:v>18</x:v>
      </x:c>
    </x:row>
    <x:row r="174" ht="19.899999618530273" customHeight="1">
      <x:c r="A174" s="53">
        <x:f t="shared" si="14"/>
        <x:v>169</x:v>
      </x:c>
      <x:c r="B174" s="54" t="s">
        <x:v>19</x:v>
      </x:c>
      <x:c r="C174" s="54" t="s">
        <x:v>27</x:v>
      </x:c>
      <x:c r="D174" s="55">
        <x:v>45870</x:v>
      </x:c>
      <x:c r="E174" s="54" t="s">
        <x:v>93</x:v>
      </x:c>
      <x:c r="F174" s="54">
        <x:v>1</x:v>
      </x:c>
      <x:c r="G174" s="148">
        <x:v>205</x:v>
      </x:c>
      <x:c r="H174" s="148" t="n">
        <x:f t="shared" si="10">IFERROR(IF(OR($F$1="",D174=""),0,MAX(0,$F$1-D174)),0)</x:f>
        <x:v>517</x:v>
      </x:c>
      <x:c r="I174" s="148">
        <x:v>0.33329999999999999</x:v>
      </x:c>
      <x:c r="J174" s="148" t="n">
        <x:f t="shared" si="11">IFERROR(IF(OR(G174="",G174&lt;=0,I174="",D174="",$F$1=""),0,IF($F$1&lt;D174,0,MIN(MAX(G174-1,0),MAX(0,(G174*I174/365)*H174)))),0)</x:f>
        <x:v>96.78027534246574</x:v>
      </x:c>
      <x:c r="K174" s="148" t="n">
        <x:f t="shared" si="12">IFERROR(IF(OR(G174="",G174&lt;=0),0,MAX(1,G174-J174)),0)</x:f>
        <x:v>108.21972465753426</x:v>
      </x:c>
      <x:c r="L174" s="148" t="n">
        <x:f t="shared" si="13">IFERROR(IF(OR(G174="",G174&lt;=0,I174="",D174="",$F$1=""),0,IF($F$1&lt;D174,0,IF(K174&lt;=1,0,MIN(G174*I174/12,K174-1)))),0)</x:f>
        <x:v>5.693874999999999</x:v>
      </x:c>
      <x:c r="M174" s="58" t="s">
        <x:v>18</x:v>
      </x:c>
    </x:row>
    <x:row r="175" ht="19.899999618530273" customHeight="1">
      <x:c r="A175" s="53">
        <x:f t="shared" si="14"/>
        <x:v>170</x:v>
      </x:c>
      <x:c r="B175" s="54" t="s">
        <x:v>19</x:v>
      </x:c>
      <x:c r="C175" s="54" t="s">
        <x:v>27</x:v>
      </x:c>
      <x:c r="D175" s="55">
        <x:v>45870</x:v>
      </x:c>
      <x:c r="E175" s="54" t="s">
        <x:v>93</x:v>
      </x:c>
      <x:c r="F175" s="54">
        <x:v>1</x:v>
      </x:c>
      <x:c r="G175" s="148">
        <x:v>205</x:v>
      </x:c>
      <x:c r="H175" s="148" t="n">
        <x:f t="shared" si="10">IFERROR(IF(OR($F$1="",D175=""),0,MAX(0,$F$1-D175)),0)</x:f>
        <x:v>517</x:v>
      </x:c>
      <x:c r="I175" s="148">
        <x:v>0.33329999999999999</x:v>
      </x:c>
      <x:c r="J175" s="148" t="n">
        <x:f t="shared" si="11">IFERROR(IF(OR(G175="",G175&lt;=0,I175="",D175="",$F$1=""),0,IF($F$1&lt;D175,0,MIN(MAX(G175-1,0),MAX(0,(G175*I175/365)*H175)))),0)</x:f>
        <x:v>96.78027534246574</x:v>
      </x:c>
      <x:c r="K175" s="148" t="n">
        <x:f t="shared" si="12">IFERROR(IF(OR(G175="",G175&lt;=0),0,MAX(1,G175-J175)),0)</x:f>
        <x:v>108.21972465753426</x:v>
      </x:c>
      <x:c r="L175" s="148" t="n">
        <x:f t="shared" si="13">IFERROR(IF(OR(G175="",G175&lt;=0,I175="",D175="",$F$1=""),0,IF($F$1&lt;D175,0,IF(K175&lt;=1,0,MIN(G175*I175/12,K175-1)))),0)</x:f>
        <x:v>5.693874999999999</x:v>
      </x:c>
      <x:c r="M175" s="58" t="s">
        <x:v>18</x:v>
      </x:c>
    </x:row>
    <x:row r="176" ht="19.899999618530273" customHeight="1">
      <x:c r="A176" s="53">
        <x:f t="shared" si="14"/>
        <x:v>171</x:v>
      </x:c>
      <x:c r="B176" s="54" t="s">
        <x:v>19</x:v>
      </x:c>
      <x:c r="C176" s="54" t="s">
        <x:v>27</x:v>
      </x:c>
      <x:c r="D176" s="55">
        <x:v>45870</x:v>
      </x:c>
      <x:c r="E176" s="54" t="s">
        <x:v>94</x:v>
      </x:c>
      <x:c r="F176" s="54">
        <x:v>1</x:v>
      </x:c>
      <x:c r="G176" s="148">
        <x:v>1500</x:v>
      </x:c>
      <x:c r="H176" s="148" t="n">
        <x:f t="shared" si="10">IFERROR(IF(OR($F$1="",D176=""),0,MAX(0,$F$1-D176)),0)</x:f>
        <x:v>517</x:v>
      </x:c>
      <x:c r="I176" s="148">
        <x:v>0.33329999999999999</x:v>
      </x:c>
      <x:c r="J176" s="148" t="n">
        <x:f t="shared" si="11">IFERROR(IF(OR(G176="",G176&lt;=0,I176="",D176="",$F$1=""),0,IF($F$1&lt;D176,0,MIN(MAX(G176-1,0),MAX(0,(G176*I176/365)*H176)))),0)</x:f>
        <x:v>708.1483561643836</x:v>
      </x:c>
      <x:c r="K176" s="148" t="n">
        <x:f t="shared" si="12">IFERROR(IF(OR(G176="",G176&lt;=0),0,MAX(1,G176-J176)),0)</x:f>
        <x:v>791.8516438356164</x:v>
      </x:c>
      <x:c r="L176" s="148" t="n">
        <x:f t="shared" si="13">IFERROR(IF(OR(G176="",G176&lt;=0,I176="",D176="",$F$1=""),0,IF($F$1&lt;D176,0,IF(K176&lt;=1,0,MIN(G176*I176/12,K176-1)))),0)</x:f>
        <x:v>41.6625</x:v>
      </x:c>
      <x:c r="M176" s="58" t="s">
        <x:v>18</x:v>
      </x:c>
    </x:row>
    <x:row r="177" ht="19.899999618530273" customHeight="1">
      <x:c r="A177" s="53">
        <x:f t="shared" si="14"/>
        <x:v>172</x:v>
      </x:c>
      <x:c r="B177" s="54" t="s">
        <x:v>19</x:v>
      </x:c>
      <x:c r="C177" s="54" t="s">
        <x:v>27</x:v>
      </x:c>
      <x:c r="D177" s="55">
        <x:v>45870</x:v>
      </x:c>
      <x:c r="E177" s="54" t="s">
        <x:v>95</x:v>
      </x:c>
      <x:c r="F177" s="54">
        <x:v>1</x:v>
      </x:c>
      <x:c r="G177" s="148">
        <x:v>310</x:v>
      </x:c>
      <x:c r="H177" s="148" t="n">
        <x:f t="shared" si="10">IFERROR(IF(OR($F$1="",D177=""),0,MAX(0,$F$1-D177)),0)</x:f>
        <x:v>517</x:v>
      </x:c>
      <x:c r="I177" s="148">
        <x:v>0.33329999999999999</x:v>
      </x:c>
      <x:c r="J177" s="148" t="n">
        <x:f t="shared" si="11">IFERROR(IF(OR(G177="",G177&lt;=0,I177="",D177="",$F$1=""),0,IF($F$1&lt;D177,0,MIN(MAX(G177-1,0),MAX(0,(G177*I177/365)*H177)))),0)</x:f>
        <x:v>146.35066027397258</x:v>
      </x:c>
      <x:c r="K177" s="148" t="n">
        <x:f t="shared" si="12">IFERROR(IF(OR(G177="",G177&lt;=0),0,MAX(1,G177-J177)),0)</x:f>
        <x:v>163.64933972602742</x:v>
      </x:c>
      <x:c r="L177" s="148" t="n">
        <x:f t="shared" si="13">IFERROR(IF(OR(G177="",G177&lt;=0,I177="",D177="",$F$1=""),0,IF($F$1&lt;D177,0,IF(K177&lt;=1,0,MIN(G177*I177/12,K177-1)))),0)</x:f>
        <x:v>8.610249999999999</x:v>
      </x:c>
      <x:c r="M177" s="58" t="s">
        <x:v>18</x:v>
      </x:c>
    </x:row>
    <x:row r="178" ht="19.899999618530273" customHeight="1">
      <x:c r="A178" s="53">
        <x:f t="shared" si="14"/>
        <x:v>173</x:v>
      </x:c>
      <x:c r="B178" s="54" t="s">
        <x:v>46</x:v>
      </x:c>
      <x:c r="C178" s="54" t="s">
        <x:v>27</x:v>
      </x:c>
      <x:c r="D178" s="55">
        <x:v>45870</x:v>
      </x:c>
      <x:c r="E178" s="54" t="s">
        <x:v>96</x:v>
      </x:c>
      <x:c r="F178" s="54">
        <x:v>1</x:v>
      </x:c>
      <x:c r="G178" s="148">
        <x:v>600</x:v>
      </x:c>
      <x:c r="H178" s="148" t="n">
        <x:f t="shared" si="10">IFERROR(IF(OR($F$1="",D178=""),0,MAX(0,$F$1-D178)),0)</x:f>
        <x:v>517</x:v>
      </x:c>
      <x:c r="I178" s="148">
        <x:v>0.33329999999999999</x:v>
      </x:c>
      <x:c r="J178" s="148" t="n">
        <x:f t="shared" si="11">IFERROR(IF(OR(G178="",G178&lt;=0,I178="",D178="",$F$1=""),0,IF($F$1&lt;D178,0,MIN(MAX(G178-1,0),MAX(0,(G178*I178/365)*H178)))),0)</x:f>
        <x:v>283.25934246575343</x:v>
      </x:c>
      <x:c r="K178" s="148" t="n">
        <x:f t="shared" si="12">IFERROR(IF(OR(G178="",G178&lt;=0),0,MAX(1,G178-J178)),0)</x:f>
        <x:v>316.74065753424657</x:v>
      </x:c>
      <x:c r="L178" s="148" t="n">
        <x:f t="shared" si="13">IFERROR(IF(OR(G178="",G178&lt;=0,I178="",D178="",$F$1=""),0,IF($F$1&lt;D178,0,IF(K178&lt;=1,0,MIN(G178*I178/12,K178-1)))),0)</x:f>
        <x:v>16.665</x:v>
      </x:c>
      <x:c r="M178" s="58" t="s">
        <x:v>18</x:v>
      </x:c>
    </x:row>
    <x:row r="179" ht="19.899999618530273" customHeight="1">
      <x:c r="A179" s="53">
        <x:f t="shared" si="14"/>
        <x:v>174</x:v>
      </x:c>
      <x:c r="B179" s="54" t="s">
        <x:v>59</x:v>
      </x:c>
      <x:c r="C179" s="54" t="s">
        <x:v>27</x:v>
      </x:c>
      <x:c r="D179" s="55">
        <x:v>45870</x:v>
      </x:c>
      <x:c r="E179" s="54" t="s">
        <x:v>96</x:v>
      </x:c>
      <x:c r="F179" s="54">
        <x:v>1</x:v>
      </x:c>
      <x:c r="G179" s="148">
        <x:v>600</x:v>
      </x:c>
      <x:c r="H179" s="148" t="n">
        <x:f t="shared" si="10">IFERROR(IF(OR($F$1="",D179=""),0,MAX(0,$F$1-D179)),0)</x:f>
        <x:v>517</x:v>
      </x:c>
      <x:c r="I179" s="148">
        <x:v>0.33329999999999999</x:v>
      </x:c>
      <x:c r="J179" s="148" t="n">
        <x:f t="shared" si="11">IFERROR(IF(OR(G179="",G179&lt;=0,I179="",D179="",$F$1=""),0,IF($F$1&lt;D179,0,MIN(MAX(G179-1,0),MAX(0,(G179*I179/365)*H179)))),0)</x:f>
        <x:v>283.25934246575343</x:v>
      </x:c>
      <x:c r="K179" s="148" t="n">
        <x:f t="shared" si="12">IFERROR(IF(OR(G179="",G179&lt;=0),0,MAX(1,G179-J179)),0)</x:f>
        <x:v>316.74065753424657</x:v>
      </x:c>
      <x:c r="L179" s="148" t="n">
        <x:f t="shared" si="13">IFERROR(IF(OR(G179="",G179&lt;=0,I179="",D179="",$F$1=""),0,IF($F$1&lt;D179,0,IF(K179&lt;=1,0,MIN(G179*I179/12,K179-1)))),0)</x:f>
        <x:v>16.665</x:v>
      </x:c>
      <x:c r="M179" s="58" t="s">
        <x:v>18</x:v>
      </x:c>
    </x:row>
    <x:row r="180" ht="19.899999618530273" customHeight="1">
      <x:c r="A180" s="53">
        <x:f t="shared" si="14"/>
        <x:v>175</x:v>
      </x:c>
      <x:c r="B180" s="54" t="s">
        <x:v>46</x:v>
      </x:c>
      <x:c r="C180" s="54" t="s">
        <x:v>27</x:v>
      </x:c>
      <x:c r="D180" s="55">
        <x:v>45870</x:v>
      </x:c>
      <x:c r="E180" s="54" t="s">
        <x:v>52</x:v>
      </x:c>
      <x:c r="F180" s="54">
        <x:v>1</x:v>
      </x:c>
      <x:c r="G180" s="148">
        <x:v>950</x:v>
      </x:c>
      <x:c r="H180" s="148" t="n">
        <x:f t="shared" si="10">IFERROR(IF(OR($F$1="",D180=""),0,MAX(0,$F$1-D180)),0)</x:f>
        <x:v>517</x:v>
      </x:c>
      <x:c r="I180" s="148">
        <x:v>0.33329999999999999</x:v>
      </x:c>
      <x:c r="J180" s="148" t="n">
        <x:f t="shared" si="11">IFERROR(IF(OR(G180="",G180&lt;=0,I180="",D180="",$F$1=""),0,IF($F$1&lt;D180,0,MIN(MAX(G180-1,0),MAX(0,(G180*I180/365)*H180)))),0)</x:f>
        <x:v>448.4939589041096</x:v>
      </x:c>
      <x:c r="K180" s="148" t="n">
        <x:f t="shared" si="12">IFERROR(IF(OR(G180="",G180&lt;=0),0,MAX(1,G180-J180)),0)</x:f>
        <x:v>501.5060410958904</x:v>
      </x:c>
      <x:c r="L180" s="148" t="n">
        <x:f t="shared" si="13">IFERROR(IF(OR(G180="",G180&lt;=0,I180="",D180="",$F$1=""),0,IF($F$1&lt;D180,0,IF(K180&lt;=1,0,MIN(G180*I180/12,K180-1)))),0)</x:f>
        <x:v>26.38625</x:v>
      </x:c>
      <x:c r="M180" s="58" t="s">
        <x:v>18</x:v>
      </x:c>
    </x:row>
    <x:row r="181" ht="19.899999618530273" customHeight="1">
      <x:c r="A181" s="53">
        <x:f t="shared" si="14"/>
        <x:v>176</x:v>
      </x:c>
      <x:c r="B181" s="54" t="s">
        <x:v>19</x:v>
      </x:c>
      <x:c r="C181" s="54" t="s">
        <x:v>27</x:v>
      </x:c>
      <x:c r="D181" s="55">
        <x:v>45870</x:v>
      </x:c>
      <x:c r="E181" s="54" t="s">
        <x:v>97</x:v>
      </x:c>
      <x:c r="F181" s="54">
        <x:v>1</x:v>
      </x:c>
      <x:c r="G181" s="148">
        <x:v>575</x:v>
      </x:c>
      <x:c r="H181" s="148" t="n">
        <x:f t="shared" si="10">IFERROR(IF(OR($F$1="",D181=""),0,MAX(0,$F$1-D181)),0)</x:f>
        <x:v>517</x:v>
      </x:c>
      <x:c r="I181" s="148">
        <x:v>0.33329999999999999</x:v>
      </x:c>
      <x:c r="J181" s="148" t="n">
        <x:f t="shared" si="11">IFERROR(IF(OR(G181="",G181&lt;=0,I181="",D181="",$F$1=""),0,IF($F$1&lt;D181,0,MIN(MAX(G181-1,0),MAX(0,(G181*I181/365)*H181)))),0)</x:f>
        <x:v>271.45686986301365</x:v>
      </x:c>
      <x:c r="K181" s="148" t="n">
        <x:f t="shared" si="12">IFERROR(IF(OR(G181="",G181&lt;=0),0,MAX(1,G181-J181)),0)</x:f>
        <x:v>303.54313013698635</x:v>
      </x:c>
      <x:c r="L181" s="148" t="n">
        <x:f t="shared" si="13">IFERROR(IF(OR(G181="",G181&lt;=0,I181="",D181="",$F$1=""),0,IF($F$1&lt;D181,0,IF(K181&lt;=1,0,MIN(G181*I181/12,K181-1)))),0)</x:f>
        <x:v>15.970624999999998</x:v>
      </x:c>
      <x:c r="M181" s="58" t="s">
        <x:v>18</x:v>
      </x:c>
    </x:row>
    <x:row r="182" ht="19.899999618530273" customHeight="1">
      <x:c r="A182" s="53">
        <x:f t="shared" si="14"/>
        <x:v>177</x:v>
      </x:c>
      <x:c r="B182" s="54" t="s">
        <x:v>19</x:v>
      </x:c>
      <x:c r="C182" s="54" t="s">
        <x:v>27</x:v>
      </x:c>
      <x:c r="D182" s="55">
        <x:v>45870</x:v>
      </x:c>
      <x:c r="E182" s="54" t="s">
        <x:v>30</x:v>
      </x:c>
      <x:c r="F182" s="54">
        <x:v>1</x:v>
      </x:c>
      <x:c r="G182" s="148">
        <x:v>875</x:v>
      </x:c>
      <x:c r="H182" s="148" t="n">
        <x:f t="shared" si="10">IFERROR(IF(OR($F$1="",D182=""),0,MAX(0,$F$1-D182)),0)</x:f>
        <x:v>517</x:v>
      </x:c>
      <x:c r="I182" s="148">
        <x:v>0.33329999999999999</x:v>
      </x:c>
      <x:c r="J182" s="148" t="n">
        <x:f t="shared" si="11">IFERROR(IF(OR(G182="",G182&lt;=0,I182="",D182="",$F$1=""),0,IF($F$1&lt;D182,0,MIN(MAX(G182-1,0),MAX(0,(G182*I182/365)*H182)))),0)</x:f>
        <x:v>413.0865410958904</x:v>
      </x:c>
      <x:c r="K182" s="148" t="n">
        <x:f t="shared" si="12">IFERROR(IF(OR(G182="",G182&lt;=0),0,MAX(1,G182-J182)),0)</x:f>
        <x:v>461.9134589041096</x:v>
      </x:c>
      <x:c r="L182" s="148" t="n">
        <x:f t="shared" si="13">IFERROR(IF(OR(G182="",G182&lt;=0,I182="",D182="",$F$1=""),0,IF($F$1&lt;D182,0,IF(K182&lt;=1,0,MIN(G182*I182/12,K182-1)))),0)</x:f>
        <x:v>24.303124999999998</x:v>
      </x:c>
      <x:c r="M182" s="58" t="s">
        <x:v>18</x:v>
      </x:c>
    </x:row>
    <x:row r="183" ht="19.899999618530273" customHeight="1">
      <x:c r="A183" s="53">
        <x:f t="shared" si="14"/>
        <x:v>178</x:v>
      </x:c>
      <x:c r="B183" s="54" t="s">
        <x:v>19</x:v>
      </x:c>
      <x:c r="C183" s="54" t="s">
        <x:v>27</x:v>
      </x:c>
      <x:c r="D183" s="55">
        <x:v>45870</x:v>
      </x:c>
      <x:c r="E183" s="54" t="s">
        <x:v>30</x:v>
      </x:c>
      <x:c r="F183" s="54">
        <x:v>1</x:v>
      </x:c>
      <x:c r="G183" s="148">
        <x:v>875</x:v>
      </x:c>
      <x:c r="H183" s="148" t="n">
        <x:f t="shared" si="10">IFERROR(IF(OR($F$1="",D183=""),0,MAX(0,$F$1-D183)),0)</x:f>
        <x:v>517</x:v>
      </x:c>
      <x:c r="I183" s="148">
        <x:v>0.33329999999999999</x:v>
      </x:c>
      <x:c r="J183" s="148" t="n">
        <x:f t="shared" si="11">IFERROR(IF(OR(G183="",G183&lt;=0,I183="",D183="",$F$1=""),0,IF($F$1&lt;D183,0,MIN(MAX(G183-1,0),MAX(0,(G183*I183/365)*H183)))),0)</x:f>
        <x:v>413.0865410958904</x:v>
      </x:c>
      <x:c r="K183" s="148" t="n">
        <x:f t="shared" si="12">IFERROR(IF(OR(G183="",G183&lt;=0),0,MAX(1,G183-J183)),0)</x:f>
        <x:v>461.9134589041096</x:v>
      </x:c>
      <x:c r="L183" s="148" t="n">
        <x:f t="shared" si="13">IFERROR(IF(OR(G183="",G183&lt;=0,I183="",D183="",$F$1=""),0,IF($F$1&lt;D183,0,IF(K183&lt;=1,0,MIN(G183*I183/12,K183-1)))),0)</x:f>
        <x:v>24.303124999999998</x:v>
      </x:c>
      <x:c r="M183" s="58" t="s">
        <x:v>18</x:v>
      </x:c>
    </x:row>
    <x:row r="184" ht="19.899999618530273" customHeight="1">
      <x:c r="A184" s="53">
        <x:f t="shared" si="14"/>
        <x:v>179</x:v>
      </x:c>
      <x:c r="B184" s="54" t="s">
        <x:v>19</x:v>
      </x:c>
      <x:c r="C184" s="54" t="s">
        <x:v>27</x:v>
      </x:c>
      <x:c r="D184" s="55">
        <x:v>45870</x:v>
      </x:c>
      <x:c r="E184" s="54" t="s">
        <x:v>30</x:v>
      </x:c>
      <x:c r="F184" s="54">
        <x:v>1</x:v>
      </x:c>
      <x:c r="G184" s="148">
        <x:v>875</x:v>
      </x:c>
      <x:c r="H184" s="148" t="n">
        <x:f t="shared" si="10">IFERROR(IF(OR($F$1="",D184=""),0,MAX(0,$F$1-D184)),0)</x:f>
        <x:v>517</x:v>
      </x:c>
      <x:c r="I184" s="148">
        <x:v>0.33329999999999999</x:v>
      </x:c>
      <x:c r="J184" s="148" t="n">
        <x:f t="shared" si="11">IFERROR(IF(OR(G184="",G184&lt;=0,I184="",D184="",$F$1=""),0,IF($F$1&lt;D184,0,MIN(MAX(G184-1,0),MAX(0,(G184*I184/365)*H184)))),0)</x:f>
        <x:v>413.0865410958904</x:v>
      </x:c>
      <x:c r="K184" s="148" t="n">
        <x:f t="shared" si="12">IFERROR(IF(OR(G184="",G184&lt;=0),0,MAX(1,G184-J184)),0)</x:f>
        <x:v>461.9134589041096</x:v>
      </x:c>
      <x:c r="L184" s="148" t="n">
        <x:f t="shared" si="13">IFERROR(IF(OR(G184="",G184&lt;=0,I184="",D184="",$F$1=""),0,IF($F$1&lt;D184,0,IF(K184&lt;=1,0,MIN(G184*I184/12,K184-1)))),0)</x:f>
        <x:v>24.303124999999998</x:v>
      </x:c>
      <x:c r="M184" s="58" t="s">
        <x:v>18</x:v>
      </x:c>
    </x:row>
    <x:row r="185" ht="19.899999618530273" customHeight="1">
      <x:c r="A185" s="53">
        <x:f t="shared" si="14"/>
        <x:v>180</x:v>
      </x:c>
      <x:c r="B185" s="54" t="s">
        <x:v>46</x:v>
      </x:c>
      <x:c r="C185" s="54" t="s">
        <x:v>27</x:v>
      </x:c>
      <x:c r="D185" s="55">
        <x:v>45870</x:v>
      </x:c>
      <x:c r="E185" s="54" t="s">
        <x:v>98</x:v>
      </x:c>
      <x:c r="F185" s="54">
        <x:v>1</x:v>
      </x:c>
      <x:c r="G185" s="148">
        <x:v>500</x:v>
      </x:c>
      <x:c r="H185" s="148" t="n">
        <x:f t="shared" si="10">IFERROR(IF(OR($F$1="",D185=""),0,MAX(0,$F$1-D185)),0)</x:f>
        <x:v>517</x:v>
      </x:c>
      <x:c r="I185" s="148">
        <x:v>0.33329999999999999</x:v>
      </x:c>
      <x:c r="J185" s="148" t="n">
        <x:f t="shared" si="11">IFERROR(IF(OR(G185="",G185&lt;=0,I185="",D185="",$F$1=""),0,IF($F$1&lt;D185,0,MIN(MAX(G185-1,0),MAX(0,(G185*I185/365)*H185)))),0)</x:f>
        <x:v>236.04945205479453</x:v>
      </x:c>
      <x:c r="K185" s="148" t="n">
        <x:f t="shared" si="12">IFERROR(IF(OR(G185="",G185&lt;=0),0,MAX(1,G185-J185)),0)</x:f>
        <x:v>263.95054794520547</x:v>
      </x:c>
      <x:c r="L185" s="148" t="n">
        <x:f t="shared" si="13">IFERROR(IF(OR(G185="",G185&lt;=0,I185="",D185="",$F$1=""),0,IF($F$1&lt;D185,0,IF(K185&lt;=1,0,MIN(G185*I185/12,K185-1)))),0)</x:f>
        <x:v>13.887500000000001</x:v>
      </x:c>
      <x:c r="M185" s="58" t="s">
        <x:v>18</x:v>
      </x:c>
    </x:row>
    <x:row r="186" ht="19.899999618530273" customHeight="1">
      <x:c r="A186" s="53">
        <x:f t="shared" si="14"/>
        <x:v>181</x:v>
      </x:c>
      <x:c r="B186" s="54" t="s">
        <x:v>19</x:v>
      </x:c>
      <x:c r="C186" s="54" t="s">
        <x:v>27</x:v>
      </x:c>
      <x:c r="D186" s="55">
        <x:v>45870</x:v>
      </x:c>
      <x:c r="E186" s="54" t="s">
        <x:v>98</x:v>
      </x:c>
      <x:c r="F186" s="54">
        <x:v>1</x:v>
      </x:c>
      <x:c r="G186" s="148">
        <x:v>500</x:v>
      </x:c>
      <x:c r="H186" s="148" t="n">
        <x:f t="shared" si="10">IFERROR(IF(OR($F$1="",D186=""),0,MAX(0,$F$1-D186)),0)</x:f>
        <x:v>517</x:v>
      </x:c>
      <x:c r="I186" s="148">
        <x:v>0.33329999999999999</x:v>
      </x:c>
      <x:c r="J186" s="148" t="n">
        <x:f t="shared" si="11">IFERROR(IF(OR(G186="",G186&lt;=0,I186="",D186="",$F$1=""),0,IF($F$1&lt;D186,0,MIN(MAX(G186-1,0),MAX(0,(G186*I186/365)*H186)))),0)</x:f>
        <x:v>236.04945205479453</x:v>
      </x:c>
      <x:c r="K186" s="148" t="n">
        <x:f t="shared" si="12">IFERROR(IF(OR(G186="",G186&lt;=0),0,MAX(1,G186-J186)),0)</x:f>
        <x:v>263.95054794520547</x:v>
      </x:c>
      <x:c r="L186" s="148" t="n">
        <x:f t="shared" si="13">IFERROR(IF(OR(G186="",G186&lt;=0,I186="",D186="",$F$1=""),0,IF($F$1&lt;D186,0,IF(K186&lt;=1,0,MIN(G186*I186/12,K186-1)))),0)</x:f>
        <x:v>13.887500000000001</x:v>
      </x:c>
      <x:c r="M186" s="58" t="s">
        <x:v>18</x:v>
      </x:c>
    </x:row>
    <x:row r="187" ht="19.899999618530273" customHeight="1">
      <x:c r="A187" s="53">
        <x:f t="shared" si="14"/>
        <x:v>182</x:v>
      </x:c>
      <x:c r="B187" s="54" t="s">
        <x:v>19</x:v>
      </x:c>
      <x:c r="C187" s="54" t="s">
        <x:v>27</x:v>
      </x:c>
      <x:c r="D187" s="55">
        <x:v>45870</x:v>
      </x:c>
      <x:c r="E187" s="54" t="s">
        <x:v>99</x:v>
      </x:c>
      <x:c r="F187" s="54">
        <x:v>1</x:v>
      </x:c>
      <x:c r="G187" s="148">
        <x:v>1975</x:v>
      </x:c>
      <x:c r="H187" s="148" t="n">
        <x:f t="shared" si="10">IFERROR(IF(OR($F$1="",D187=""),0,MAX(0,$F$1-D187)),0)</x:f>
        <x:v>517</x:v>
      </x:c>
      <x:c r="I187" s="148">
        <x:v>0.33329999999999999</x:v>
      </x:c>
      <x:c r="J187" s="148" t="n">
        <x:f t="shared" si="11">IFERROR(IF(OR(G187="",G187&lt;=0,I187="",D187="",$F$1=""),0,IF($F$1&lt;D187,0,MIN(MAX(G187-1,0),MAX(0,(G187*I187/365)*H187)))),0)</x:f>
        <x:v>932.3953356164383</x:v>
      </x:c>
      <x:c r="K187" s="148" t="n">
        <x:f t="shared" si="12">IFERROR(IF(OR(G187="",G187&lt;=0),0,MAX(1,G187-J187)),0)</x:f>
        <x:v>1042.6046643835616</x:v>
      </x:c>
      <x:c r="L187" s="148" t="n">
        <x:f t="shared" si="13">IFERROR(IF(OR(G187="",G187&lt;=0,I187="",D187="",$F$1=""),0,IF($F$1&lt;D187,0,IF(K187&lt;=1,0,MIN(G187*I187/12,K187-1)))),0)</x:f>
        <x:v>54.855624999999996</x:v>
      </x:c>
      <x:c r="M187" s="58" t="s">
        <x:v>18</x:v>
      </x:c>
    </x:row>
    <x:row r="188" ht="19.899999618530273" customHeight="1">
      <x:c r="A188" s="53">
        <x:f t="shared" si="14"/>
        <x:v>183</x:v>
      </x:c>
      <x:c r="B188" s="54" t="s">
        <x:v>59</x:v>
      </x:c>
      <x:c r="C188" s="54" t="s">
        <x:v>27</x:v>
      </x:c>
      <x:c r="D188" s="55">
        <x:v>45870</x:v>
      </x:c>
      <x:c r="E188" s="54" t="s">
        <x:v>99</x:v>
      </x:c>
      <x:c r="F188" s="54">
        <x:v>1</x:v>
      </x:c>
      <x:c r="G188" s="148">
        <x:v>1975</x:v>
      </x:c>
      <x:c r="H188" s="148" t="n">
        <x:f t="shared" si="10">IFERROR(IF(OR($F$1="",D188=""),0,MAX(0,$F$1-D188)),0)</x:f>
        <x:v>517</x:v>
      </x:c>
      <x:c r="I188" s="148">
        <x:v>0.33329999999999999</x:v>
      </x:c>
      <x:c r="J188" s="148" t="n">
        <x:f t="shared" si="11">IFERROR(IF(OR(G188="",G188&lt;=0,I188="",D188="",$F$1=""),0,IF($F$1&lt;D188,0,MIN(MAX(G188-1,0),MAX(0,(G188*I188/365)*H188)))),0)</x:f>
        <x:v>932.3953356164383</x:v>
      </x:c>
      <x:c r="K188" s="148" t="n">
        <x:f t="shared" si="12">IFERROR(IF(OR(G188="",G188&lt;=0),0,MAX(1,G188-J188)),0)</x:f>
        <x:v>1042.6046643835616</x:v>
      </x:c>
      <x:c r="L188" s="148" t="n">
        <x:f t="shared" si="13">IFERROR(IF(OR(G188="",G188&lt;=0,I188="",D188="",$F$1=""),0,IF($F$1&lt;D188,0,IF(K188&lt;=1,0,MIN(G188*I188/12,K188-1)))),0)</x:f>
        <x:v>54.855624999999996</x:v>
      </x:c>
      <x:c r="M188" s="58" t="s">
        <x:v>18</x:v>
      </x:c>
    </x:row>
    <x:row r="189" ht="19.899999618530273" customHeight="1">
      <x:c r="A189" s="53">
        <x:f t="shared" si="14"/>
        <x:v>184</x:v>
      </x:c>
      <x:c r="B189" s="54" t="s">
        <x:v>19</x:v>
      </x:c>
      <x:c r="C189" s="54" t="s">
        <x:v>27</x:v>
      </x:c>
      <x:c r="D189" s="55">
        <x:v>45870</x:v>
      </x:c>
      <x:c r="E189" s="54" t="s">
        <x:v>100</x:v>
      </x:c>
      <x:c r="F189" s="54">
        <x:v>1</x:v>
      </x:c>
      <x:c r="G189" s="148">
        <x:v>340</x:v>
      </x:c>
      <x:c r="H189" s="148" t="n">
        <x:f t="shared" si="10">IFERROR(IF(OR($F$1="",D189=""),0,MAX(0,$F$1-D189)),0)</x:f>
        <x:v>517</x:v>
      </x:c>
      <x:c r="I189" s="148">
        <x:v>0.33329999999999999</x:v>
      </x:c>
      <x:c r="J189" s="148" t="n">
        <x:f t="shared" si="11">IFERROR(IF(OR(G189="",G189&lt;=0,I189="",D189="",$F$1=""),0,IF($F$1&lt;D189,0,MIN(MAX(G189-1,0),MAX(0,(G189*I189/365)*H189)))),0)</x:f>
        <x:v>160.51362739726025</x:v>
      </x:c>
      <x:c r="K189" s="148" t="n">
        <x:f t="shared" si="12">IFERROR(IF(OR(G189="",G189&lt;=0),0,MAX(1,G189-J189)),0)</x:f>
        <x:v>179.48637260273975</x:v>
      </x:c>
      <x:c r="L189" s="148" t="n">
        <x:f t="shared" si="13">IFERROR(IF(OR(G189="",G189&lt;=0,I189="",D189="",$F$1=""),0,IF($F$1&lt;D189,0,IF(K189&lt;=1,0,MIN(G189*I189/12,K189-1)))),0)</x:f>
        <x:v>9.443499999999998</x:v>
      </x:c>
      <x:c r="M189" s="58" t="s">
        <x:v>18</x:v>
      </x:c>
    </x:row>
    <x:row r="190" ht="19.899999618530273" customHeight="1">
      <x:c r="A190" s="53">
        <x:f t="shared" si="14"/>
        <x:v>185</x:v>
      </x:c>
      <x:c r="B190" s="54" t="s">
        <x:v>19</x:v>
      </x:c>
      <x:c r="C190" s="54" t="s">
        <x:v>27</x:v>
      </x:c>
      <x:c r="D190" s="55">
        <x:v>45870</x:v>
      </x:c>
      <x:c r="E190" s="54" t="s">
        <x:v>100</x:v>
      </x:c>
      <x:c r="F190" s="54">
        <x:v>1</x:v>
      </x:c>
      <x:c r="G190" s="148">
        <x:v>340</x:v>
      </x:c>
      <x:c r="H190" s="148" t="n">
        <x:f t="shared" si="10">IFERROR(IF(OR($F$1="",D190=""),0,MAX(0,$F$1-D190)),0)</x:f>
        <x:v>517</x:v>
      </x:c>
      <x:c r="I190" s="148">
        <x:v>0.33329999999999999</x:v>
      </x:c>
      <x:c r="J190" s="148" t="n">
        <x:f t="shared" si="11">IFERROR(IF(OR(G190="",G190&lt;=0,I190="",D190="",$F$1=""),0,IF($F$1&lt;D190,0,MIN(MAX(G190-1,0),MAX(0,(G190*I190/365)*H190)))),0)</x:f>
        <x:v>160.51362739726025</x:v>
      </x:c>
      <x:c r="K190" s="148" t="n">
        <x:f t="shared" si="12">IFERROR(IF(OR(G190="",G190&lt;=0),0,MAX(1,G190-J190)),0)</x:f>
        <x:v>179.48637260273975</x:v>
      </x:c>
      <x:c r="L190" s="148" t="n">
        <x:f t="shared" si="13">IFERROR(IF(OR(G190="",G190&lt;=0,I190="",D190="",$F$1=""),0,IF($F$1&lt;D190,0,IF(K190&lt;=1,0,MIN(G190*I190/12,K190-1)))),0)</x:f>
        <x:v>9.443499999999998</x:v>
      </x:c>
      <x:c r="M190" s="58" t="s">
        <x:v>18</x:v>
      </x:c>
    </x:row>
    <x:row r="191" ht="19.899999618530273" customHeight="1">
      <x:c r="A191" s="53">
        <x:f t="shared" si="14"/>
        <x:v>186</x:v>
      </x:c>
      <x:c r="B191" s="54" t="s">
        <x:v>19</x:v>
      </x:c>
      <x:c r="C191" s="54" t="s">
        <x:v>27</x:v>
      </x:c>
      <x:c r="D191" s="55">
        <x:v>45870</x:v>
      </x:c>
      <x:c r="E191" s="54" t="s">
        <x:v>101</x:v>
      </x:c>
      <x:c r="F191" s="54">
        <x:v>1</x:v>
      </x:c>
      <x:c r="G191" s="148">
        <x:v>550</x:v>
      </x:c>
      <x:c r="H191" s="148" t="n">
        <x:f t="shared" si="10">IFERROR(IF(OR($F$1="",D191=""),0,MAX(0,$F$1-D191)),0)</x:f>
        <x:v>517</x:v>
      </x:c>
      <x:c r="I191" s="148">
        <x:v>0.33329999999999999</x:v>
      </x:c>
      <x:c r="J191" s="148" t="n">
        <x:f t="shared" si="11">IFERROR(IF(OR(G191="",G191&lt;=0,I191="",D191="",$F$1=""),0,IF($F$1&lt;D191,0,MIN(MAX(G191-1,0),MAX(0,(G191*I191/365)*H191)))),0)</x:f>
        <x:v>259.654397260274</x:v>
      </x:c>
      <x:c r="K191" s="148" t="n">
        <x:f t="shared" si="12">IFERROR(IF(OR(G191="",G191&lt;=0),0,MAX(1,G191-J191)),0)</x:f>
        <x:v>290.345602739726</x:v>
      </x:c>
      <x:c r="L191" s="148" t="n">
        <x:f t="shared" si="13">IFERROR(IF(OR(G191="",G191&lt;=0,I191="",D191="",$F$1=""),0,IF($F$1&lt;D191,0,IF(K191&lt;=1,0,MIN(G191*I191/12,K191-1)))),0)</x:f>
        <x:v>15.27625</x:v>
      </x:c>
      <x:c r="M191" s="58" t="s">
        <x:v>18</x:v>
      </x:c>
    </x:row>
    <x:row r="192" ht="19.899999618530273" customHeight="1">
      <x:c r="A192" s="53">
        <x:f t="shared" si="14"/>
        <x:v>187</x:v>
      </x:c>
      <x:c r="B192" s="54" t="s">
        <x:v>46</x:v>
      </x:c>
      <x:c r="C192" s="54" t="s">
        <x:v>27</x:v>
      </x:c>
      <x:c r="D192" s="55">
        <x:v>45870</x:v>
      </x:c>
      <x:c r="E192" s="54" t="s">
        <x:v>102</x:v>
      </x:c>
      <x:c r="F192" s="54">
        <x:v>1</x:v>
      </x:c>
      <x:c r="G192" s="148">
        <x:v>195</x:v>
      </x:c>
      <x:c r="H192" s="148" t="n">
        <x:f t="shared" si="10">IFERROR(IF(OR($F$1="",D192=""),0,MAX(0,$F$1-D192)),0)</x:f>
        <x:v>517</x:v>
      </x:c>
      <x:c r="I192" s="148">
        <x:v>0.33329999999999999</x:v>
      </x:c>
      <x:c r="J192" s="148" t="n">
        <x:f t="shared" si="11">IFERROR(IF(OR(G192="",G192&lt;=0,I192="",D192="",$F$1=""),0,IF($F$1&lt;D192,0,MIN(MAX(G192-1,0),MAX(0,(G192*I192/365)*H192)))),0)</x:f>
        <x:v>92.05928630136987</x:v>
      </x:c>
      <x:c r="K192" s="148" t="n">
        <x:f t="shared" si="12">IFERROR(IF(OR(G192="",G192&lt;=0),0,MAX(1,G192-J192)),0)</x:f>
        <x:v>102.94071369863013</x:v>
      </x:c>
      <x:c r="L192" s="148" t="n">
        <x:f t="shared" si="13">IFERROR(IF(OR(G192="",G192&lt;=0,I192="",D192="",$F$1=""),0,IF($F$1&lt;D192,0,IF(K192&lt;=1,0,MIN(G192*I192/12,K192-1)))),0)</x:f>
        <x:v>5.416125</x:v>
      </x:c>
      <x:c r="M192" s="58" t="s">
        <x:v>18</x:v>
      </x:c>
    </x:row>
    <x:row r="193" ht="19.899999618530273" customHeight="1">
      <x:c r="A193" s="53">
        <x:f t="shared" si="14"/>
        <x:v>188</x:v>
      </x:c>
      <x:c r="B193" s="54" t="s">
        <x:v>19</x:v>
      </x:c>
      <x:c r="C193" s="54" t="s">
        <x:v>27</x:v>
      </x:c>
      <x:c r="D193" s="55">
        <x:v>45870</x:v>
      </x:c>
      <x:c r="E193" s="54" t="s">
        <x:v>103</x:v>
      </x:c>
      <x:c r="F193" s="54">
        <x:v>1</x:v>
      </x:c>
      <x:c r="G193" s="148">
        <x:v>360</x:v>
      </x:c>
      <x:c r="H193" s="148" t="n">
        <x:f t="shared" si="10">IFERROR(IF(OR($F$1="",D193=""),0,MAX(0,$F$1-D193)),0)</x:f>
        <x:v>517</x:v>
      </x:c>
      <x:c r="I193" s="148">
        <x:v>0.33329999999999999</x:v>
      </x:c>
      <x:c r="J193" s="148" t="n">
        <x:f t="shared" si="11">IFERROR(IF(OR(G193="",G193&lt;=0,I193="",D193="",$F$1=""),0,IF($F$1&lt;D193,0,MIN(MAX(G193-1,0),MAX(0,(G193*I193/365)*H193)))),0)</x:f>
        <x:v>169.95560547945203</x:v>
      </x:c>
      <x:c r="K193" s="148" t="n">
        <x:f t="shared" si="12">IFERROR(IF(OR(G193="",G193&lt;=0),0,MAX(1,G193-J193)),0)</x:f>
        <x:v>190.04439452054797</x:v>
      </x:c>
      <x:c r="L193" s="148" t="n">
        <x:f t="shared" si="13">IFERROR(IF(OR(G193="",G193&lt;=0,I193="",D193="",$F$1=""),0,IF($F$1&lt;D193,0,IF(K193&lt;=1,0,MIN(G193*I193/12,K193-1)))),0)</x:f>
        <x:v>9.999</x:v>
      </x:c>
      <x:c r="M193" s="58" t="s">
        <x:v>18</x:v>
      </x:c>
    </x:row>
    <x:row r="194" ht="19.899999618530273" customHeight="1">
      <x:c r="A194" s="53">
        <x:f t="shared" si="14"/>
        <x:v>189</x:v>
      </x:c>
      <x:c r="B194" s="54" t="s">
        <x:v>19</x:v>
      </x:c>
      <x:c r="C194" s="54" t="s">
        <x:v>27</x:v>
      </x:c>
      <x:c r="D194" s="55">
        <x:v>45870</x:v>
      </x:c>
      <x:c r="E194" s="54" t="s">
        <x:v>103</x:v>
      </x:c>
      <x:c r="F194" s="54">
        <x:v>1</x:v>
      </x:c>
      <x:c r="G194" s="148">
        <x:v>360</x:v>
      </x:c>
      <x:c r="H194" s="148" t="n">
        <x:f t="shared" si="10">IFERROR(IF(OR($F$1="",D194=""),0,MAX(0,$F$1-D194)),0)</x:f>
        <x:v>517</x:v>
      </x:c>
      <x:c r="I194" s="148">
        <x:v>0.33329999999999999</x:v>
      </x:c>
      <x:c r="J194" s="148" t="n">
        <x:f t="shared" si="11">IFERROR(IF(OR(G194="",G194&lt;=0,I194="",D194="",$F$1=""),0,IF($F$1&lt;D194,0,MIN(MAX(G194-1,0),MAX(0,(G194*I194/365)*H194)))),0)</x:f>
        <x:v>169.95560547945203</x:v>
      </x:c>
      <x:c r="K194" s="148" t="n">
        <x:f t="shared" si="12">IFERROR(IF(OR(G194="",G194&lt;=0),0,MAX(1,G194-J194)),0)</x:f>
        <x:v>190.04439452054797</x:v>
      </x:c>
      <x:c r="L194" s="148" t="n">
        <x:f t="shared" si="13">IFERROR(IF(OR(G194="",G194&lt;=0,I194="",D194="",$F$1=""),0,IF($F$1&lt;D194,0,IF(K194&lt;=1,0,MIN(G194*I194/12,K194-1)))),0)</x:f>
        <x:v>9.999</x:v>
      </x:c>
      <x:c r="M194" s="58" t="s">
        <x:v>18</x:v>
      </x:c>
    </x:row>
    <x:row r="195" ht="19.899999618530273" customHeight="1">
      <x:c r="A195" s="53">
        <x:f t="shared" si="14"/>
        <x:v>190</x:v>
      </x:c>
      <x:c r="B195" s="54" t="s">
        <x:v>19</x:v>
      </x:c>
      <x:c r="C195" s="54" t="s">
        <x:v>27</x:v>
      </x:c>
      <x:c r="D195" s="55">
        <x:v>45870</x:v>
      </x:c>
      <x:c r="E195" s="54" t="s">
        <x:v>103</x:v>
      </x:c>
      <x:c r="F195" s="54">
        <x:v>1</x:v>
      </x:c>
      <x:c r="G195" s="148">
        <x:v>360</x:v>
      </x:c>
      <x:c r="H195" s="148" t="n">
        <x:f t="shared" si="10">IFERROR(IF(OR($F$1="",D195=""),0,MAX(0,$F$1-D195)),0)</x:f>
        <x:v>517</x:v>
      </x:c>
      <x:c r="I195" s="148">
        <x:v>0.33329999999999999</x:v>
      </x:c>
      <x:c r="J195" s="148" t="n">
        <x:f t="shared" si="11">IFERROR(IF(OR(G195="",G195&lt;=0,I195="",D195="",$F$1=""),0,IF($F$1&lt;D195,0,MIN(MAX(G195-1,0),MAX(0,(G195*I195/365)*H195)))),0)</x:f>
        <x:v>169.95560547945203</x:v>
      </x:c>
      <x:c r="K195" s="148" t="n">
        <x:f t="shared" si="12">IFERROR(IF(OR(G195="",G195&lt;=0),0,MAX(1,G195-J195)),0)</x:f>
        <x:v>190.04439452054797</x:v>
      </x:c>
      <x:c r="L195" s="148" t="n">
        <x:f t="shared" si="13">IFERROR(IF(OR(G195="",G195&lt;=0,I195="",D195="",$F$1=""),0,IF($F$1&lt;D195,0,IF(K195&lt;=1,0,MIN(G195*I195/12,K195-1)))),0)</x:f>
        <x:v>9.999</x:v>
      </x:c>
      <x:c r="M195" s="58" t="s">
        <x:v>18</x:v>
      </x:c>
    </x:row>
    <x:row r="196" ht="19.899999618530273" customHeight="1">
      <x:c r="A196" s="53">
        <x:f t="shared" si="14"/>
        <x:v>191</x:v>
      </x:c>
      <x:c r="B196" s="54" t="s">
        <x:v>19</x:v>
      </x:c>
      <x:c r="C196" s="54" t="s">
        <x:v>16</x:v>
      </x:c>
      <x:c r="D196" s="55">
        <x:v>45870</x:v>
      </x:c>
      <x:c r="E196" s="54" t="s">
        <x:v>104</x:v>
      </x:c>
      <x:c r="F196" s="54">
        <x:v>1</x:v>
      </x:c>
      <x:c r="G196" s="148">
        <x:v>565.22</x:v>
      </x:c>
      <x:c r="H196" s="148" t="n">
        <x:f t="shared" si="10">IFERROR(IF(OR($F$1="",D196=""),0,MAX(0,$F$1-D196)),0)</x:f>
        <x:v>517</x:v>
      </x:c>
      <x:c r="I196" s="148">
        <x:v>0.2</x:v>
      </x:c>
      <x:c r="J196" s="148" t="n">
        <x:f t="shared" si="11">IFERROR(IF(OR(G196="",G196&lt;=0,I196="",D196="",$F$1=""),0,IF($F$1&lt;D196,0,MIN(MAX(G196-1,0),MAX(0,(G196*I196/365)*H196)))),0)</x:f>
        <x:v>160.1198575342466</x:v>
      </x:c>
      <x:c r="K196" s="148" t="n">
        <x:f t="shared" si="12">IFERROR(IF(OR(G196="",G196&lt;=0),0,MAX(1,G196-J196)),0)</x:f>
        <x:v>405.10014246575344</x:v>
      </x:c>
      <x:c r="L196" s="148" t="n">
        <x:f t="shared" si="13">IFERROR(IF(OR(G196="",G196&lt;=0,I196="",D196="",$F$1=""),0,IF($F$1&lt;D196,0,IF(K196&lt;=1,0,MIN(G196*I196/12,K196-1)))),0)</x:f>
        <x:v>9.420333333333334</x:v>
      </x:c>
      <x:c r="M196" s="58" t="s">
        <x:v>18</x:v>
      </x:c>
    </x:row>
    <x:row r="197" ht="19.899999618530273" customHeight="1">
      <x:c r="A197" s="53">
        <x:f t="shared" si="14"/>
        <x:v>192</x:v>
      </x:c>
      <x:c r="B197" s="54" t="s">
        <x:v>19</x:v>
      </x:c>
      <x:c r="C197" s="54" t="s">
        <x:v>16</x:v>
      </x:c>
      <x:c r="D197" s="55">
        <x:v>45870</x:v>
      </x:c>
      <x:c r="E197" s="54" t="s">
        <x:v>105</x:v>
      </x:c>
      <x:c r="F197" s="54">
        <x:v>1</x:v>
      </x:c>
      <x:c r="G197" s="148">
        <x:v>664.43</x:v>
      </x:c>
      <x:c r="H197" s="148" t="n">
        <x:f t="shared" si="10">IFERROR(IF(OR($F$1="",D197=""),0,MAX(0,$F$1-D197)),0)</x:f>
        <x:v>517</x:v>
      </x:c>
      <x:c r="I197" s="148">
        <x:v>0.2</x:v>
      </x:c>
      <x:c r="J197" s="148" t="n">
        <x:f t="shared" si="11">IFERROR(IF(OR(G197="",G197&lt;=0,I197="",D197="",$F$1=""),0,IF($F$1&lt;D197,0,MIN(MAX(G197-1,0),MAX(0,(G197*I197/365)*H197)))),0)</x:f>
        <x:v>188.22482739726027</x:v>
      </x:c>
      <x:c r="K197" s="148" t="n">
        <x:f t="shared" si="12">IFERROR(IF(OR(G197="",G197&lt;=0),0,MAX(1,G197-J197)),0)</x:f>
        <x:v>476.2051726027397</x:v>
      </x:c>
      <x:c r="L197" s="148" t="n">
        <x:f t="shared" si="13">IFERROR(IF(OR(G197="",G197&lt;=0,I197="",D197="",$F$1=""),0,IF($F$1&lt;D197,0,IF(K197&lt;=1,0,MIN(G197*I197/12,K197-1)))),0)</x:f>
        <x:v>11.073833333333333</x:v>
      </x:c>
      <x:c r="M197" s="58" t="s">
        <x:v>18</x:v>
      </x:c>
    </x:row>
    <x:row r="198" ht="19.899999618530273" customHeight="1">
      <x:c r="A198" s="53">
        <x:f t="shared" si="14"/>
        <x:v>193</x:v>
      </x:c>
      <x:c r="B198" s="54" t="s">
        <x:v>19</x:v>
      </x:c>
      <x:c r="C198" s="54" t="s">
        <x:v>41</x:v>
      </x:c>
      <x:c r="D198" s="55">
        <x:v>45870</x:v>
      </x:c>
      <x:c r="E198" s="54" t="s">
        <x:v>106</x:v>
      </x:c>
      <x:c r="F198" s="54">
        <x:v>1</x:v>
      </x:c>
      <x:c r="G198" s="148">
        <x:v>193300</x:v>
      </x:c>
      <x:c r="H198" s="148" t="n">
        <x:f t="shared" ref="H198:H261" si="15">IFERROR(IF(OR($F$1="",D198=""),0,MAX(0,$F$1-D198)),0)</x:f>
        <x:v>517</x:v>
      </x:c>
      <x:c r="I198" s="148">
        <x:v>0.15</x:v>
      </x:c>
      <x:c r="J198" s="148" t="n">
        <x:f t="shared" ref="J198:J261" si="16">IFERROR(IF(OR(G198="",G198&lt;=0,I198="",D198="",$F$1=""),0,IF($F$1&lt;D198,0,MIN(MAX(G198-1,0),MAX(0,(G198*I198/365)*H198)))),0)</x:f>
        <x:v>41069.6301369863</x:v>
      </x:c>
      <x:c r="K198" s="148" t="n">
        <x:f t="shared" ref="K198:K261" si="17">IFERROR(IF(OR(G198="",G198&lt;=0),0,MAX(1,G198-J198)),0)</x:f>
        <x:v>152230.3698630137</x:v>
      </x:c>
      <x:c r="L198" s="148" t="n">
        <x:f t="shared" ref="L198:L261" si="18">IFERROR(IF(OR(G198="",G198&lt;=0,I198="",D198="",$F$1=""),0,IF($F$1&lt;D198,0,IF(K198&lt;=1,0,MIN(G198*I198/12,K198-1)))),0)</x:f>
        <x:v>2416.25</x:v>
      </x:c>
      <x:c r="M198" s="58" t="s">
        <x:v>18</x:v>
      </x:c>
    </x:row>
    <x:row r="199" ht="19.899999618530273" customHeight="1">
      <x:c r="A199" s="53">
        <x:f t="shared" si="14"/>
        <x:v>194</x:v>
      </x:c>
      <x:c r="B199" s="54" t="s">
        <x:v>19</x:v>
      </x:c>
      <x:c r="C199" s="54" t="s">
        <x:v>43</x:v>
      </x:c>
      <x:c r="D199" s="55">
        <x:v>45870</x:v>
      </x:c>
      <x:c r="E199" s="54" t="s">
        <x:v>107</x:v>
      </x:c>
      <x:c r="F199" s="54">
        <x:v>1</x:v>
      </x:c>
      <x:c r="G199" s="148">
        <x:v>2272.98</x:v>
      </x:c>
      <x:c r="H199" s="148" t="n">
        <x:f t="shared" si="15">IFERROR(IF(OR($F$1="",D199=""),0,MAX(0,$F$1-D199)),0)</x:f>
        <x:v>517</x:v>
      </x:c>
      <x:c r="I199" s="148">
        <x:v>0.2</x:v>
      </x:c>
      <x:c r="J199" s="148" t="n">
        <x:f t="shared" si="16">IFERROR(IF(OR(G199="",G199&lt;=0,I199="",D199="",$F$1=""),0,IF($F$1&lt;D199,0,MIN(MAX(G199-1,0),MAX(0,(G199*I199/365)*H199)))),0)</x:f>
        <x:v>643.9072109589041</x:v>
      </x:c>
      <x:c r="K199" s="148" t="n">
        <x:f t="shared" si="17">IFERROR(IF(OR(G199="",G199&lt;=0),0,MAX(1,G199-J199)),0)</x:f>
        <x:v>1629.0727890410958</x:v>
      </x:c>
      <x:c r="L199" s="148" t="n">
        <x:f t="shared" si="18">IFERROR(IF(OR(G199="",G199&lt;=0,I199="",D199="",$F$1=""),0,IF($F$1&lt;D199,0,IF(K199&lt;=1,0,MIN(G199*I199/12,K199-1)))),0)</x:f>
        <x:v>37.883</x:v>
      </x:c>
      <x:c r="M199" s="58" t="s">
        <x:v>18</x:v>
      </x:c>
    </x:row>
    <x:row r="200" ht="19.899999618530273" customHeight="1">
      <x:c r="A200" s="53">
        <x:f t="shared" si="14"/>
        <x:v>195</x:v>
      </x:c>
      <x:c r="B200" s="54" t="s">
        <x:v>19</x:v>
      </x:c>
      <x:c r="C200" s="54" t="s">
        <x:v>43</x:v>
      </x:c>
      <x:c r="D200" s="55">
        <x:v>45870</x:v>
      </x:c>
      <x:c r="E200" s="54" t="s">
        <x:v>107</x:v>
      </x:c>
      <x:c r="F200" s="54">
        <x:v>1</x:v>
      </x:c>
      <x:c r="G200" s="148">
        <x:v>2272.98</x:v>
      </x:c>
      <x:c r="H200" s="148" t="n">
        <x:f t="shared" si="15">IFERROR(IF(OR($F$1="",D200=""),0,MAX(0,$F$1-D200)),0)</x:f>
        <x:v>517</x:v>
      </x:c>
      <x:c r="I200" s="148">
        <x:v>0.2</x:v>
      </x:c>
      <x:c r="J200" s="148" t="n">
        <x:f t="shared" si="16">IFERROR(IF(OR(G200="",G200&lt;=0,I200="",D200="",$F$1=""),0,IF($F$1&lt;D200,0,MIN(MAX(G200-1,0),MAX(0,(G200*I200/365)*H200)))),0)</x:f>
        <x:v>643.9072109589041</x:v>
      </x:c>
      <x:c r="K200" s="148" t="n">
        <x:f t="shared" si="17">IFERROR(IF(OR(G200="",G200&lt;=0),0,MAX(1,G200-J200)),0)</x:f>
        <x:v>1629.0727890410958</x:v>
      </x:c>
      <x:c r="L200" s="148" t="n">
        <x:f t="shared" si="18">IFERROR(IF(OR(G200="",G200&lt;=0,I200="",D200="",$F$1=""),0,IF($F$1&lt;D200,0,IF(K200&lt;=1,0,MIN(G200*I200/12,K200-1)))),0)</x:f>
        <x:v>37.883</x:v>
      </x:c>
      <x:c r="M200" s="58" t="s">
        <x:v>18</x:v>
      </x:c>
    </x:row>
    <x:row r="201" ht="19.899999618530273" customHeight="1">
      <x:c r="A201" s="53" t="n">
        <x:f t="shared" ref="A201:A264" si="19">A200+1</x:f>
        <x:v>196</x:v>
      </x:c>
      <x:c r="B201" s="54" t="s">
        <x:v>19</x:v>
      </x:c>
      <x:c r="C201" s="54" t="s">
        <x:v>43</x:v>
      </x:c>
      <x:c r="D201" s="55">
        <x:v>45870</x:v>
      </x:c>
      <x:c r="E201" s="54" t="s">
        <x:v>107</x:v>
      </x:c>
      <x:c r="F201" s="54">
        <x:v>1</x:v>
      </x:c>
      <x:c r="G201" s="148">
        <x:v>2272.98</x:v>
      </x:c>
      <x:c r="H201" s="148" t="n">
        <x:f t="shared" si="15">IFERROR(IF(OR($F$1="",D201=""),0,MAX(0,$F$1-D201)),0)</x:f>
        <x:v>517</x:v>
      </x:c>
      <x:c r="I201" s="148">
        <x:v>0.2</x:v>
      </x:c>
      <x:c r="J201" s="148" t="n">
        <x:f t="shared" si="16">IFERROR(IF(OR(G201="",G201&lt;=0,I201="",D201="",$F$1=""),0,IF($F$1&lt;D201,0,MIN(MAX(G201-1,0),MAX(0,(G201*I201/365)*H201)))),0)</x:f>
        <x:v>643.9072109589041</x:v>
      </x:c>
      <x:c r="K201" s="148" t="n">
        <x:f t="shared" si="17">IFERROR(IF(OR(G201="",G201&lt;=0),0,MAX(1,G201-J201)),0)</x:f>
        <x:v>1629.0727890410958</x:v>
      </x:c>
      <x:c r="L201" s="148" t="n">
        <x:f t="shared" si="18">IFERROR(IF(OR(G201="",G201&lt;=0,I201="",D201="",$F$1=""),0,IF($F$1&lt;D201,0,IF(K201&lt;=1,0,MIN(G201*I201/12,K201-1)))),0)</x:f>
        <x:v>37.883</x:v>
      </x:c>
      <x:c r="M201" s="58" t="s">
        <x:v>18</x:v>
      </x:c>
    </x:row>
    <x:row r="202" ht="19.899999618530273" customHeight="1">
      <x:c r="A202" s="53">
        <x:f t="shared" si="19"/>
        <x:v>197</x:v>
      </x:c>
      <x:c r="B202" s="54" t="s">
        <x:v>19</x:v>
      </x:c>
      <x:c r="C202" s="54" t="s">
        <x:v>43</x:v>
      </x:c>
      <x:c r="D202" s="55">
        <x:v>45870</x:v>
      </x:c>
      <x:c r="E202" s="54" t="s">
        <x:v>107</x:v>
      </x:c>
      <x:c r="F202" s="54">
        <x:v>1</x:v>
      </x:c>
      <x:c r="G202" s="148">
        <x:v>2272.98</x:v>
      </x:c>
      <x:c r="H202" s="148" t="n">
        <x:f t="shared" si="15">IFERROR(IF(OR($F$1="",D202=""),0,MAX(0,$F$1-D202)),0)</x:f>
        <x:v>517</x:v>
      </x:c>
      <x:c r="I202" s="148">
        <x:v>0.2</x:v>
      </x:c>
      <x:c r="J202" s="148" t="n">
        <x:f t="shared" si="16">IFERROR(IF(OR(G202="",G202&lt;=0,I202="",D202="",$F$1=""),0,IF($F$1&lt;D202,0,MIN(MAX(G202-1,0),MAX(0,(G202*I202/365)*H202)))),0)</x:f>
        <x:v>643.9072109589041</x:v>
      </x:c>
      <x:c r="K202" s="148" t="n">
        <x:f t="shared" si="17">IFERROR(IF(OR(G202="",G202&lt;=0),0,MAX(1,G202-J202)),0)</x:f>
        <x:v>1629.0727890410958</x:v>
      </x:c>
      <x:c r="L202" s="148" t="n">
        <x:f t="shared" si="18">IFERROR(IF(OR(G202="",G202&lt;=0,I202="",D202="",$F$1=""),0,IF($F$1&lt;D202,0,IF(K202&lt;=1,0,MIN(G202*I202/12,K202-1)))),0)</x:f>
        <x:v>37.883</x:v>
      </x:c>
      <x:c r="M202" s="58" t="s">
        <x:v>18</x:v>
      </x:c>
    </x:row>
    <x:row r="203" ht="19.899999618530273" customHeight="1">
      <x:c r="A203" s="53">
        <x:f t="shared" si="19"/>
        <x:v>198</x:v>
      </x:c>
      <x:c r="B203" s="54" t="s">
        <x:v>19</x:v>
      </x:c>
      <x:c r="C203" s="54" t="s">
        <x:v>43</x:v>
      </x:c>
      <x:c r="D203" s="55">
        <x:v>45870</x:v>
      </x:c>
      <x:c r="E203" s="54" t="s">
        <x:v>107</x:v>
      </x:c>
      <x:c r="F203" s="54">
        <x:v>1</x:v>
      </x:c>
      <x:c r="G203" s="148">
        <x:v>2272.98</x:v>
      </x:c>
      <x:c r="H203" s="148" t="n">
        <x:f t="shared" si="15">IFERROR(IF(OR($F$1="",D203=""),0,MAX(0,$F$1-D203)),0)</x:f>
        <x:v>517</x:v>
      </x:c>
      <x:c r="I203" s="148">
        <x:v>0.2</x:v>
      </x:c>
      <x:c r="J203" s="148" t="n">
        <x:f t="shared" si="16">IFERROR(IF(OR(G203="",G203&lt;=0,I203="",D203="",$F$1=""),0,IF($F$1&lt;D203,0,MIN(MAX(G203-1,0),MAX(0,(G203*I203/365)*H203)))),0)</x:f>
        <x:v>643.9072109589041</x:v>
      </x:c>
      <x:c r="K203" s="148" t="n">
        <x:f t="shared" si="17">IFERROR(IF(OR(G203="",G203&lt;=0),0,MAX(1,G203-J203)),0)</x:f>
        <x:v>1629.0727890410958</x:v>
      </x:c>
      <x:c r="L203" s="148" t="n">
        <x:f t="shared" si="18">IFERROR(IF(OR(G203="",G203&lt;=0,I203="",D203="",$F$1=""),0,IF($F$1&lt;D203,0,IF(K203&lt;=1,0,MIN(G203*I203/12,K203-1)))),0)</x:f>
        <x:v>37.883</x:v>
      </x:c>
      <x:c r="M203" s="58" t="s">
        <x:v>18</x:v>
      </x:c>
    </x:row>
    <x:row r="204" ht="19.899999618530273" customHeight="1">
      <x:c r="A204" s="53">
        <x:f t="shared" si="19"/>
        <x:v>199</x:v>
      </x:c>
      <x:c r="B204" s="54" t="s">
        <x:v>19</x:v>
      </x:c>
      <x:c r="C204" s="54" t="s">
        <x:v>43</x:v>
      </x:c>
      <x:c r="D204" s="55">
        <x:v>45870</x:v>
      </x:c>
      <x:c r="E204" s="54" t="s">
        <x:v>107</x:v>
      </x:c>
      <x:c r="F204" s="54">
        <x:v>1</x:v>
      </x:c>
      <x:c r="G204" s="148">
        <x:v>2272.98</x:v>
      </x:c>
      <x:c r="H204" s="148" t="n">
        <x:f t="shared" si="15">IFERROR(IF(OR($F$1="",D204=""),0,MAX(0,$F$1-D204)),0)</x:f>
        <x:v>517</x:v>
      </x:c>
      <x:c r="I204" s="148">
        <x:v>0.2</x:v>
      </x:c>
      <x:c r="J204" s="148" t="n">
        <x:f t="shared" si="16">IFERROR(IF(OR(G204="",G204&lt;=0,I204="",D204="",$F$1=""),0,IF($F$1&lt;D204,0,MIN(MAX(G204-1,0),MAX(0,(G204*I204/365)*H204)))),0)</x:f>
        <x:v>643.9072109589041</x:v>
      </x:c>
      <x:c r="K204" s="148" t="n">
        <x:f t="shared" si="17">IFERROR(IF(OR(G204="",G204&lt;=0),0,MAX(1,G204-J204)),0)</x:f>
        <x:v>1629.0727890410958</x:v>
      </x:c>
      <x:c r="L204" s="148" t="n">
        <x:f t="shared" si="18">IFERROR(IF(OR(G204="",G204&lt;=0,I204="",D204="",$F$1=""),0,IF($F$1&lt;D204,0,IF(K204&lt;=1,0,MIN(G204*I204/12,K204-1)))),0)</x:f>
        <x:v>37.883</x:v>
      </x:c>
      <x:c r="M204" s="58" t="s">
        <x:v>18</x:v>
      </x:c>
    </x:row>
    <x:row r="205" ht="19.899999618530273" customHeight="1">
      <x:c r="A205" s="53">
        <x:f t="shared" si="19"/>
        <x:v>200</x:v>
      </x:c>
      <x:c r="B205" s="54" t="s">
        <x:v>19</x:v>
      </x:c>
      <x:c r="C205" s="54" t="s">
        <x:v>43</x:v>
      </x:c>
      <x:c r="D205" s="55">
        <x:v>45870</x:v>
      </x:c>
      <x:c r="E205" s="54" t="s">
        <x:v>107</x:v>
      </x:c>
      <x:c r="F205" s="54">
        <x:v>1</x:v>
      </x:c>
      <x:c r="G205" s="148">
        <x:v>2272.98</x:v>
      </x:c>
      <x:c r="H205" s="148" t="n">
        <x:f t="shared" si="15">IFERROR(IF(OR($F$1="",D205=""),0,MAX(0,$F$1-D205)),0)</x:f>
        <x:v>517</x:v>
      </x:c>
      <x:c r="I205" s="148">
        <x:v>0.2</x:v>
      </x:c>
      <x:c r="J205" s="148" t="n">
        <x:f t="shared" si="16">IFERROR(IF(OR(G205="",G205&lt;=0,I205="",D205="",$F$1=""),0,IF($F$1&lt;D205,0,MIN(MAX(G205-1,0),MAX(0,(G205*I205/365)*H205)))),0)</x:f>
        <x:v>643.9072109589041</x:v>
      </x:c>
      <x:c r="K205" s="148" t="n">
        <x:f t="shared" si="17">IFERROR(IF(OR(G205="",G205&lt;=0),0,MAX(1,G205-J205)),0)</x:f>
        <x:v>1629.0727890410958</x:v>
      </x:c>
      <x:c r="L205" s="148" t="n">
        <x:f t="shared" si="18">IFERROR(IF(OR(G205="",G205&lt;=0,I205="",D205="",$F$1=""),0,IF($F$1&lt;D205,0,IF(K205&lt;=1,0,MIN(G205*I205/12,K205-1)))),0)</x:f>
        <x:v>37.883</x:v>
      </x:c>
      <x:c r="M205" s="58" t="s">
        <x:v>18</x:v>
      </x:c>
    </x:row>
    <x:row r="206" ht="19.899999618530273" customHeight="1">
      <x:c r="A206" s="53">
        <x:f t="shared" si="19"/>
        <x:v>201</x:v>
      </x:c>
      <x:c r="B206" s="54" t="s">
        <x:v>19</x:v>
      </x:c>
      <x:c r="C206" s="54" t="s">
        <x:v>43</x:v>
      </x:c>
      <x:c r="D206" s="55">
        <x:v>45870</x:v>
      </x:c>
      <x:c r="E206" s="54" t="s">
        <x:v>107</x:v>
      </x:c>
      <x:c r="F206" s="54">
        <x:v>1</x:v>
      </x:c>
      <x:c r="G206" s="148">
        <x:v>2272.98</x:v>
      </x:c>
      <x:c r="H206" s="148" t="n">
        <x:f t="shared" si="15">IFERROR(IF(OR($F$1="",D206=""),0,MAX(0,$F$1-D206)),0)</x:f>
        <x:v>517</x:v>
      </x:c>
      <x:c r="I206" s="148">
        <x:v>0.2</x:v>
      </x:c>
      <x:c r="J206" s="148" t="n">
        <x:f t="shared" si="16">IFERROR(IF(OR(G206="",G206&lt;=0,I206="",D206="",$F$1=""),0,IF($F$1&lt;D206,0,MIN(MAX(G206-1,0),MAX(0,(G206*I206/365)*H206)))),0)</x:f>
        <x:v>643.9072109589041</x:v>
      </x:c>
      <x:c r="K206" s="148" t="n">
        <x:f t="shared" si="17">IFERROR(IF(OR(G206="",G206&lt;=0),0,MAX(1,G206-J206)),0)</x:f>
        <x:v>1629.0727890410958</x:v>
      </x:c>
      <x:c r="L206" s="148" t="n">
        <x:f t="shared" si="18">IFERROR(IF(OR(G206="",G206&lt;=0,I206="",D206="",$F$1=""),0,IF($F$1&lt;D206,0,IF(K206&lt;=1,0,MIN(G206*I206/12,K206-1)))),0)</x:f>
        <x:v>37.883</x:v>
      </x:c>
      <x:c r="M206" s="58" t="s">
        <x:v>18</x:v>
      </x:c>
    </x:row>
    <x:row r="207" ht="19.899999618530273" customHeight="1">
      <x:c r="A207" s="53">
        <x:f t="shared" si="19"/>
        <x:v>202</x:v>
      </x:c>
      <x:c r="B207" s="54" t="s">
        <x:v>19</x:v>
      </x:c>
      <x:c r="C207" s="54" t="s">
        <x:v>43</x:v>
      </x:c>
      <x:c r="D207" s="55">
        <x:v>45870</x:v>
      </x:c>
      <x:c r="E207" s="54" t="s">
        <x:v>108</x:v>
      </x:c>
      <x:c r="F207" s="54">
        <x:v>1</x:v>
      </x:c>
      <x:c r="G207" s="148">
        <x:v>1925.17</x:v>
      </x:c>
      <x:c r="H207" s="148" t="n">
        <x:f t="shared" si="15">IFERROR(IF(OR($F$1="",D207=""),0,MAX(0,$F$1-D207)),0)</x:f>
        <x:v>517</x:v>
      </x:c>
      <x:c r="I207" s="148">
        <x:v>0.2</x:v>
      </x:c>
      <x:c r="J207" s="148" t="n">
        <x:f t="shared" si="16">IFERROR(IF(OR(G207="",G207&lt;=0,I207="",D207="",$F$1=""),0,IF($F$1&lt;D207,0,MIN(MAX(G207-1,0),MAX(0,(G207*I207/365)*H207)))),0)</x:f>
        <x:v>545.3769260273973</x:v>
      </x:c>
      <x:c r="K207" s="148" t="n">
        <x:f t="shared" si="17">IFERROR(IF(OR(G207="",G207&lt;=0),0,MAX(1,G207-J207)),0)</x:f>
        <x:v>1379.7930739726028</x:v>
      </x:c>
      <x:c r="L207" s="148" t="n">
        <x:f t="shared" si="18">IFERROR(IF(OR(G207="",G207&lt;=0,I207="",D207="",$F$1=""),0,IF($F$1&lt;D207,0,IF(K207&lt;=1,0,MIN(G207*I207/12,K207-1)))),0)</x:f>
        <x:v>32.08616666666667</x:v>
      </x:c>
      <x:c r="M207" s="58" t="s">
        <x:v>18</x:v>
      </x:c>
    </x:row>
    <x:row r="208" ht="19.899999618530273" customHeight="1">
      <x:c r="A208" s="53">
        <x:f t="shared" si="19"/>
        <x:v>203</x:v>
      </x:c>
      <x:c r="B208" s="54" t="s">
        <x:v>19</x:v>
      </x:c>
      <x:c r="C208" s="54" t="s">
        <x:v>43</x:v>
      </x:c>
      <x:c r="D208" s="55">
        <x:v>45870</x:v>
      </x:c>
      <x:c r="E208" s="54" t="s">
        <x:v>108</x:v>
      </x:c>
      <x:c r="F208" s="54">
        <x:v>1</x:v>
      </x:c>
      <x:c r="G208" s="148">
        <x:v>1925.17</x:v>
      </x:c>
      <x:c r="H208" s="148" t="n">
        <x:f t="shared" si="15">IFERROR(IF(OR($F$1="",D208=""),0,MAX(0,$F$1-D208)),0)</x:f>
        <x:v>517</x:v>
      </x:c>
      <x:c r="I208" s="148">
        <x:v>0.2</x:v>
      </x:c>
      <x:c r="J208" s="148" t="n">
        <x:f t="shared" si="16">IFERROR(IF(OR(G208="",G208&lt;=0,I208="",D208="",$F$1=""),0,IF($F$1&lt;D208,0,MIN(MAX(G208-1,0),MAX(0,(G208*I208/365)*H208)))),0)</x:f>
        <x:v>545.3769260273973</x:v>
      </x:c>
      <x:c r="K208" s="148" t="n">
        <x:f t="shared" si="17">IFERROR(IF(OR(G208="",G208&lt;=0),0,MAX(1,G208-J208)),0)</x:f>
        <x:v>1379.7930739726028</x:v>
      </x:c>
      <x:c r="L208" s="148" t="n">
        <x:f t="shared" si="18">IFERROR(IF(OR(G208="",G208&lt;=0,I208="",D208="",$F$1=""),0,IF($F$1&lt;D208,0,IF(K208&lt;=1,0,MIN(G208*I208/12,K208-1)))),0)</x:f>
        <x:v>32.08616666666667</x:v>
      </x:c>
      <x:c r="M208" s="58" t="s">
        <x:v>18</x:v>
      </x:c>
    </x:row>
    <x:row r="209" ht="19.899999618530273" customHeight="1">
      <x:c r="A209" s="53">
        <x:f t="shared" si="19"/>
        <x:v>204</x:v>
      </x:c>
      <x:c r="B209" s="54" t="s">
        <x:v>19</x:v>
      </x:c>
      <x:c r="C209" s="54" t="s">
        <x:v>21</x:v>
      </x:c>
      <x:c r="D209" s="55">
        <x:v>45870</x:v>
      </x:c>
      <x:c r="E209" s="54" t="s">
        <x:v>109</x:v>
      </x:c>
      <x:c r="F209" s="54">
        <x:v>1</x:v>
      </x:c>
      <x:c r="G209" s="148">
        <x:v>10000</x:v>
      </x:c>
      <x:c r="H209" s="148" t="n">
        <x:f t="shared" si="15">IFERROR(IF(OR($F$1="",D209=""),0,MAX(0,$F$1-D209)),0)</x:f>
        <x:v>517</x:v>
      </x:c>
      <x:c r="I209" s="148">
        <x:v>0.33329999999999999</x:v>
      </x:c>
      <x:c r="J209" s="148" t="n">
        <x:f t="shared" si="16">IFERROR(IF(OR(G209="",G209&lt;=0,I209="",D209="",$F$1=""),0,IF($F$1&lt;D209,0,MIN(MAX(G209-1,0),MAX(0,(G209*I209/365)*H209)))),0)</x:f>
        <x:v>4720.989041095891</x:v>
      </x:c>
      <x:c r="K209" s="148" t="n">
        <x:f t="shared" si="17">IFERROR(IF(OR(G209="",G209&lt;=0),0,MAX(1,G209-J209)),0)</x:f>
        <x:v>5279.010958904109</x:v>
      </x:c>
      <x:c r="L209" s="148" t="n">
        <x:f t="shared" si="18">IFERROR(IF(OR(G209="",G209&lt;=0,I209="",D209="",$F$1=""),0,IF($F$1&lt;D209,0,IF(K209&lt;=1,0,MIN(G209*I209/12,K209-1)))),0)</x:f>
        <x:v>277.75</x:v>
      </x:c>
      <x:c r="M209" s="58" t="s">
        <x:v>18</x:v>
      </x:c>
    </x:row>
    <x:row r="210" ht="19.899999618530273" customHeight="1">
      <x:c r="A210" s="53">
        <x:f t="shared" si="19"/>
        <x:v>205</x:v>
      </x:c>
      <x:c r="B210" s="54" t="s">
        <x:v>110</x:v>
      </x:c>
      <x:c r="C210" s="54" t="s">
        <x:v>16</x:v>
      </x:c>
      <x:c r="D210" s="55">
        <x:v>45757</x:v>
      </x:c>
      <x:c r="E210" s="54" t="s">
        <x:v>111</x:v>
      </x:c>
      <x:c r="F210" s="54">
        <x:v>1</x:v>
      </x:c>
      <x:c r="G210" s="148">
        <x:v>686.58</x:v>
      </x:c>
      <x:c r="H210" s="148" t="n">
        <x:f t="shared" si="15">IFERROR(IF(OR($F$1="",D210=""),0,MAX(0,$F$1-D210)),0)</x:f>
        <x:v>630</x:v>
      </x:c>
      <x:c r="I210" s="148">
        <x:v>0.2</x:v>
      </x:c>
      <x:c r="J210" s="148" t="n">
        <x:f t="shared" si="16">IFERROR(IF(OR(G210="",G210&lt;=0,I210="",D210="",$F$1=""),0,IF($F$1&lt;D210,0,MIN(MAX(G210-1,0),MAX(0,(G210*I210/365)*H210)))),0)</x:f>
        <x:v>237.0111780821918</x:v>
      </x:c>
      <x:c r="K210" s="148" t="n">
        <x:f t="shared" si="17">IFERROR(IF(OR(G210="",G210&lt;=0),0,MAX(1,G210-J210)),0)</x:f>
        <x:v>449.56882191780824</x:v>
      </x:c>
      <x:c r="L210" s="148" t="n">
        <x:f t="shared" si="18">IFERROR(IF(OR(G210="",G210&lt;=0,I210="",D210="",$F$1=""),0,IF($F$1&lt;D210,0,IF(K210&lt;=1,0,MIN(G210*I210/12,K210-1)))),0)</x:f>
        <x:v>11.443</x:v>
      </x:c>
      <x:c r="M210" s="58" t="s">
        <x:v>18</x:v>
      </x:c>
    </x:row>
    <x:row r="211" ht="19.899999618530273" customHeight="1">
      <x:c r="A211" s="53">
        <x:f t="shared" si="19"/>
        <x:v>206</x:v>
      </x:c>
      <x:c r="B211" s="54" t="s">
        <x:v>110</x:v>
      </x:c>
      <x:c r="C211" s="54" t="s">
        <x:v>21</x:v>
      </x:c>
      <x:c r="D211" s="55">
        <x:v>45778</x:v>
      </x:c>
      <x:c r="E211" s="54" t="s">
        <x:v>112</x:v>
      </x:c>
      <x:c r="F211" s="54">
        <x:v>1</x:v>
      </x:c>
      <x:c r="G211" s="148">
        <x:v>9000</x:v>
      </x:c>
      <x:c r="H211" s="148" t="n">
        <x:f t="shared" si="15">IFERROR(IF(OR($F$1="",D211=""),0,MAX(0,$F$1-D211)),0)</x:f>
        <x:v>609</x:v>
      </x:c>
      <x:c r="I211" s="148">
        <x:v>0.33329999999999999</x:v>
      </x:c>
      <x:c r="J211" s="148" t="n">
        <x:f t="shared" si="16">IFERROR(IF(OR(G211="",G211&lt;=0,I211="",D211="",$F$1=""),0,IF($F$1&lt;D211,0,MIN(MAX(G211-1,0),MAX(0,(G211*I211/365)*H211)))),0)</x:f>
        <x:v>5004.978904109588</x:v>
      </x:c>
      <x:c r="K211" s="148" t="n">
        <x:f t="shared" si="17">IFERROR(IF(OR(G211="",G211&lt;=0),0,MAX(1,G211-J211)),0)</x:f>
        <x:v>3995.0210958904117</x:v>
      </x:c>
      <x:c r="L211" s="148" t="n">
        <x:f t="shared" si="18">IFERROR(IF(OR(G211="",G211&lt;=0,I211="",D211="",$F$1=""),0,IF($F$1&lt;D211,0,IF(K211&lt;=1,0,MIN(G211*I211/12,K211-1)))),0)</x:f>
        <x:v>249.975</x:v>
      </x:c>
      <x:c r="M211" s="58" t="s">
        <x:v>18</x:v>
      </x:c>
    </x:row>
    <x:row r="212" ht="19.899999618530273" customHeight="1">
      <x:c r="A212" s="53">
        <x:f t="shared" si="19"/>
        <x:v>207</x:v>
      </x:c>
      <x:c r="B212" s="54" t="s">
        <x:v>110</x:v>
      </x:c>
      <x:c r="C212" s="54" t="s">
        <x:v>27</x:v>
      </x:c>
      <x:c r="D212" s="55">
        <x:v>45839</x:v>
      </x:c>
      <x:c r="E212" s="54" t="s">
        <x:v>113</x:v>
      </x:c>
      <x:c r="F212" s="54">
        <x:v>1</x:v>
      </x:c>
      <x:c r="G212" s="148">
        <x:v>160</x:v>
      </x:c>
      <x:c r="H212" s="148" t="n">
        <x:f t="shared" si="15">IFERROR(IF(OR($F$1="",D212=""),0,MAX(0,$F$1-D212)),0)</x:f>
        <x:v>548</x:v>
      </x:c>
      <x:c r="I212" s="148">
        <x:v>0.33329999999999999</x:v>
      </x:c>
      <x:c r="J212" s="148" t="n">
        <x:f t="shared" si="16">IFERROR(IF(OR(G212="",G212&lt;=0,I212="",D212="",$F$1=""),0,IF($F$1&lt;D212,0,MIN(MAX(G212-1,0),MAX(0,(G212*I212/365)*H212)))),0)</x:f>
        <x:v>80.0650520547945</x:v>
      </x:c>
      <x:c r="K212" s="148" t="n">
        <x:f t="shared" si="17">IFERROR(IF(OR(G212="",G212&lt;=0),0,MAX(1,G212-J212)),0)</x:f>
        <x:v>79.9349479452055</x:v>
      </x:c>
      <x:c r="L212" s="148" t="n">
        <x:f t="shared" si="18">IFERROR(IF(OR(G212="",G212&lt;=0,I212="",D212="",$F$1=""),0,IF($F$1&lt;D212,0,IF(K212&lt;=1,0,MIN(G212*I212/12,K212-1)))),0)</x:f>
        <x:v>4.444</x:v>
      </x:c>
      <x:c r="M212" s="58" t="s">
        <x:v>18</x:v>
      </x:c>
    </x:row>
    <x:row r="213" ht="19.899999618530273" customHeight="1">
      <x:c r="A213" s="53">
        <x:f t="shared" si="19"/>
        <x:v>208</x:v>
      </x:c>
      <x:c r="B213" s="54" t="s">
        <x:v>110</x:v>
      </x:c>
      <x:c r="C213" s="54" t="s">
        <x:v>27</x:v>
      </x:c>
      <x:c r="D213" s="55">
        <x:v>45839</x:v>
      </x:c>
      <x:c r="E213" s="54" t="s">
        <x:v>113</x:v>
      </x:c>
      <x:c r="F213" s="54">
        <x:v>1</x:v>
      </x:c>
      <x:c r="G213" s="148">
        <x:v>160</x:v>
      </x:c>
      <x:c r="H213" s="148" t="n">
        <x:f t="shared" si="15">IFERROR(IF(OR($F$1="",D213=""),0,MAX(0,$F$1-D213)),0)</x:f>
        <x:v>548</x:v>
      </x:c>
      <x:c r="I213" s="148">
        <x:v>0.33329999999999999</x:v>
      </x:c>
      <x:c r="J213" s="148" t="n">
        <x:f t="shared" si="16">IFERROR(IF(OR(G213="",G213&lt;=0,I213="",D213="",$F$1=""),0,IF($F$1&lt;D213,0,MIN(MAX(G213-1,0),MAX(0,(G213*I213/365)*H213)))),0)</x:f>
        <x:v>80.0650520547945</x:v>
      </x:c>
      <x:c r="K213" s="148" t="n">
        <x:f t="shared" si="17">IFERROR(IF(OR(G213="",G213&lt;=0),0,MAX(1,G213-J213)),0)</x:f>
        <x:v>79.9349479452055</x:v>
      </x:c>
      <x:c r="L213" s="148" t="n">
        <x:f t="shared" si="18">IFERROR(IF(OR(G213="",G213&lt;=0,I213="",D213="",$F$1=""),0,IF($F$1&lt;D213,0,IF(K213&lt;=1,0,MIN(G213*I213/12,K213-1)))),0)</x:f>
        <x:v>4.444</x:v>
      </x:c>
      <x:c r="M213" s="58" t="s">
        <x:v>18</x:v>
      </x:c>
    </x:row>
    <x:row r="214" ht="19.899999618530273" customHeight="1">
      <x:c r="A214" s="53">
        <x:f t="shared" si="19"/>
        <x:v>209</x:v>
      </x:c>
      <x:c r="B214" s="54" t="s">
        <x:v>110</x:v>
      </x:c>
      <x:c r="C214" s="54" t="s">
        <x:v>27</x:v>
      </x:c>
      <x:c r="D214" s="55">
        <x:v>45839</x:v>
      </x:c>
      <x:c r="E214" s="54" t="s">
        <x:v>113</x:v>
      </x:c>
      <x:c r="F214" s="54">
        <x:v>1</x:v>
      </x:c>
      <x:c r="G214" s="148">
        <x:v>160</x:v>
      </x:c>
      <x:c r="H214" s="148" t="n">
        <x:f t="shared" si="15">IFERROR(IF(OR($F$1="",D214=""),0,MAX(0,$F$1-D214)),0)</x:f>
        <x:v>548</x:v>
      </x:c>
      <x:c r="I214" s="148">
        <x:v>0.33329999999999999</x:v>
      </x:c>
      <x:c r="J214" s="148" t="n">
        <x:f t="shared" si="16">IFERROR(IF(OR(G214="",G214&lt;=0,I214="",D214="",$F$1=""),0,IF($F$1&lt;D214,0,MIN(MAX(G214-1,0),MAX(0,(G214*I214/365)*H214)))),0)</x:f>
        <x:v>80.0650520547945</x:v>
      </x:c>
      <x:c r="K214" s="148" t="n">
        <x:f t="shared" si="17">IFERROR(IF(OR(G214="",G214&lt;=0),0,MAX(1,G214-J214)),0)</x:f>
        <x:v>79.9349479452055</x:v>
      </x:c>
      <x:c r="L214" s="148" t="n">
        <x:f t="shared" si="18">IFERROR(IF(OR(G214="",G214&lt;=0,I214="",D214="",$F$1=""),0,IF($F$1&lt;D214,0,IF(K214&lt;=1,0,MIN(G214*I214/12,K214-1)))),0)</x:f>
        <x:v>4.444</x:v>
      </x:c>
      <x:c r="M214" s="58" t="s">
        <x:v>18</x:v>
      </x:c>
    </x:row>
    <x:row r="215" ht="19.899999618530273" customHeight="1">
      <x:c r="A215" s="53">
        <x:f t="shared" si="19"/>
        <x:v>210</x:v>
      </x:c>
      <x:c r="B215" s="54" t="s">
        <x:v>110</x:v>
      </x:c>
      <x:c r="C215" s="54" t="s">
        <x:v>27</x:v>
      </x:c>
      <x:c r="D215" s="55">
        <x:v>45839</x:v>
      </x:c>
      <x:c r="E215" s="54" t="s">
        <x:v>113</x:v>
      </x:c>
      <x:c r="F215" s="54">
        <x:v>1</x:v>
      </x:c>
      <x:c r="G215" s="148">
        <x:v>160</x:v>
      </x:c>
      <x:c r="H215" s="148" t="n">
        <x:f t="shared" si="15">IFERROR(IF(OR($F$1="",D215=""),0,MAX(0,$F$1-D215)),0)</x:f>
        <x:v>548</x:v>
      </x:c>
      <x:c r="I215" s="148">
        <x:v>0.33329999999999999</x:v>
      </x:c>
      <x:c r="J215" s="148" t="n">
        <x:f t="shared" si="16">IFERROR(IF(OR(G215="",G215&lt;=0,I215="",D215="",$F$1=""),0,IF($F$1&lt;D215,0,MIN(MAX(G215-1,0),MAX(0,(G215*I215/365)*H215)))),0)</x:f>
        <x:v>80.0650520547945</x:v>
      </x:c>
      <x:c r="K215" s="148" t="n">
        <x:f t="shared" si="17">IFERROR(IF(OR(G215="",G215&lt;=0),0,MAX(1,G215-J215)),0)</x:f>
        <x:v>79.9349479452055</x:v>
      </x:c>
      <x:c r="L215" s="148" t="n">
        <x:f t="shared" si="18">IFERROR(IF(OR(G215="",G215&lt;=0,I215="",D215="",$F$1=""),0,IF($F$1&lt;D215,0,IF(K215&lt;=1,0,MIN(G215*I215/12,K215-1)))),0)</x:f>
        <x:v>4.444</x:v>
      </x:c>
      <x:c r="M215" s="58" t="s">
        <x:v>18</x:v>
      </x:c>
    </x:row>
    <x:row r="216" ht="19.899999618530273" customHeight="1">
      <x:c r="A216" s="53">
        <x:f t="shared" si="19"/>
        <x:v>211</x:v>
      </x:c>
      <x:c r="B216" s="54" t="s">
        <x:v>110</x:v>
      </x:c>
      <x:c r="C216" s="54" t="s">
        <x:v>27</x:v>
      </x:c>
      <x:c r="D216" s="55">
        <x:v>45839</x:v>
      </x:c>
      <x:c r="E216" s="54" t="s">
        <x:v>114</x:v>
      </x:c>
      <x:c r="F216" s="54">
        <x:v>1</x:v>
      </x:c>
      <x:c r="G216" s="148">
        <x:v>160</x:v>
      </x:c>
      <x:c r="H216" s="148" t="n">
        <x:f t="shared" si="15">IFERROR(IF(OR($F$1="",D216=""),0,MAX(0,$F$1-D216)),0)</x:f>
        <x:v>548</x:v>
      </x:c>
      <x:c r="I216" s="148">
        <x:v>0.33329999999999999</x:v>
      </x:c>
      <x:c r="J216" s="148" t="n">
        <x:f t="shared" si="16">IFERROR(IF(OR(G216="",G216&lt;=0,I216="",D216="",$F$1=""),0,IF($F$1&lt;D216,0,MIN(MAX(G216-1,0),MAX(0,(G216*I216/365)*H216)))),0)</x:f>
        <x:v>80.0650520547945</x:v>
      </x:c>
      <x:c r="K216" s="148" t="n">
        <x:f t="shared" si="17">IFERROR(IF(OR(G216="",G216&lt;=0),0,MAX(1,G216-J216)),0)</x:f>
        <x:v>79.9349479452055</x:v>
      </x:c>
      <x:c r="L216" s="148" t="n">
        <x:f t="shared" si="18">IFERROR(IF(OR(G216="",G216&lt;=0,I216="",D216="",$F$1=""),0,IF($F$1&lt;D216,0,IF(K216&lt;=1,0,MIN(G216*I216/12,K216-1)))),0)</x:f>
        <x:v>4.444</x:v>
      </x:c>
      <x:c r="M216" s="58" t="s">
        <x:v>18</x:v>
      </x:c>
    </x:row>
    <x:row r="217" ht="19.899999618530273" customHeight="1">
      <x:c r="A217" s="53">
        <x:f t="shared" si="19"/>
        <x:v>212</x:v>
      </x:c>
      <x:c r="B217" s="54" t="s">
        <x:v>110</x:v>
      </x:c>
      <x:c r="C217" s="54" t="s">
        <x:v>27</x:v>
      </x:c>
      <x:c r="D217" s="55">
        <x:v>45839</x:v>
      </x:c>
      <x:c r="E217" s="54" t="s">
        <x:v>114</x:v>
      </x:c>
      <x:c r="F217" s="54">
        <x:v>1</x:v>
      </x:c>
      <x:c r="G217" s="148">
        <x:v>160</x:v>
      </x:c>
      <x:c r="H217" s="148" t="n">
        <x:f t="shared" si="15">IFERROR(IF(OR($F$1="",D217=""),0,MAX(0,$F$1-D217)),0)</x:f>
        <x:v>548</x:v>
      </x:c>
      <x:c r="I217" s="148">
        <x:v>0.33329999999999999</x:v>
      </x:c>
      <x:c r="J217" s="148" t="n">
        <x:f t="shared" si="16">IFERROR(IF(OR(G217="",G217&lt;=0,I217="",D217="",$F$1=""),0,IF($F$1&lt;D217,0,MIN(MAX(G217-1,0),MAX(0,(G217*I217/365)*H217)))),0)</x:f>
        <x:v>80.0650520547945</x:v>
      </x:c>
      <x:c r="K217" s="148" t="n">
        <x:f t="shared" si="17">IFERROR(IF(OR(G217="",G217&lt;=0),0,MAX(1,G217-J217)),0)</x:f>
        <x:v>79.9349479452055</x:v>
      </x:c>
      <x:c r="L217" s="148" t="n">
        <x:f t="shared" si="18">IFERROR(IF(OR(G217="",G217&lt;=0,I217="",D217="",$F$1=""),0,IF($F$1&lt;D217,0,IF(K217&lt;=1,0,MIN(G217*I217/12,K217-1)))),0)</x:f>
        <x:v>4.444</x:v>
      </x:c>
      <x:c r="M217" s="58" t="s">
        <x:v>18</x:v>
      </x:c>
    </x:row>
    <x:row r="218" ht="19.899999618530273" customHeight="1">
      <x:c r="A218" s="53">
        <x:f t="shared" si="19"/>
        <x:v>213</x:v>
      </x:c>
      <x:c r="B218" s="54" t="s">
        <x:v>110</x:v>
      </x:c>
      <x:c r="C218" s="54" t="s">
        <x:v>27</x:v>
      </x:c>
      <x:c r="D218" s="55">
        <x:v>45839</x:v>
      </x:c>
      <x:c r="E218" s="54" t="s">
        <x:v>114</x:v>
      </x:c>
      <x:c r="F218" s="54">
        <x:v>1</x:v>
      </x:c>
      <x:c r="G218" s="148">
        <x:v>160</x:v>
      </x:c>
      <x:c r="H218" s="148" t="n">
        <x:f t="shared" si="15">IFERROR(IF(OR($F$1="",D218=""),0,MAX(0,$F$1-D218)),0)</x:f>
        <x:v>548</x:v>
      </x:c>
      <x:c r="I218" s="148">
        <x:v>0.33329999999999999</x:v>
      </x:c>
      <x:c r="J218" s="148" t="n">
        <x:f t="shared" si="16">IFERROR(IF(OR(G218="",G218&lt;=0,I218="",D218="",$F$1=""),0,IF($F$1&lt;D218,0,MIN(MAX(G218-1,0),MAX(0,(G218*I218/365)*H218)))),0)</x:f>
        <x:v>80.0650520547945</x:v>
      </x:c>
      <x:c r="K218" s="148" t="n">
        <x:f t="shared" si="17">IFERROR(IF(OR(G218="",G218&lt;=0),0,MAX(1,G218-J218)),0)</x:f>
        <x:v>79.9349479452055</x:v>
      </x:c>
      <x:c r="L218" s="148" t="n">
        <x:f t="shared" si="18">IFERROR(IF(OR(G218="",G218&lt;=0,I218="",D218="",$F$1=""),0,IF($F$1&lt;D218,0,IF(K218&lt;=1,0,MIN(G218*I218/12,K218-1)))),0)</x:f>
        <x:v>4.444</x:v>
      </x:c>
      <x:c r="M218" s="58" t="s">
        <x:v>18</x:v>
      </x:c>
    </x:row>
    <x:row r="219" ht="19.899999618530273" customHeight="1">
      <x:c r="A219" s="53">
        <x:f t="shared" si="19"/>
        <x:v>214</x:v>
      </x:c>
      <x:c r="B219" s="54" t="s">
        <x:v>110</x:v>
      </x:c>
      <x:c r="C219" s="54" t="s">
        <x:v>27</x:v>
      </x:c>
      <x:c r="D219" s="55">
        <x:v>45839</x:v>
      </x:c>
      <x:c r="E219" s="54" t="s">
        <x:v>114</x:v>
      </x:c>
      <x:c r="F219" s="54">
        <x:v>1</x:v>
      </x:c>
      <x:c r="G219" s="148">
        <x:v>160</x:v>
      </x:c>
      <x:c r="H219" s="148" t="n">
        <x:f t="shared" si="15">IFERROR(IF(OR($F$1="",D219=""),0,MAX(0,$F$1-D219)),0)</x:f>
        <x:v>548</x:v>
      </x:c>
      <x:c r="I219" s="148">
        <x:v>0.33329999999999999</x:v>
      </x:c>
      <x:c r="J219" s="148" t="n">
        <x:f t="shared" si="16">IFERROR(IF(OR(G219="",G219&lt;=0,I219="",D219="",$F$1=""),0,IF($F$1&lt;D219,0,MIN(MAX(G219-1,0),MAX(0,(G219*I219/365)*H219)))),0)</x:f>
        <x:v>80.0650520547945</x:v>
      </x:c>
      <x:c r="K219" s="148" t="n">
        <x:f t="shared" si="17">IFERROR(IF(OR(G219="",G219&lt;=0),0,MAX(1,G219-J219)),0)</x:f>
        <x:v>79.9349479452055</x:v>
      </x:c>
      <x:c r="L219" s="148" t="n">
        <x:f t="shared" si="18">IFERROR(IF(OR(G219="",G219&lt;=0,I219="",D219="",$F$1=""),0,IF($F$1&lt;D219,0,IF(K219&lt;=1,0,MIN(G219*I219/12,K219-1)))),0)</x:f>
        <x:v>4.444</x:v>
      </x:c>
      <x:c r="M219" s="58" t="s">
        <x:v>18</x:v>
      </x:c>
    </x:row>
    <x:row r="220" ht="19.899999618530273" customHeight="1">
      <x:c r="A220" s="53">
        <x:f t="shared" si="19"/>
        <x:v>215</x:v>
      </x:c>
      <x:c r="B220" s="54" t="s">
        <x:v>110</x:v>
      </x:c>
      <x:c r="C220" s="54" t="s">
        <x:v>27</x:v>
      </x:c>
      <x:c r="D220" s="55">
        <x:v>45839</x:v>
      </x:c>
      <x:c r="E220" s="54" t="s">
        <x:v>114</x:v>
      </x:c>
      <x:c r="F220" s="54">
        <x:v>1</x:v>
      </x:c>
      <x:c r="G220" s="148">
        <x:v>160</x:v>
      </x:c>
      <x:c r="H220" s="148" t="n">
        <x:f t="shared" si="15">IFERROR(IF(OR($F$1="",D220=""),0,MAX(0,$F$1-D220)),0)</x:f>
        <x:v>548</x:v>
      </x:c>
      <x:c r="I220" s="148">
        <x:v>0.33329999999999999</x:v>
      </x:c>
      <x:c r="J220" s="148" t="n">
        <x:f t="shared" si="16">IFERROR(IF(OR(G220="",G220&lt;=0,I220="",D220="",$F$1=""),0,IF($F$1&lt;D220,0,MIN(MAX(G220-1,0),MAX(0,(G220*I220/365)*H220)))),0)</x:f>
        <x:v>80.0650520547945</x:v>
      </x:c>
      <x:c r="K220" s="148" t="n">
        <x:f t="shared" si="17">IFERROR(IF(OR(G220="",G220&lt;=0),0,MAX(1,G220-J220)),0)</x:f>
        <x:v>79.9349479452055</x:v>
      </x:c>
      <x:c r="L220" s="148" t="n">
        <x:f t="shared" si="18">IFERROR(IF(OR(G220="",G220&lt;=0,I220="",D220="",$F$1=""),0,IF($F$1&lt;D220,0,IF(K220&lt;=1,0,MIN(G220*I220/12,K220-1)))),0)</x:f>
        <x:v>4.444</x:v>
      </x:c>
      <x:c r="M220" s="58" t="s">
        <x:v>18</x:v>
      </x:c>
    </x:row>
    <x:row r="221" ht="19.899999618530273" customHeight="1">
      <x:c r="A221" s="53">
        <x:f t="shared" si="19"/>
        <x:v>216</x:v>
      </x:c>
      <x:c r="B221" s="54" t="s">
        <x:v>110</x:v>
      </x:c>
      <x:c r="C221" s="54" t="s">
        <x:v>27</x:v>
      </x:c>
      <x:c r="D221" s="55">
        <x:v>45839</x:v>
      </x:c>
      <x:c r="E221" s="54" t="s">
        <x:v>114</x:v>
      </x:c>
      <x:c r="F221" s="54">
        <x:v>1</x:v>
      </x:c>
      <x:c r="G221" s="148">
        <x:v>160</x:v>
      </x:c>
      <x:c r="H221" s="148" t="n">
        <x:f t="shared" si="15">IFERROR(IF(OR($F$1="",D221=""),0,MAX(0,$F$1-D221)),0)</x:f>
        <x:v>548</x:v>
      </x:c>
      <x:c r="I221" s="148">
        <x:v>0.33329999999999999</x:v>
      </x:c>
      <x:c r="J221" s="148" t="n">
        <x:f t="shared" si="16">IFERROR(IF(OR(G221="",G221&lt;=0,I221="",D221="",$F$1=""),0,IF($F$1&lt;D221,0,MIN(MAX(G221-1,0),MAX(0,(G221*I221/365)*H221)))),0)</x:f>
        <x:v>80.0650520547945</x:v>
      </x:c>
      <x:c r="K221" s="148" t="n">
        <x:f t="shared" si="17">IFERROR(IF(OR(G221="",G221&lt;=0),0,MAX(1,G221-J221)),0)</x:f>
        <x:v>79.9349479452055</x:v>
      </x:c>
      <x:c r="L221" s="148" t="n">
        <x:f t="shared" si="18">IFERROR(IF(OR(G221="",G221&lt;=0,I221="",D221="",$F$1=""),0,IF($F$1&lt;D221,0,IF(K221&lt;=1,0,MIN(G221*I221/12,K221-1)))),0)</x:f>
        <x:v>4.444</x:v>
      </x:c>
      <x:c r="M221" s="58" t="s">
        <x:v>18</x:v>
      </x:c>
    </x:row>
    <x:row r="222" ht="19.899999618530273" customHeight="1">
      <x:c r="A222" s="53">
        <x:f t="shared" si="19"/>
        <x:v>217</x:v>
      </x:c>
      <x:c r="B222" s="54" t="s">
        <x:v>110</x:v>
      </x:c>
      <x:c r="C222" s="54" t="s">
        <x:v>27</x:v>
      </x:c>
      <x:c r="D222" s="55">
        <x:v>45839</x:v>
      </x:c>
      <x:c r="E222" s="54" t="s">
        <x:v>114</x:v>
      </x:c>
      <x:c r="F222" s="54">
        <x:v>1</x:v>
      </x:c>
      <x:c r="G222" s="148">
        <x:v>160</x:v>
      </x:c>
      <x:c r="H222" s="148" t="n">
        <x:f t="shared" si="15">IFERROR(IF(OR($F$1="",D222=""),0,MAX(0,$F$1-D222)),0)</x:f>
        <x:v>548</x:v>
      </x:c>
      <x:c r="I222" s="148">
        <x:v>0.33329999999999999</x:v>
      </x:c>
      <x:c r="J222" s="148" t="n">
        <x:f t="shared" si="16">IFERROR(IF(OR(G222="",G222&lt;=0,I222="",D222="",$F$1=""),0,IF($F$1&lt;D222,0,MIN(MAX(G222-1,0),MAX(0,(G222*I222/365)*H222)))),0)</x:f>
        <x:v>80.0650520547945</x:v>
      </x:c>
      <x:c r="K222" s="148" t="n">
        <x:f t="shared" si="17">IFERROR(IF(OR(G222="",G222&lt;=0),0,MAX(1,G222-J222)),0)</x:f>
        <x:v>79.9349479452055</x:v>
      </x:c>
      <x:c r="L222" s="148" t="n">
        <x:f t="shared" si="18">IFERROR(IF(OR(G222="",G222&lt;=0,I222="",D222="",$F$1=""),0,IF($F$1&lt;D222,0,IF(K222&lt;=1,0,MIN(G222*I222/12,K222-1)))),0)</x:f>
        <x:v>4.444</x:v>
      </x:c>
      <x:c r="M222" s="58" t="s">
        <x:v>18</x:v>
      </x:c>
    </x:row>
    <x:row r="223" ht="19.899999618530273" customHeight="1">
      <x:c r="A223" s="53">
        <x:f t="shared" si="19"/>
        <x:v>218</x:v>
      </x:c>
      <x:c r="B223" s="54" t="s">
        <x:v>110</x:v>
      </x:c>
      <x:c r="C223" s="54" t="s">
        <x:v>27</x:v>
      </x:c>
      <x:c r="D223" s="55">
        <x:v>45839</x:v>
      </x:c>
      <x:c r="E223" s="54" t="s">
        <x:v>114</x:v>
      </x:c>
      <x:c r="F223" s="54">
        <x:v>1</x:v>
      </x:c>
      <x:c r="G223" s="148">
        <x:v>160</x:v>
      </x:c>
      <x:c r="H223" s="148" t="n">
        <x:f t="shared" si="15">IFERROR(IF(OR($F$1="",D223=""),0,MAX(0,$F$1-D223)),0)</x:f>
        <x:v>548</x:v>
      </x:c>
      <x:c r="I223" s="148">
        <x:v>0.33329999999999999</x:v>
      </x:c>
      <x:c r="J223" s="148" t="n">
        <x:f t="shared" si="16">IFERROR(IF(OR(G223="",G223&lt;=0,I223="",D223="",$F$1=""),0,IF($F$1&lt;D223,0,MIN(MAX(G223-1,0),MAX(0,(G223*I223/365)*H223)))),0)</x:f>
        <x:v>80.0650520547945</x:v>
      </x:c>
      <x:c r="K223" s="148" t="n">
        <x:f t="shared" si="17">IFERROR(IF(OR(G223="",G223&lt;=0),0,MAX(1,G223-J223)),0)</x:f>
        <x:v>79.9349479452055</x:v>
      </x:c>
      <x:c r="L223" s="148" t="n">
        <x:f t="shared" si="18">IFERROR(IF(OR(G223="",G223&lt;=0,I223="",D223="",$F$1=""),0,IF($F$1&lt;D223,0,IF(K223&lt;=1,0,MIN(G223*I223/12,K223-1)))),0)</x:f>
        <x:v>4.444</x:v>
      </x:c>
      <x:c r="M223" s="58" t="s">
        <x:v>18</x:v>
      </x:c>
    </x:row>
    <x:row r="224" ht="19.899999618530273" customHeight="1">
      <x:c r="A224" s="53">
        <x:f t="shared" si="19"/>
        <x:v>219</x:v>
      </x:c>
      <x:c r="B224" s="54" t="s">
        <x:v>110</x:v>
      </x:c>
      <x:c r="C224" s="54" t="s">
        <x:v>27</x:v>
      </x:c>
      <x:c r="D224" s="55">
        <x:v>45839</x:v>
      </x:c>
      <x:c r="E224" s="54" t="s">
        <x:v>114</x:v>
      </x:c>
      <x:c r="F224" s="54">
        <x:v>1</x:v>
      </x:c>
      <x:c r="G224" s="148">
        <x:v>160</x:v>
      </x:c>
      <x:c r="H224" s="148" t="n">
        <x:f t="shared" si="15">IFERROR(IF(OR($F$1="",D224=""),0,MAX(0,$F$1-D224)),0)</x:f>
        <x:v>548</x:v>
      </x:c>
      <x:c r="I224" s="148">
        <x:v>0.33329999999999999</x:v>
      </x:c>
      <x:c r="J224" s="148" t="n">
        <x:f t="shared" si="16">IFERROR(IF(OR(G224="",G224&lt;=0,I224="",D224="",$F$1=""),0,IF($F$1&lt;D224,0,MIN(MAX(G224-1,0),MAX(0,(G224*I224/365)*H224)))),0)</x:f>
        <x:v>80.0650520547945</x:v>
      </x:c>
      <x:c r="K224" s="148" t="n">
        <x:f t="shared" si="17">IFERROR(IF(OR(G224="",G224&lt;=0),0,MAX(1,G224-J224)),0)</x:f>
        <x:v>79.9349479452055</x:v>
      </x:c>
      <x:c r="L224" s="148" t="n">
        <x:f t="shared" si="18">IFERROR(IF(OR(G224="",G224&lt;=0,I224="",D224="",$F$1=""),0,IF($F$1&lt;D224,0,IF(K224&lt;=1,0,MIN(G224*I224/12,K224-1)))),0)</x:f>
        <x:v>4.444</x:v>
      </x:c>
      <x:c r="M224" s="58" t="s">
        <x:v>18</x:v>
      </x:c>
    </x:row>
    <x:row r="225" ht="19.899999618530273" customHeight="1">
      <x:c r="A225" s="53">
        <x:f t="shared" si="19"/>
        <x:v>220</x:v>
      </x:c>
      <x:c r="B225" s="54" t="s">
        <x:v>110</x:v>
      </x:c>
      <x:c r="C225" s="54" t="s">
        <x:v>27</x:v>
      </x:c>
      <x:c r="D225" s="55">
        <x:v>45839</x:v>
      </x:c>
      <x:c r="E225" s="54" t="s">
        <x:v>114</x:v>
      </x:c>
      <x:c r="F225" s="54">
        <x:v>1</x:v>
      </x:c>
      <x:c r="G225" s="148">
        <x:v>160</x:v>
      </x:c>
      <x:c r="H225" s="148" t="n">
        <x:f t="shared" si="15">IFERROR(IF(OR($F$1="",D225=""),0,MAX(0,$F$1-D225)),0)</x:f>
        <x:v>548</x:v>
      </x:c>
      <x:c r="I225" s="148">
        <x:v>0.33329999999999999</x:v>
      </x:c>
      <x:c r="J225" s="148" t="n">
        <x:f t="shared" si="16">IFERROR(IF(OR(G225="",G225&lt;=0,I225="",D225="",$F$1=""),0,IF($F$1&lt;D225,0,MIN(MAX(G225-1,0),MAX(0,(G225*I225/365)*H225)))),0)</x:f>
        <x:v>80.0650520547945</x:v>
      </x:c>
      <x:c r="K225" s="148" t="n">
        <x:f t="shared" si="17">IFERROR(IF(OR(G225="",G225&lt;=0),0,MAX(1,G225-J225)),0)</x:f>
        <x:v>79.9349479452055</x:v>
      </x:c>
      <x:c r="L225" s="148" t="n">
        <x:f t="shared" si="18">IFERROR(IF(OR(G225="",G225&lt;=0,I225="",D225="",$F$1=""),0,IF($F$1&lt;D225,0,IF(K225&lt;=1,0,MIN(G225*I225/12,K225-1)))),0)</x:f>
        <x:v>4.444</x:v>
      </x:c>
      <x:c r="M225" s="58" t="s">
        <x:v>18</x:v>
      </x:c>
    </x:row>
    <x:row r="226" ht="19.899999618530273" customHeight="1">
      <x:c r="A226" s="53">
        <x:f t="shared" si="19"/>
        <x:v>221</x:v>
      </x:c>
      <x:c r="B226" s="54" t="s">
        <x:v>110</x:v>
      </x:c>
      <x:c r="C226" s="54" t="s">
        <x:v>27</x:v>
      </x:c>
      <x:c r="D226" s="55">
        <x:v>45839</x:v>
      </x:c>
      <x:c r="E226" s="54" t="s">
        <x:v>114</x:v>
      </x:c>
      <x:c r="F226" s="54">
        <x:v>1</x:v>
      </x:c>
      <x:c r="G226" s="148">
        <x:v>160</x:v>
      </x:c>
      <x:c r="H226" s="148" t="n">
        <x:f t="shared" si="15">IFERROR(IF(OR($F$1="",D226=""),0,MAX(0,$F$1-D226)),0)</x:f>
        <x:v>548</x:v>
      </x:c>
      <x:c r="I226" s="148">
        <x:v>0.33329999999999999</x:v>
      </x:c>
      <x:c r="J226" s="148" t="n">
        <x:f t="shared" si="16">IFERROR(IF(OR(G226="",G226&lt;=0,I226="",D226="",$F$1=""),0,IF($F$1&lt;D226,0,MIN(MAX(G226-1,0),MAX(0,(G226*I226/365)*H226)))),0)</x:f>
        <x:v>80.0650520547945</x:v>
      </x:c>
      <x:c r="K226" s="148" t="n">
        <x:f t="shared" si="17">IFERROR(IF(OR(G226="",G226&lt;=0),0,MAX(1,G226-J226)),0)</x:f>
        <x:v>79.9349479452055</x:v>
      </x:c>
      <x:c r="L226" s="148" t="n">
        <x:f t="shared" si="18">IFERROR(IF(OR(G226="",G226&lt;=0,I226="",D226="",$F$1=""),0,IF($F$1&lt;D226,0,IF(K226&lt;=1,0,MIN(G226*I226/12,K226-1)))),0)</x:f>
        <x:v>4.444</x:v>
      </x:c>
      <x:c r="M226" s="58" t="s">
        <x:v>18</x:v>
      </x:c>
    </x:row>
    <x:row r="227" ht="19.899999618530273" customHeight="1">
      <x:c r="A227" s="53">
        <x:f t="shared" si="19"/>
        <x:v>222</x:v>
      </x:c>
      <x:c r="B227" s="54" t="s">
        <x:v>110</x:v>
      </x:c>
      <x:c r="C227" s="54" t="s">
        <x:v>27</x:v>
      </x:c>
      <x:c r="D227" s="55">
        <x:v>45839</x:v>
      </x:c>
      <x:c r="E227" s="54" t="s">
        <x:v>115</x:v>
      </x:c>
      <x:c r="F227" s="54">
        <x:v>1</x:v>
      </x:c>
      <x:c r="G227" s="148">
        <x:v>234</x:v>
      </x:c>
      <x:c r="H227" s="148" t="n">
        <x:f t="shared" si="15">IFERROR(IF(OR($F$1="",D227=""),0,MAX(0,$F$1-D227)),0)</x:f>
        <x:v>548</x:v>
      </x:c>
      <x:c r="I227" s="148">
        <x:v>0.33329999999999999</x:v>
      </x:c>
      <x:c r="J227" s="148" t="n">
        <x:f t="shared" si="16">IFERROR(IF(OR(G227="",G227&lt;=0,I227="",D227="",$F$1=""),0,IF($F$1&lt;D227,0,MIN(MAX(G227-1,0),MAX(0,(G227*I227/365)*H227)))),0)</x:f>
        <x:v>117.09513863013699</x:v>
      </x:c>
      <x:c r="K227" s="148" t="n">
        <x:f t="shared" si="17">IFERROR(IF(OR(G227="",G227&lt;=0),0,MAX(1,G227-J227)),0)</x:f>
        <x:v>116.90486136986301</x:v>
      </x:c>
      <x:c r="L227" s="148" t="n">
        <x:f t="shared" si="18">IFERROR(IF(OR(G227="",G227&lt;=0,I227="",D227="",$F$1=""),0,IF($F$1&lt;D227,0,IF(K227&lt;=1,0,MIN(G227*I227/12,K227-1)))),0)</x:f>
        <x:v>6.49935</x:v>
      </x:c>
      <x:c r="M227" s="58" t="s">
        <x:v>18</x:v>
      </x:c>
    </x:row>
    <x:row r="228" ht="19.899999618530273" customHeight="1">
      <x:c r="A228" s="53">
        <x:f t="shared" si="19"/>
        <x:v>223</x:v>
      </x:c>
      <x:c r="B228" s="54" t="s">
        <x:v>110</x:v>
      </x:c>
      <x:c r="C228" s="54" t="s">
        <x:v>27</x:v>
      </x:c>
      <x:c r="D228" s="55">
        <x:v>45839</x:v>
      </x:c>
      <x:c r="E228" s="54" t="s">
        <x:v>115</x:v>
      </x:c>
      <x:c r="F228" s="54">
        <x:v>1</x:v>
      </x:c>
      <x:c r="G228" s="148">
        <x:v>234</x:v>
      </x:c>
      <x:c r="H228" s="148" t="n">
        <x:f t="shared" si="15">IFERROR(IF(OR($F$1="",D228=""),0,MAX(0,$F$1-D228)),0)</x:f>
        <x:v>548</x:v>
      </x:c>
      <x:c r="I228" s="148">
        <x:v>0.33329999999999999</x:v>
      </x:c>
      <x:c r="J228" s="148" t="n">
        <x:f t="shared" si="16">IFERROR(IF(OR(G228="",G228&lt;=0,I228="",D228="",$F$1=""),0,IF($F$1&lt;D228,0,MIN(MAX(G228-1,0),MAX(0,(G228*I228/365)*H228)))),0)</x:f>
        <x:v>117.09513863013699</x:v>
      </x:c>
      <x:c r="K228" s="148" t="n">
        <x:f t="shared" si="17">IFERROR(IF(OR(G228="",G228&lt;=0),0,MAX(1,G228-J228)),0)</x:f>
        <x:v>116.90486136986301</x:v>
      </x:c>
      <x:c r="L228" s="148" t="n">
        <x:f t="shared" si="18">IFERROR(IF(OR(G228="",G228&lt;=0,I228="",D228="",$F$1=""),0,IF($F$1&lt;D228,0,IF(K228&lt;=1,0,MIN(G228*I228/12,K228-1)))),0)</x:f>
        <x:v>6.49935</x:v>
      </x:c>
      <x:c r="M228" s="58" t="s">
        <x:v>18</x:v>
      </x:c>
    </x:row>
    <x:row r="229" ht="19.899999618530273" customHeight="1">
      <x:c r="A229" s="53">
        <x:f t="shared" si="19"/>
        <x:v>224</x:v>
      </x:c>
      <x:c r="B229" s="54" t="s">
        <x:v>110</x:v>
      </x:c>
      <x:c r="C229" s="54" t="s">
        <x:v>27</x:v>
      </x:c>
      <x:c r="D229" s="55">
        <x:v>45839</x:v>
      </x:c>
      <x:c r="E229" s="54" t="s">
        <x:v>116</x:v>
      </x:c>
      <x:c r="F229" s="54">
        <x:v>1</x:v>
      </x:c>
      <x:c r="G229" s="148">
        <x:v>300</x:v>
      </x:c>
      <x:c r="H229" s="148" t="n">
        <x:f t="shared" si="15">IFERROR(IF(OR($F$1="",D229=""),0,MAX(0,$F$1-D229)),0)</x:f>
        <x:v>548</x:v>
      </x:c>
      <x:c r="I229" s="148">
        <x:v>0.33329999999999999</x:v>
      </x:c>
      <x:c r="J229" s="148" t="n">
        <x:f t="shared" si="16">IFERROR(IF(OR(G229="",G229&lt;=0,I229="",D229="",$F$1=""),0,IF($F$1&lt;D229,0,MIN(MAX(G229-1,0),MAX(0,(G229*I229/365)*H229)))),0)</x:f>
        <x:v>150.12197260273973</x:v>
      </x:c>
      <x:c r="K229" s="148" t="n">
        <x:f t="shared" si="17">IFERROR(IF(OR(G229="",G229&lt;=0),0,MAX(1,G229-J229)),0)</x:f>
        <x:v>149.87802739726027</x:v>
      </x:c>
      <x:c r="L229" s="148" t="n">
        <x:f t="shared" si="18">IFERROR(IF(OR(G229="",G229&lt;=0,I229="",D229="",$F$1=""),0,IF($F$1&lt;D229,0,IF(K229&lt;=1,0,MIN(G229*I229/12,K229-1)))),0)</x:f>
        <x:v>8.3325</x:v>
      </x:c>
      <x:c r="M229" s="58" t="s">
        <x:v>18</x:v>
      </x:c>
    </x:row>
    <x:row r="230" ht="19.899999618530273" customHeight="1">
      <x:c r="A230" s="53">
        <x:f t="shared" si="19"/>
        <x:v>225</x:v>
      </x:c>
      <x:c r="B230" s="54" t="s">
        <x:v>110</x:v>
      </x:c>
      <x:c r="C230" s="54" t="s">
        <x:v>27</x:v>
      </x:c>
      <x:c r="D230" s="55">
        <x:v>45839</x:v>
      </x:c>
      <x:c r="E230" s="54" t="s">
        <x:v>117</x:v>
      </x:c>
      <x:c r="F230" s="54">
        <x:v>1</x:v>
      </x:c>
      <x:c r="G230" s="148">
        <x:v>1300</x:v>
      </x:c>
      <x:c r="H230" s="148" t="n">
        <x:f t="shared" si="15">IFERROR(IF(OR($F$1="",D230=""),0,MAX(0,$F$1-D230)),0)</x:f>
        <x:v>548</x:v>
      </x:c>
      <x:c r="I230" s="148">
        <x:v>0.33329999999999999</x:v>
      </x:c>
      <x:c r="J230" s="148" t="n">
        <x:f t="shared" si="16">IFERROR(IF(OR(G230="",G230&lt;=0,I230="",D230="",$F$1=""),0,IF($F$1&lt;D230,0,MIN(MAX(G230-1,0),MAX(0,(G230*I230/365)*H230)))),0)</x:f>
        <x:v>650.5285479452054</x:v>
      </x:c>
      <x:c r="K230" s="148" t="n">
        <x:f t="shared" si="17">IFERROR(IF(OR(G230="",G230&lt;=0),0,MAX(1,G230-J230)),0)</x:f>
        <x:v>649.4714520547946</x:v>
      </x:c>
      <x:c r="L230" s="148" t="n">
        <x:f t="shared" si="18">IFERROR(IF(OR(G230="",G230&lt;=0,I230="",D230="",$F$1=""),0,IF($F$1&lt;D230,0,IF(K230&lt;=1,0,MIN(G230*I230/12,K230-1)))),0)</x:f>
        <x:v>36.107499999999995</x:v>
      </x:c>
      <x:c r="M230" s="58" t="s">
        <x:v>18</x:v>
      </x:c>
    </x:row>
    <x:row r="231" ht="19.899999618530273" customHeight="1">
      <x:c r="A231" s="53">
        <x:f t="shared" si="19"/>
        <x:v>226</x:v>
      </x:c>
      <x:c r="B231" s="54" t="s">
        <x:v>110</x:v>
      </x:c>
      <x:c r="C231" s="54" t="s">
        <x:v>27</x:v>
      </x:c>
      <x:c r="D231" s="55">
        <x:v>45839</x:v>
      </x:c>
      <x:c r="E231" s="54" t="s">
        <x:v>118</x:v>
      </x:c>
      <x:c r="F231" s="54">
        <x:v>1</x:v>
      </x:c>
      <x:c r="G231" s="148">
        <x:v>700</x:v>
      </x:c>
      <x:c r="H231" s="148" t="n">
        <x:f t="shared" si="15">IFERROR(IF(OR($F$1="",D231=""),0,MAX(0,$F$1-D231)),0)</x:f>
        <x:v>548</x:v>
      </x:c>
      <x:c r="I231" s="148">
        <x:v>0.33329999999999999</x:v>
      </x:c>
      <x:c r="J231" s="148" t="n">
        <x:f t="shared" si="16">IFERROR(IF(OR(G231="",G231&lt;=0,I231="",D231="",$F$1=""),0,IF($F$1&lt;D231,0,MIN(MAX(G231-1,0),MAX(0,(G231*I231/365)*H231)))),0)</x:f>
        <x:v>350.284602739726</x:v>
      </x:c>
      <x:c r="K231" s="148" t="n">
        <x:f t="shared" si="17">IFERROR(IF(OR(G231="",G231&lt;=0),0,MAX(1,G231-J231)),0)</x:f>
        <x:v>349.715397260274</x:v>
      </x:c>
      <x:c r="L231" s="148" t="n">
        <x:f t="shared" si="18">IFERROR(IF(OR(G231="",G231&lt;=0,I231="",D231="",$F$1=""),0,IF($F$1&lt;D231,0,IF(K231&lt;=1,0,MIN(G231*I231/12,K231-1)))),0)</x:f>
        <x:v>19.4425</x:v>
      </x:c>
      <x:c r="M231" s="58" t="s">
        <x:v>18</x:v>
      </x:c>
    </x:row>
    <x:row r="232" ht="19.899999618530273" customHeight="1">
      <x:c r="A232" s="53">
        <x:f t="shared" si="19"/>
        <x:v>227</x:v>
      </x:c>
      <x:c r="B232" s="54" t="s">
        <x:v>110</x:v>
      </x:c>
      <x:c r="C232" s="54" t="s">
        <x:v>27</x:v>
      </x:c>
      <x:c r="D232" s="55">
        <x:v>45839</x:v>
      </x:c>
      <x:c r="E232" s="54" t="s">
        <x:v>119</x:v>
      </x:c>
      <x:c r="F232" s="54">
        <x:v>1</x:v>
      </x:c>
      <x:c r="G232" s="148">
        <x:v>380</x:v>
      </x:c>
      <x:c r="H232" s="148" t="n">
        <x:f t="shared" si="15">IFERROR(IF(OR($F$1="",D232=""),0,MAX(0,$F$1-D232)),0)</x:f>
        <x:v>548</x:v>
      </x:c>
      <x:c r="I232" s="148">
        <x:v>0.33329999999999999</x:v>
      </x:c>
      <x:c r="J232" s="148" t="n">
        <x:f t="shared" si="16">IFERROR(IF(OR(G232="",G232&lt;=0,I232="",D232="",$F$1=""),0,IF($F$1&lt;D232,0,MIN(MAX(G232-1,0),MAX(0,(G232*I232/365)*H232)))),0)</x:f>
        <x:v>190.15449863013697</x:v>
      </x:c>
      <x:c r="K232" s="148" t="n">
        <x:f t="shared" si="17">IFERROR(IF(OR(G232="",G232&lt;=0),0,MAX(1,G232-J232)),0)</x:f>
        <x:v>189.84550136986303</x:v>
      </x:c>
      <x:c r="L232" s="148" t="n">
        <x:f t="shared" si="18">IFERROR(IF(OR(G232="",G232&lt;=0,I232="",D232="",$F$1=""),0,IF($F$1&lt;D232,0,IF(K232&lt;=1,0,MIN(G232*I232/12,K232-1)))),0)</x:f>
        <x:v>10.554499999999999</x:v>
      </x:c>
      <x:c r="M232" s="58" t="s">
        <x:v>18</x:v>
      </x:c>
    </x:row>
    <x:row r="233" ht="19.899999618530273" customHeight="1">
      <x:c r="A233" s="53">
        <x:f t="shared" si="19"/>
        <x:v>228</x:v>
      </x:c>
      <x:c r="B233" s="54" t="s">
        <x:v>110</x:v>
      </x:c>
      <x:c r="C233" s="54" t="s">
        <x:v>27</x:v>
      </x:c>
      <x:c r="D233" s="55">
        <x:v>45839</x:v>
      </x:c>
      <x:c r="E233" s="54" t="s">
        <x:v>119</x:v>
      </x:c>
      <x:c r="F233" s="54">
        <x:v>1</x:v>
      </x:c>
      <x:c r="G233" s="148">
        <x:v>380</x:v>
      </x:c>
      <x:c r="H233" s="148" t="n">
        <x:f t="shared" si="15">IFERROR(IF(OR($F$1="",D233=""),0,MAX(0,$F$1-D233)),0)</x:f>
        <x:v>548</x:v>
      </x:c>
      <x:c r="I233" s="148">
        <x:v>0.33329999999999999</x:v>
      </x:c>
      <x:c r="J233" s="148" t="n">
        <x:f t="shared" si="16">IFERROR(IF(OR(G233="",G233&lt;=0,I233="",D233="",$F$1=""),0,IF($F$1&lt;D233,0,MIN(MAX(G233-1,0),MAX(0,(G233*I233/365)*H233)))),0)</x:f>
        <x:v>190.15449863013697</x:v>
      </x:c>
      <x:c r="K233" s="148" t="n">
        <x:f t="shared" si="17">IFERROR(IF(OR(G233="",G233&lt;=0),0,MAX(1,G233-J233)),0)</x:f>
        <x:v>189.84550136986303</x:v>
      </x:c>
      <x:c r="L233" s="148" t="n">
        <x:f t="shared" si="18">IFERROR(IF(OR(G233="",G233&lt;=0,I233="",D233="",$F$1=""),0,IF($F$1&lt;D233,0,IF(K233&lt;=1,0,MIN(G233*I233/12,K233-1)))),0)</x:f>
        <x:v>10.554499999999999</x:v>
      </x:c>
      <x:c r="M233" s="58" t="s">
        <x:v>18</x:v>
      </x:c>
    </x:row>
    <x:row r="234" ht="19.899999618530273" customHeight="1">
      <x:c r="A234" s="53">
        <x:f t="shared" si="19"/>
        <x:v>229</x:v>
      </x:c>
      <x:c r="B234" s="54" t="s">
        <x:v>110</x:v>
      </x:c>
      <x:c r="C234" s="54" t="s">
        <x:v>27</x:v>
      </x:c>
      <x:c r="D234" s="55">
        <x:v>45839</x:v>
      </x:c>
      <x:c r="E234" s="54" t="s">
        <x:v>119</x:v>
      </x:c>
      <x:c r="F234" s="54">
        <x:v>1</x:v>
      </x:c>
      <x:c r="G234" s="148">
        <x:v>380</x:v>
      </x:c>
      <x:c r="H234" s="148" t="n">
        <x:f t="shared" si="15">IFERROR(IF(OR($F$1="",D234=""),0,MAX(0,$F$1-D234)),0)</x:f>
        <x:v>548</x:v>
      </x:c>
      <x:c r="I234" s="148">
        <x:v>0.33329999999999999</x:v>
      </x:c>
      <x:c r="J234" s="148" t="n">
        <x:f t="shared" si="16">IFERROR(IF(OR(G234="",G234&lt;=0,I234="",D234="",$F$1=""),0,IF($F$1&lt;D234,0,MIN(MAX(G234-1,0),MAX(0,(G234*I234/365)*H234)))),0)</x:f>
        <x:v>190.15449863013697</x:v>
      </x:c>
      <x:c r="K234" s="148" t="n">
        <x:f t="shared" si="17">IFERROR(IF(OR(G234="",G234&lt;=0),0,MAX(1,G234-J234)),0)</x:f>
        <x:v>189.84550136986303</x:v>
      </x:c>
      <x:c r="L234" s="148" t="n">
        <x:f t="shared" si="18">IFERROR(IF(OR(G234="",G234&lt;=0,I234="",D234="",$F$1=""),0,IF($F$1&lt;D234,0,IF(K234&lt;=1,0,MIN(G234*I234/12,K234-1)))),0)</x:f>
        <x:v>10.554499999999999</x:v>
      </x:c>
      <x:c r="M234" s="58" t="s">
        <x:v>18</x:v>
      </x:c>
    </x:row>
    <x:row r="235" ht="19.899999618530273" customHeight="1">
      <x:c r="A235" s="53">
        <x:f t="shared" si="19"/>
        <x:v>230</x:v>
      </x:c>
      <x:c r="B235" s="54" t="s">
        <x:v>110</x:v>
      </x:c>
      <x:c r="C235" s="54" t="s">
        <x:v>27</x:v>
      </x:c>
      <x:c r="D235" s="55">
        <x:v>45839</x:v>
      </x:c>
      <x:c r="E235" s="54" t="s">
        <x:v>120</x:v>
      </x:c>
      <x:c r="F235" s="54">
        <x:v>1</x:v>
      </x:c>
      <x:c r="G235" s="148">
        <x:v>2990</x:v>
      </x:c>
      <x:c r="H235" s="148" t="n">
        <x:f t="shared" si="15">IFERROR(IF(OR($F$1="",D235=""),0,MAX(0,$F$1-D235)),0)</x:f>
        <x:v>548</x:v>
      </x:c>
      <x:c r="I235" s="148">
        <x:v>0.33329999999999999</x:v>
      </x:c>
      <x:c r="J235" s="148" t="n">
        <x:f t="shared" si="16">IFERROR(IF(OR(G235="",G235&lt;=0,I235="",D235="",$F$1=""),0,IF($F$1&lt;D235,0,MIN(MAX(G235-1,0),MAX(0,(G235*I235/365)*H235)))),0)</x:f>
        <x:v>1496.2156602739726</x:v>
      </x:c>
      <x:c r="K235" s="148" t="n">
        <x:f t="shared" si="17">IFERROR(IF(OR(G235="",G235&lt;=0),0,MAX(1,G235-J235)),0)</x:f>
        <x:v>1493.7843397260274</x:v>
      </x:c>
      <x:c r="L235" s="148" t="n">
        <x:f t="shared" si="18">IFERROR(IF(OR(G235="",G235&lt;=0,I235="",D235="",$F$1=""),0,IF($F$1&lt;D235,0,IF(K235&lt;=1,0,MIN(G235*I235/12,K235-1)))),0)</x:f>
        <x:v>83.04725</x:v>
      </x:c>
      <x:c r="M235" s="58" t="s">
        <x:v>18</x:v>
      </x:c>
    </x:row>
    <x:row r="236" ht="19.899999618530273" customHeight="1">
      <x:c r="A236" s="53">
        <x:f t="shared" si="19"/>
        <x:v>231</x:v>
      </x:c>
      <x:c r="B236" s="54" t="s">
        <x:v>110</x:v>
      </x:c>
      <x:c r="C236" s="54" t="s">
        <x:v>27</x:v>
      </x:c>
      <x:c r="D236" s="55">
        <x:v>45839</x:v>
      </x:c>
      <x:c r="E236" s="54" t="s">
        <x:v>97</x:v>
      </x:c>
      <x:c r="F236" s="54">
        <x:v>1</x:v>
      </x:c>
      <x:c r="G236" s="148">
        <x:v>550</x:v>
      </x:c>
      <x:c r="H236" s="148" t="n">
        <x:f t="shared" si="15">IFERROR(IF(OR($F$1="",D236=""),0,MAX(0,$F$1-D236)),0)</x:f>
        <x:v>548</x:v>
      </x:c>
      <x:c r="I236" s="148">
        <x:v>0.33329999999999999</x:v>
      </x:c>
      <x:c r="J236" s="148" t="n">
        <x:f t="shared" si="16">IFERROR(IF(OR(G236="",G236&lt;=0,I236="",D236="",$F$1=""),0,IF($F$1&lt;D236,0,MIN(MAX(G236-1,0),MAX(0,(G236*I236/365)*H236)))),0)</x:f>
        <x:v>275.22361643835615</x:v>
      </x:c>
      <x:c r="K236" s="148" t="n">
        <x:f t="shared" si="17">IFERROR(IF(OR(G236="",G236&lt;=0),0,MAX(1,G236-J236)),0)</x:f>
        <x:v>274.77638356164385</x:v>
      </x:c>
      <x:c r="L236" s="148" t="n">
        <x:f t="shared" si="18">IFERROR(IF(OR(G236="",G236&lt;=0,I236="",D236="",$F$1=""),0,IF($F$1&lt;D236,0,IF(K236&lt;=1,0,MIN(G236*I236/12,K236-1)))),0)</x:f>
        <x:v>15.27625</x:v>
      </x:c>
      <x:c r="M236" s="58" t="s">
        <x:v>18</x:v>
      </x:c>
    </x:row>
    <x:row r="237" ht="19.899999618530273" customHeight="1">
      <x:c r="A237" s="53">
        <x:f t="shared" si="19"/>
        <x:v>232</x:v>
      </x:c>
      <x:c r="B237" s="54" t="s">
        <x:v>110</x:v>
      </x:c>
      <x:c r="C237" s="54" t="s">
        <x:v>27</x:v>
      </x:c>
      <x:c r="D237" s="55">
        <x:v>45839</x:v>
      </x:c>
      <x:c r="E237" s="54" t="s">
        <x:v>121</x:v>
      </x:c>
      <x:c r="F237" s="54">
        <x:v>1</x:v>
      </x:c>
      <x:c r="G237" s="148">
        <x:v>1300</x:v>
      </x:c>
      <x:c r="H237" s="148" t="n">
        <x:f t="shared" si="15">IFERROR(IF(OR($F$1="",D237=""),0,MAX(0,$F$1-D237)),0)</x:f>
        <x:v>548</x:v>
      </x:c>
      <x:c r="I237" s="148">
        <x:v>0.33329999999999999</x:v>
      </x:c>
      <x:c r="J237" s="148" t="n">
        <x:f t="shared" si="16">IFERROR(IF(OR(G237="",G237&lt;=0,I237="",D237="",$F$1=""),0,IF($F$1&lt;D237,0,MIN(MAX(G237-1,0),MAX(0,(G237*I237/365)*H237)))),0)</x:f>
        <x:v>650.5285479452054</x:v>
      </x:c>
      <x:c r="K237" s="148" t="n">
        <x:f t="shared" si="17">IFERROR(IF(OR(G237="",G237&lt;=0),0,MAX(1,G237-J237)),0)</x:f>
        <x:v>649.4714520547946</x:v>
      </x:c>
      <x:c r="L237" s="148" t="n">
        <x:f t="shared" si="18">IFERROR(IF(OR(G237="",G237&lt;=0,I237="",D237="",$F$1=""),0,IF($F$1&lt;D237,0,IF(K237&lt;=1,0,MIN(G237*I237/12,K237-1)))),0)</x:f>
        <x:v>36.107499999999995</x:v>
      </x:c>
      <x:c r="M237" s="58" t="s">
        <x:v>18</x:v>
      </x:c>
    </x:row>
    <x:row r="238" ht="19.899999618530273" customHeight="1">
      <x:c r="A238" s="53">
        <x:f t="shared" si="19"/>
        <x:v>233</x:v>
      </x:c>
      <x:c r="B238" s="54" t="s">
        <x:v>110</x:v>
      </x:c>
      <x:c r="C238" s="54" t="s">
        <x:v>27</x:v>
      </x:c>
      <x:c r="D238" s="55">
        <x:v>45839</x:v>
      </x:c>
      <x:c r="E238" s="54" t="s">
        <x:v>122</x:v>
      </x:c>
      <x:c r="F238" s="54">
        <x:v>1</x:v>
      </x:c>
      <x:c r="G238" s="148">
        <x:v>769.57</x:v>
      </x:c>
      <x:c r="H238" s="148" t="n">
        <x:f t="shared" si="15">IFERROR(IF(OR($F$1="",D238=""),0,MAX(0,$F$1-D238)),0)</x:f>
        <x:v>548</x:v>
      </x:c>
      <x:c r="I238" s="148">
        <x:v>0.33329999999999999</x:v>
      </x:c>
      <x:c r="J238" s="148" t="n">
        <x:f t="shared" si="16">IFERROR(IF(OR(G238="",G238&lt;=0,I238="",D238="",$F$1=""),0,IF($F$1&lt;D238,0,MIN(MAX(G238-1,0),MAX(0,(G238*I238/365)*H238)))),0)</x:f>
        <x:v>385.09788818630136</x:v>
      </x:c>
      <x:c r="K238" s="148" t="n">
        <x:f t="shared" si="17">IFERROR(IF(OR(G238="",G238&lt;=0),0,MAX(1,G238-J238)),0)</x:f>
        <x:v>384.4721118136987</x:v>
      </x:c>
      <x:c r="L238" s="148" t="n">
        <x:f t="shared" si="18">IFERROR(IF(OR(G238="",G238&lt;=0,I238="",D238="",$F$1=""),0,IF($F$1&lt;D238,0,IF(K238&lt;=1,0,MIN(G238*I238/12,K238-1)))),0)</x:f>
        <x:v>21.37480675</x:v>
      </x:c>
      <x:c r="M238" s="58" t="s">
        <x:v>18</x:v>
      </x:c>
    </x:row>
    <x:row r="239" ht="19.899999618530273" customHeight="1">
      <x:c r="A239" s="53">
        <x:f t="shared" si="19"/>
        <x:v>234</x:v>
      </x:c>
      <x:c r="B239" s="54" t="s">
        <x:v>110</x:v>
      </x:c>
      <x:c r="C239" s="54" t="s">
        <x:v>27</x:v>
      </x:c>
      <x:c r="D239" s="55">
        <x:v>45839</x:v>
      </x:c>
      <x:c r="E239" s="54" t="s">
        <x:v>123</x:v>
      </x:c>
      <x:c r="F239" s="54">
        <x:v>1</x:v>
      </x:c>
      <x:c r="G239" s="148">
        <x:v>500</x:v>
      </x:c>
      <x:c r="H239" s="148" t="n">
        <x:f t="shared" si="15">IFERROR(IF(OR($F$1="",D239=""),0,MAX(0,$F$1-D239)),0)</x:f>
        <x:v>548</x:v>
      </x:c>
      <x:c r="I239" s="148">
        <x:v>0.33329999999999999</x:v>
      </x:c>
      <x:c r="J239" s="148" t="n">
        <x:f t="shared" si="16">IFERROR(IF(OR(G239="",G239&lt;=0,I239="",D239="",$F$1=""),0,IF($F$1&lt;D239,0,MIN(MAX(G239-1,0),MAX(0,(G239*I239/365)*H239)))),0)</x:f>
        <x:v>250.20328767123289</x:v>
      </x:c>
      <x:c r="K239" s="148" t="n">
        <x:f t="shared" si="17">IFERROR(IF(OR(G239="",G239&lt;=0),0,MAX(1,G239-J239)),0)</x:f>
        <x:v>249.79671232876711</x:v>
      </x:c>
      <x:c r="L239" s="148" t="n">
        <x:f t="shared" si="18">IFERROR(IF(OR(G239="",G239&lt;=0,I239="",D239="",$F$1=""),0,IF($F$1&lt;D239,0,IF(K239&lt;=1,0,MIN(G239*I239/12,K239-1)))),0)</x:f>
        <x:v>13.887500000000001</x:v>
      </x:c>
      <x:c r="M239" s="58" t="s">
        <x:v>18</x:v>
      </x:c>
    </x:row>
    <x:row r="240" ht="19.899999618530273" customHeight="1">
      <x:c r="A240" s="53">
        <x:f t="shared" si="19"/>
        <x:v>235</x:v>
      </x:c>
      <x:c r="B240" s="54" t="s">
        <x:v>110</x:v>
      </x:c>
      <x:c r="C240" s="54" t="s">
        <x:v>27</x:v>
      </x:c>
      <x:c r="D240" s="55">
        <x:v>45839</x:v>
      </x:c>
      <x:c r="E240" s="54" t="s">
        <x:v>123</x:v>
      </x:c>
      <x:c r="F240" s="54">
        <x:v>1</x:v>
      </x:c>
      <x:c r="G240" s="148">
        <x:v>500</x:v>
      </x:c>
      <x:c r="H240" s="148" t="n">
        <x:f t="shared" si="15">IFERROR(IF(OR($F$1="",D240=""),0,MAX(0,$F$1-D240)),0)</x:f>
        <x:v>548</x:v>
      </x:c>
      <x:c r="I240" s="148">
        <x:v>0.33329999999999999</x:v>
      </x:c>
      <x:c r="J240" s="148" t="n">
        <x:f t="shared" si="16">IFERROR(IF(OR(G240="",G240&lt;=0,I240="",D240="",$F$1=""),0,IF($F$1&lt;D240,0,MIN(MAX(G240-1,0),MAX(0,(G240*I240/365)*H240)))),0)</x:f>
        <x:v>250.20328767123289</x:v>
      </x:c>
      <x:c r="K240" s="148" t="n">
        <x:f t="shared" si="17">IFERROR(IF(OR(G240="",G240&lt;=0),0,MAX(1,G240-J240)),0)</x:f>
        <x:v>249.79671232876711</x:v>
      </x:c>
      <x:c r="L240" s="148" t="n">
        <x:f t="shared" si="18">IFERROR(IF(OR(G240="",G240&lt;=0,I240="",D240="",$F$1=""),0,IF($F$1&lt;D240,0,IF(K240&lt;=1,0,MIN(G240*I240/12,K240-1)))),0)</x:f>
        <x:v>13.887500000000001</x:v>
      </x:c>
      <x:c r="M240" s="58" t="s">
        <x:v>18</x:v>
      </x:c>
    </x:row>
    <x:row r="241" ht="19.899999618530273" customHeight="1">
      <x:c r="A241" s="53">
        <x:f t="shared" si="19"/>
        <x:v>236</x:v>
      </x:c>
      <x:c r="B241" s="54" t="s">
        <x:v>110</x:v>
      </x:c>
      <x:c r="C241" s="54" t="s">
        <x:v>27</x:v>
      </x:c>
      <x:c r="D241" s="55">
        <x:v>45839</x:v>
      </x:c>
      <x:c r="E241" s="54" t="s">
        <x:v>124</x:v>
      </x:c>
      <x:c r="F241" s="54">
        <x:v>1</x:v>
      </x:c>
      <x:c r="G241" s="148">
        <x:v>2490</x:v>
      </x:c>
      <x:c r="H241" s="148" t="n">
        <x:f t="shared" si="15">IFERROR(IF(OR($F$1="",D241=""),0,MAX(0,$F$1-D241)),0)</x:f>
        <x:v>548</x:v>
      </x:c>
      <x:c r="I241" s="148">
        <x:v>0.33329999999999999</x:v>
      </x:c>
      <x:c r="J241" s="148" t="n">
        <x:f t="shared" si="16">IFERROR(IF(OR(G241="",G241&lt;=0,I241="",D241="",$F$1=""),0,IF($F$1&lt;D241,0,MIN(MAX(G241-1,0),MAX(0,(G241*I241/365)*H241)))),0)</x:f>
        <x:v>1246.0123726027398</x:v>
      </x:c>
      <x:c r="K241" s="148" t="n">
        <x:f t="shared" si="17">IFERROR(IF(OR(G241="",G241&lt;=0),0,MAX(1,G241-J241)),0)</x:f>
        <x:v>1243.9876273972602</x:v>
      </x:c>
      <x:c r="L241" s="148" t="n">
        <x:f t="shared" si="18">IFERROR(IF(OR(G241="",G241&lt;=0,I241="",D241="",$F$1=""),0,IF($F$1&lt;D241,0,IF(K241&lt;=1,0,MIN(G241*I241/12,K241-1)))),0)</x:f>
        <x:v>69.15974999999999</x:v>
      </x:c>
      <x:c r="M241" s="58" t="s">
        <x:v>18</x:v>
      </x:c>
    </x:row>
    <x:row r="242" ht="19.899999618530273" customHeight="1">
      <x:c r="A242" s="53">
        <x:f t="shared" si="19"/>
        <x:v>237</x:v>
      </x:c>
      <x:c r="B242" s="54" t="s">
        <x:v>110</x:v>
      </x:c>
      <x:c r="C242" s="54" t="s">
        <x:v>27</x:v>
      </x:c>
      <x:c r="D242" s="55">
        <x:v>45839</x:v>
      </x:c>
      <x:c r="E242" s="54" t="s">
        <x:v>124</x:v>
      </x:c>
      <x:c r="F242" s="54">
        <x:v>1</x:v>
      </x:c>
      <x:c r="G242" s="148">
        <x:v>2490</x:v>
      </x:c>
      <x:c r="H242" s="148" t="n">
        <x:f t="shared" si="15">IFERROR(IF(OR($F$1="",D242=""),0,MAX(0,$F$1-D242)),0)</x:f>
        <x:v>548</x:v>
      </x:c>
      <x:c r="I242" s="148">
        <x:v>0.33329999999999999</x:v>
      </x:c>
      <x:c r="J242" s="148" t="n">
        <x:f t="shared" si="16">IFERROR(IF(OR(G242="",G242&lt;=0,I242="",D242="",$F$1=""),0,IF($F$1&lt;D242,0,MIN(MAX(G242-1,0),MAX(0,(G242*I242/365)*H242)))),0)</x:f>
        <x:v>1246.0123726027398</x:v>
      </x:c>
      <x:c r="K242" s="148" t="n">
        <x:f t="shared" si="17">IFERROR(IF(OR(G242="",G242&lt;=0),0,MAX(1,G242-J242)),0)</x:f>
        <x:v>1243.9876273972602</x:v>
      </x:c>
      <x:c r="L242" s="148" t="n">
        <x:f t="shared" si="18">IFERROR(IF(OR(G242="",G242&lt;=0,I242="",D242="",$F$1=""),0,IF($F$1&lt;D242,0,IF(K242&lt;=1,0,MIN(G242*I242/12,K242-1)))),0)</x:f>
        <x:v>69.15974999999999</x:v>
      </x:c>
      <x:c r="M242" s="58" t="s">
        <x:v>18</x:v>
      </x:c>
    </x:row>
    <x:row r="243" ht="19.899999618530273" customHeight="1">
      <x:c r="A243" s="53">
        <x:f t="shared" si="19"/>
        <x:v>238</x:v>
      </x:c>
      <x:c r="B243" s="54" t="s">
        <x:v>110</x:v>
      </x:c>
      <x:c r="C243" s="54" t="s">
        <x:v>27</x:v>
      </x:c>
      <x:c r="D243" s="55">
        <x:v>45839</x:v>
      </x:c>
      <x:c r="E243" s="54" t="s">
        <x:v>32</x:v>
      </x:c>
      <x:c r="F243" s="54">
        <x:v>1</x:v>
      </x:c>
      <x:c r="G243" s="148">
        <x:v>900</x:v>
      </x:c>
      <x:c r="H243" s="148" t="n">
        <x:f t="shared" si="15">IFERROR(IF(OR($F$1="",D243=""),0,MAX(0,$F$1-D243)),0)</x:f>
        <x:v>548</x:v>
      </x:c>
      <x:c r="I243" s="148">
        <x:v>0.33329999999999999</x:v>
      </x:c>
      <x:c r="J243" s="148" t="n">
        <x:f t="shared" si="16">IFERROR(IF(OR(G243="",G243&lt;=0,I243="",D243="",$F$1=""),0,IF($F$1&lt;D243,0,MIN(MAX(G243-1,0),MAX(0,(G243*I243/365)*H243)))),0)</x:f>
        <x:v>450.36591780821914</x:v>
      </x:c>
      <x:c r="K243" s="148" t="n">
        <x:f t="shared" si="17">IFERROR(IF(OR(G243="",G243&lt;=0),0,MAX(1,G243-J243)),0)</x:f>
        <x:v>449.63408219178086</x:v>
      </x:c>
      <x:c r="L243" s="148" t="n">
        <x:f t="shared" si="18">IFERROR(IF(OR(G243="",G243&lt;=0,I243="",D243="",$F$1=""),0,IF($F$1&lt;D243,0,IF(K243&lt;=1,0,MIN(G243*I243/12,K243-1)))),0)</x:f>
        <x:v>24.9975</x:v>
      </x:c>
      <x:c r="M243" s="58" t="s">
        <x:v>18</x:v>
      </x:c>
    </x:row>
    <x:row r="244" ht="19.899999618530273" customHeight="1">
      <x:c r="A244" s="53">
        <x:f t="shared" si="19"/>
        <x:v>239</x:v>
      </x:c>
      <x:c r="B244" s="54" t="s">
        <x:v>110</x:v>
      </x:c>
      <x:c r="C244" s="54" t="s">
        <x:v>27</x:v>
      </x:c>
      <x:c r="D244" s="55">
        <x:v>45839</x:v>
      </x:c>
      <x:c r="E244" s="54" t="s">
        <x:v>125</x:v>
      </x:c>
      <x:c r="F244" s="54">
        <x:v>1</x:v>
      </x:c>
      <x:c r="G244" s="148">
        <x:v>194.78</x:v>
      </x:c>
      <x:c r="H244" s="148" t="n">
        <x:f t="shared" si="15">IFERROR(IF(OR($F$1="",D244=""),0,MAX(0,$F$1-D244)),0)</x:f>
        <x:v>548</x:v>
      </x:c>
      <x:c r="I244" s="148">
        <x:v>0.33329999999999999</x:v>
      </x:c>
      <x:c r="J244" s="148" t="n">
        <x:f t="shared" si="16">IFERROR(IF(OR(G244="",G244&lt;=0,I244="",D244="",$F$1=""),0,IF($F$1&lt;D244,0,MIN(MAX(G244-1,0),MAX(0,(G244*I244/365)*H244)))),0)</x:f>
        <x:v>97.46919274520549</x:v>
      </x:c>
      <x:c r="K244" s="148" t="n">
        <x:f t="shared" si="17">IFERROR(IF(OR(G244="",G244&lt;=0),0,MAX(1,G244-J244)),0)</x:f>
        <x:v>97.31080725479451</x:v>
      </x:c>
      <x:c r="L244" s="148" t="n">
        <x:f t="shared" si="18">IFERROR(IF(OR(G244="",G244&lt;=0,I244="",D244="",$F$1=""),0,IF($F$1&lt;D244,0,IF(K244&lt;=1,0,MIN(G244*I244/12,K244-1)))),0)</x:f>
        <x:v>5.4100145</x:v>
      </x:c>
      <x:c r="M244" s="58" t="s">
        <x:v>18</x:v>
      </x:c>
    </x:row>
    <x:row r="245" ht="19.899999618530273" customHeight="1">
      <x:c r="A245" s="53">
        <x:f t="shared" si="19"/>
        <x:v>240</x:v>
      </x:c>
      <x:c r="B245" s="54" t="s">
        <x:v>110</x:v>
      </x:c>
      <x:c r="C245" s="54" t="s">
        <x:v>27</x:v>
      </x:c>
      <x:c r="D245" s="55">
        <x:v>45839</x:v>
      </x:c>
      <x:c r="E245" s="54" t="s">
        <x:v>126</x:v>
      </x:c>
      <x:c r="F245" s="54">
        <x:v>1</x:v>
      </x:c>
      <x:c r="G245" s="148">
        <x:v>600</x:v>
      </x:c>
      <x:c r="H245" s="148" t="n">
        <x:f t="shared" si="15">IFERROR(IF(OR($F$1="",D245=""),0,MAX(0,$F$1-D245)),0)</x:f>
        <x:v>548</x:v>
      </x:c>
      <x:c r="I245" s="148">
        <x:v>0.33329999999999999</x:v>
      </x:c>
      <x:c r="J245" s="148" t="n">
        <x:f t="shared" si="16">IFERROR(IF(OR(G245="",G245&lt;=0,I245="",D245="",$F$1=""),0,IF($F$1&lt;D245,0,MIN(MAX(G245-1,0),MAX(0,(G245*I245/365)*H245)))),0)</x:f>
        <x:v>300.24394520547946</x:v>
      </x:c>
      <x:c r="K245" s="148" t="n">
        <x:f t="shared" si="17">IFERROR(IF(OR(G245="",G245&lt;=0),0,MAX(1,G245-J245)),0)</x:f>
        <x:v>299.75605479452054</x:v>
      </x:c>
      <x:c r="L245" s="148" t="n">
        <x:f t="shared" si="18">IFERROR(IF(OR(G245="",G245&lt;=0,I245="",D245="",$F$1=""),0,IF($F$1&lt;D245,0,IF(K245&lt;=1,0,MIN(G245*I245/12,K245-1)))),0)</x:f>
        <x:v>16.665</x:v>
      </x:c>
      <x:c r="M245" s="58" t="s">
        <x:v>18</x:v>
      </x:c>
    </x:row>
    <x:row r="246" ht="19.899999618530273" customHeight="1">
      <x:c r="A246" s="53">
        <x:f t="shared" si="19"/>
        <x:v>241</x:v>
      </x:c>
      <x:c r="B246" s="54" t="s">
        <x:v>110</x:v>
      </x:c>
      <x:c r="C246" s="54" t="s">
        <x:v>27</x:v>
      </x:c>
      <x:c r="D246" s="55">
        <x:v>45839</x:v>
      </x:c>
      <x:c r="E246" s="54" t="s">
        <x:v>126</x:v>
      </x:c>
      <x:c r="F246" s="54">
        <x:v>1</x:v>
      </x:c>
      <x:c r="G246" s="148">
        <x:v>600</x:v>
      </x:c>
      <x:c r="H246" s="148" t="n">
        <x:f t="shared" si="15">IFERROR(IF(OR($F$1="",D246=""),0,MAX(0,$F$1-D246)),0)</x:f>
        <x:v>548</x:v>
      </x:c>
      <x:c r="I246" s="148">
        <x:v>0.33329999999999999</x:v>
      </x:c>
      <x:c r="J246" s="148" t="n">
        <x:f t="shared" si="16">IFERROR(IF(OR(G246="",G246&lt;=0,I246="",D246="",$F$1=""),0,IF($F$1&lt;D246,0,MIN(MAX(G246-1,0),MAX(0,(G246*I246/365)*H246)))),0)</x:f>
        <x:v>300.24394520547946</x:v>
      </x:c>
      <x:c r="K246" s="148" t="n">
        <x:f t="shared" si="17">IFERROR(IF(OR(G246="",G246&lt;=0),0,MAX(1,G246-J246)),0)</x:f>
        <x:v>299.75605479452054</x:v>
      </x:c>
      <x:c r="L246" s="148" t="n">
        <x:f t="shared" si="18">IFERROR(IF(OR(G246="",G246&lt;=0,I246="",D246="",$F$1=""),0,IF($F$1&lt;D246,0,IF(K246&lt;=1,0,MIN(G246*I246/12,K246-1)))),0)</x:f>
        <x:v>16.665</x:v>
      </x:c>
      <x:c r="M246" s="58" t="s">
        <x:v>18</x:v>
      </x:c>
    </x:row>
    <x:row r="247" ht="19.899999618530273" customHeight="1">
      <x:c r="A247" s="53">
        <x:f t="shared" si="19"/>
        <x:v>242</x:v>
      </x:c>
      <x:c r="B247" s="54" t="s">
        <x:v>127</x:v>
      </x:c>
      <x:c r="C247" s="54" t="s">
        <x:v>16</x:v>
      </x:c>
      <x:c r="D247" s="55">
        <x:v>45757</x:v>
      </x:c>
      <x:c r="E247" s="54" t="s">
        <x:v>111</x:v>
      </x:c>
      <x:c r="F247" s="54">
        <x:v>1</x:v>
      </x:c>
      <x:c r="G247" s="148">
        <x:v>686.58</x:v>
      </x:c>
      <x:c r="H247" s="148" t="n">
        <x:f t="shared" si="15">IFERROR(IF(OR($F$1="",D247=""),0,MAX(0,$F$1-D247)),0)</x:f>
        <x:v>630</x:v>
      </x:c>
      <x:c r="I247" s="148">
        <x:v>0.2</x:v>
      </x:c>
      <x:c r="J247" s="148" t="n">
        <x:f t="shared" si="16">IFERROR(IF(OR(G247="",G247&lt;=0,I247="",D247="",$F$1=""),0,IF($F$1&lt;D247,0,MIN(MAX(G247-1,0),MAX(0,(G247*I247/365)*H247)))),0)</x:f>
        <x:v>237.0111780821918</x:v>
      </x:c>
      <x:c r="K247" s="148" t="n">
        <x:f t="shared" si="17">IFERROR(IF(OR(G247="",G247&lt;=0),0,MAX(1,G247-J247)),0)</x:f>
        <x:v>449.56882191780824</x:v>
      </x:c>
      <x:c r="L247" s="148" t="n">
        <x:f t="shared" si="18">IFERROR(IF(OR(G247="",G247&lt;=0,I247="",D247="",$F$1=""),0,IF($F$1&lt;D247,0,IF(K247&lt;=1,0,MIN(G247*I247/12,K247-1)))),0)</x:f>
        <x:v>11.443</x:v>
      </x:c>
      <x:c r="M247" s="58" t="s">
        <x:v>18</x:v>
      </x:c>
    </x:row>
    <x:row r="248" ht="19.899999618530273" customHeight="1">
      <x:c r="A248" s="53">
        <x:f t="shared" si="19"/>
        <x:v>243</x:v>
      </x:c>
      <x:c r="B248" s="54" t="s">
        <x:v>127</x:v>
      </x:c>
      <x:c r="C248" s="54" t="s">
        <x:v>21</x:v>
      </x:c>
      <x:c r="D248" s="55">
        <x:v>45778</x:v>
      </x:c>
      <x:c r="E248" s="54" t="s">
        <x:v>128</x:v>
      </x:c>
      <x:c r="F248" s="54">
        <x:v>1</x:v>
      </x:c>
      <x:c r="G248" s="148">
        <x:v>9000</x:v>
      </x:c>
      <x:c r="H248" s="148" t="n">
        <x:f t="shared" si="15">IFERROR(IF(OR($F$1="",D248=""),0,MAX(0,$F$1-D248)),0)</x:f>
        <x:v>609</x:v>
      </x:c>
      <x:c r="I248" s="148">
        <x:v>0.33329999999999999</x:v>
      </x:c>
      <x:c r="J248" s="148" t="n">
        <x:f t="shared" si="16">IFERROR(IF(OR(G248="",G248&lt;=0,I248="",D248="",$F$1=""),0,IF($F$1&lt;D248,0,MIN(MAX(G248-1,0),MAX(0,(G248*I248/365)*H248)))),0)</x:f>
        <x:v>5004.978904109588</x:v>
      </x:c>
      <x:c r="K248" s="148" t="n">
        <x:f t="shared" si="17">IFERROR(IF(OR(G248="",G248&lt;=0),0,MAX(1,G248-J248)),0)</x:f>
        <x:v>3995.0210958904117</x:v>
      </x:c>
      <x:c r="L248" s="148" t="n">
        <x:f t="shared" si="18">IFERROR(IF(OR(G248="",G248&lt;=0,I248="",D248="",$F$1=""),0,IF($F$1&lt;D248,0,IF(K248&lt;=1,0,MIN(G248*I248/12,K248-1)))),0)</x:f>
        <x:v>249.975</x:v>
      </x:c>
      <x:c r="M248" s="58" t="s">
        <x:v>18</x:v>
      </x:c>
    </x:row>
    <x:row r="249" ht="19.899999618530273" customHeight="1">
      <x:c r="A249" s="53">
        <x:f t="shared" si="19"/>
        <x:v>244</x:v>
      </x:c>
      <x:c r="B249" s="54" t="s">
        <x:v>127</x:v>
      </x:c>
      <x:c r="C249" s="54" t="s">
        <x:v>27</x:v>
      </x:c>
      <x:c r="D249" s="55">
        <x:v>45839</x:v>
      </x:c>
      <x:c r="E249" s="54" t="s">
        <x:v>129</x:v>
      </x:c>
      <x:c r="F249" s="54">
        <x:v>1</x:v>
      </x:c>
      <x:c r="G249" s="148">
        <x:v>160</x:v>
      </x:c>
      <x:c r="H249" s="148" t="n">
        <x:f t="shared" si="15">IFERROR(IF(OR($F$1="",D249=""),0,MAX(0,$F$1-D249)),0)</x:f>
        <x:v>548</x:v>
      </x:c>
      <x:c r="I249" s="148">
        <x:v>0.33329999999999999</x:v>
      </x:c>
      <x:c r="J249" s="148" t="n">
        <x:f t="shared" si="16">IFERROR(IF(OR(G249="",G249&lt;=0,I249="",D249="",$F$1=""),0,IF($F$1&lt;D249,0,MIN(MAX(G249-1,0),MAX(0,(G249*I249/365)*H249)))),0)</x:f>
        <x:v>80.0650520547945</x:v>
      </x:c>
      <x:c r="K249" s="148" t="n">
        <x:f t="shared" si="17">IFERROR(IF(OR(G249="",G249&lt;=0),0,MAX(1,G249-J249)),0)</x:f>
        <x:v>79.9349479452055</x:v>
      </x:c>
      <x:c r="L249" s="148" t="n">
        <x:f t="shared" si="18">IFERROR(IF(OR(G249="",G249&lt;=0,I249="",D249="",$F$1=""),0,IF($F$1&lt;D249,0,IF(K249&lt;=1,0,MIN(G249*I249/12,K249-1)))),0)</x:f>
        <x:v>4.444</x:v>
      </x:c>
      <x:c r="M249" s="58" t="s">
        <x:v>18</x:v>
      </x:c>
    </x:row>
    <x:row r="250" ht="19.899999618530273" customHeight="1">
      <x:c r="A250" s="53">
        <x:f t="shared" si="19"/>
        <x:v>245</x:v>
      </x:c>
      <x:c r="B250" s="54" t="s">
        <x:v>127</x:v>
      </x:c>
      <x:c r="C250" s="54" t="s">
        <x:v>27</x:v>
      </x:c>
      <x:c r="D250" s="55">
        <x:v>45839</x:v>
      </x:c>
      <x:c r="E250" s="54" t="s">
        <x:v>129</x:v>
      </x:c>
      <x:c r="F250" s="54">
        <x:v>1</x:v>
      </x:c>
      <x:c r="G250" s="148">
        <x:v>160</x:v>
      </x:c>
      <x:c r="H250" s="148" t="n">
        <x:f t="shared" si="15">IFERROR(IF(OR($F$1="",D250=""),0,MAX(0,$F$1-D250)),0)</x:f>
        <x:v>548</x:v>
      </x:c>
      <x:c r="I250" s="148">
        <x:v>0.33329999999999999</x:v>
      </x:c>
      <x:c r="J250" s="148" t="n">
        <x:f t="shared" si="16">IFERROR(IF(OR(G250="",G250&lt;=0,I250="",D250="",$F$1=""),0,IF($F$1&lt;D250,0,MIN(MAX(G250-1,0),MAX(0,(G250*I250/365)*H250)))),0)</x:f>
        <x:v>80.0650520547945</x:v>
      </x:c>
      <x:c r="K250" s="148" t="n">
        <x:f t="shared" si="17">IFERROR(IF(OR(G250="",G250&lt;=0),0,MAX(1,G250-J250)),0)</x:f>
        <x:v>79.9349479452055</x:v>
      </x:c>
      <x:c r="L250" s="148" t="n">
        <x:f t="shared" si="18">IFERROR(IF(OR(G250="",G250&lt;=0,I250="",D250="",$F$1=""),0,IF($F$1&lt;D250,0,IF(K250&lt;=1,0,MIN(G250*I250/12,K250-1)))),0)</x:f>
        <x:v>4.444</x:v>
      </x:c>
      <x:c r="M250" s="58" t="s">
        <x:v>18</x:v>
      </x:c>
    </x:row>
    <x:row r="251" ht="19.899999618530273" customHeight="1">
      <x:c r="A251" s="53">
        <x:f t="shared" si="19"/>
        <x:v>246</x:v>
      </x:c>
      <x:c r="B251" s="54" t="s">
        <x:v>127</x:v>
      </x:c>
      <x:c r="C251" s="54" t="s">
        <x:v>27</x:v>
      </x:c>
      <x:c r="D251" s="55">
        <x:v>45839</x:v>
      </x:c>
      <x:c r="E251" s="54" t="s">
        <x:v>129</x:v>
      </x:c>
      <x:c r="F251" s="54">
        <x:v>1</x:v>
      </x:c>
      <x:c r="G251" s="148">
        <x:v>160</x:v>
      </x:c>
      <x:c r="H251" s="148" t="n">
        <x:f t="shared" si="15">IFERROR(IF(OR($F$1="",D251=""),0,MAX(0,$F$1-D251)),0)</x:f>
        <x:v>548</x:v>
      </x:c>
      <x:c r="I251" s="148">
        <x:v>0.33329999999999999</x:v>
      </x:c>
      <x:c r="J251" s="148" t="n">
        <x:f t="shared" si="16">IFERROR(IF(OR(G251="",G251&lt;=0,I251="",D251="",$F$1=""),0,IF($F$1&lt;D251,0,MIN(MAX(G251-1,0),MAX(0,(G251*I251/365)*H251)))),0)</x:f>
        <x:v>80.0650520547945</x:v>
      </x:c>
      <x:c r="K251" s="148" t="n">
        <x:f t="shared" si="17">IFERROR(IF(OR(G251="",G251&lt;=0),0,MAX(1,G251-J251)),0)</x:f>
        <x:v>79.9349479452055</x:v>
      </x:c>
      <x:c r="L251" s="148" t="n">
        <x:f t="shared" si="18">IFERROR(IF(OR(G251="",G251&lt;=0,I251="",D251="",$F$1=""),0,IF($F$1&lt;D251,0,IF(K251&lt;=1,0,MIN(G251*I251/12,K251-1)))),0)</x:f>
        <x:v>4.444</x:v>
      </x:c>
      <x:c r="M251" s="58" t="s">
        <x:v>18</x:v>
      </x:c>
    </x:row>
    <x:row r="252" ht="19.899999618530273" customHeight="1">
      <x:c r="A252" s="53">
        <x:f t="shared" si="19"/>
        <x:v>247</x:v>
      </x:c>
      <x:c r="B252" s="54" t="s">
        <x:v>127</x:v>
      </x:c>
      <x:c r="C252" s="54" t="s">
        <x:v>27</x:v>
      </x:c>
      <x:c r="D252" s="55">
        <x:v>45839</x:v>
      </x:c>
      <x:c r="E252" s="54" t="s">
        <x:v>129</x:v>
      </x:c>
      <x:c r="F252" s="54">
        <x:v>1</x:v>
      </x:c>
      <x:c r="G252" s="148">
        <x:v>160</x:v>
      </x:c>
      <x:c r="H252" s="148" t="n">
        <x:f t="shared" si="15">IFERROR(IF(OR($F$1="",D252=""),0,MAX(0,$F$1-D252)),0)</x:f>
        <x:v>548</x:v>
      </x:c>
      <x:c r="I252" s="148">
        <x:v>0.33329999999999999</x:v>
      </x:c>
      <x:c r="J252" s="148" t="n">
        <x:f t="shared" si="16">IFERROR(IF(OR(G252="",G252&lt;=0,I252="",D252="",$F$1=""),0,IF($F$1&lt;D252,0,MIN(MAX(G252-1,0),MAX(0,(G252*I252/365)*H252)))),0)</x:f>
        <x:v>80.0650520547945</x:v>
      </x:c>
      <x:c r="K252" s="148" t="n">
        <x:f t="shared" si="17">IFERROR(IF(OR(G252="",G252&lt;=0),0,MAX(1,G252-J252)),0)</x:f>
        <x:v>79.9349479452055</x:v>
      </x:c>
      <x:c r="L252" s="148" t="n">
        <x:f t="shared" si="18">IFERROR(IF(OR(G252="",G252&lt;=0,I252="",D252="",$F$1=""),0,IF($F$1&lt;D252,0,IF(K252&lt;=1,0,MIN(G252*I252/12,K252-1)))),0)</x:f>
        <x:v>4.444</x:v>
      </x:c>
      <x:c r="M252" s="58" t="s">
        <x:v>18</x:v>
      </x:c>
    </x:row>
    <x:row r="253" ht="19.899999618530273" customHeight="1">
      <x:c r="A253" s="53">
        <x:f t="shared" si="19"/>
        <x:v>248</x:v>
      </x:c>
      <x:c r="B253" s="54" t="s">
        <x:v>127</x:v>
      </x:c>
      <x:c r="C253" s="54" t="s">
        <x:v>27</x:v>
      </x:c>
      <x:c r="D253" s="55">
        <x:v>45839</x:v>
      </x:c>
      <x:c r="E253" s="54" t="s">
        <x:v>129</x:v>
      </x:c>
      <x:c r="F253" s="54">
        <x:v>1</x:v>
      </x:c>
      <x:c r="G253" s="148">
        <x:v>160</x:v>
      </x:c>
      <x:c r="H253" s="148" t="n">
        <x:f t="shared" si="15">IFERROR(IF(OR($F$1="",D253=""),0,MAX(0,$F$1-D253)),0)</x:f>
        <x:v>548</x:v>
      </x:c>
      <x:c r="I253" s="148">
        <x:v>0.33329999999999999</x:v>
      </x:c>
      <x:c r="J253" s="148" t="n">
        <x:f t="shared" si="16">IFERROR(IF(OR(G253="",G253&lt;=0,I253="",D253="",$F$1=""),0,IF($F$1&lt;D253,0,MIN(MAX(G253-1,0),MAX(0,(G253*I253/365)*H253)))),0)</x:f>
        <x:v>80.0650520547945</x:v>
      </x:c>
      <x:c r="K253" s="148" t="n">
        <x:f t="shared" si="17">IFERROR(IF(OR(G253="",G253&lt;=0),0,MAX(1,G253-J253)),0)</x:f>
        <x:v>79.9349479452055</x:v>
      </x:c>
      <x:c r="L253" s="148" t="n">
        <x:f t="shared" si="18">IFERROR(IF(OR(G253="",G253&lt;=0,I253="",D253="",$F$1=""),0,IF($F$1&lt;D253,0,IF(K253&lt;=1,0,MIN(G253*I253/12,K253-1)))),0)</x:f>
        <x:v>4.444</x:v>
      </x:c>
      <x:c r="M253" s="58" t="s">
        <x:v>18</x:v>
      </x:c>
    </x:row>
    <x:row r="254" ht="19.899999618530273" customHeight="1">
      <x:c r="A254" s="53">
        <x:f t="shared" si="19"/>
        <x:v>249</x:v>
      </x:c>
      <x:c r="B254" s="54" t="s">
        <x:v>127</x:v>
      </x:c>
      <x:c r="C254" s="54" t="s">
        <x:v>27</x:v>
      </x:c>
      <x:c r="D254" s="55">
        <x:v>45839</x:v>
      </x:c>
      <x:c r="E254" s="54" t="s">
        <x:v>129</x:v>
      </x:c>
      <x:c r="F254" s="54">
        <x:v>1</x:v>
      </x:c>
      <x:c r="G254" s="148">
        <x:v>160</x:v>
      </x:c>
      <x:c r="H254" s="148" t="n">
        <x:f t="shared" si="15">IFERROR(IF(OR($F$1="",D254=""),0,MAX(0,$F$1-D254)),0)</x:f>
        <x:v>548</x:v>
      </x:c>
      <x:c r="I254" s="148">
        <x:v>0.33329999999999999</x:v>
      </x:c>
      <x:c r="J254" s="148" t="n">
        <x:f t="shared" si="16">IFERROR(IF(OR(G254="",G254&lt;=0,I254="",D254="",$F$1=""),0,IF($F$1&lt;D254,0,MIN(MAX(G254-1,0),MAX(0,(G254*I254/365)*H254)))),0)</x:f>
        <x:v>80.0650520547945</x:v>
      </x:c>
      <x:c r="K254" s="148" t="n">
        <x:f t="shared" si="17">IFERROR(IF(OR(G254="",G254&lt;=0),0,MAX(1,G254-J254)),0)</x:f>
        <x:v>79.9349479452055</x:v>
      </x:c>
      <x:c r="L254" s="148" t="n">
        <x:f t="shared" si="18">IFERROR(IF(OR(G254="",G254&lt;=0,I254="",D254="",$F$1=""),0,IF($F$1&lt;D254,0,IF(K254&lt;=1,0,MIN(G254*I254/12,K254-1)))),0)</x:f>
        <x:v>4.444</x:v>
      </x:c>
      <x:c r="M254" s="58" t="s">
        <x:v>18</x:v>
      </x:c>
    </x:row>
    <x:row r="255" ht="19.899999618530273" customHeight="1">
      <x:c r="A255" s="53">
        <x:f t="shared" si="19"/>
        <x:v>250</x:v>
      </x:c>
      <x:c r="B255" s="54" t="s">
        <x:v>127</x:v>
      </x:c>
      <x:c r="C255" s="54" t="s">
        <x:v>27</x:v>
      </x:c>
      <x:c r="D255" s="55">
        <x:v>45839</x:v>
      </x:c>
      <x:c r="E255" s="54" t="s">
        <x:v>129</x:v>
      </x:c>
      <x:c r="F255" s="54">
        <x:v>1</x:v>
      </x:c>
      <x:c r="G255" s="148">
        <x:v>160</x:v>
      </x:c>
      <x:c r="H255" s="148" t="n">
        <x:f t="shared" si="15">IFERROR(IF(OR($F$1="",D255=""),0,MAX(0,$F$1-D255)),0)</x:f>
        <x:v>548</x:v>
      </x:c>
      <x:c r="I255" s="148">
        <x:v>0.33329999999999999</x:v>
      </x:c>
      <x:c r="J255" s="148" t="n">
        <x:f t="shared" si="16">IFERROR(IF(OR(G255="",G255&lt;=0,I255="",D255="",$F$1=""),0,IF($F$1&lt;D255,0,MIN(MAX(G255-1,0),MAX(0,(G255*I255/365)*H255)))),0)</x:f>
        <x:v>80.0650520547945</x:v>
      </x:c>
      <x:c r="K255" s="148" t="n">
        <x:f t="shared" si="17">IFERROR(IF(OR(G255="",G255&lt;=0),0,MAX(1,G255-J255)),0)</x:f>
        <x:v>79.9349479452055</x:v>
      </x:c>
      <x:c r="L255" s="148" t="n">
        <x:f t="shared" si="18">IFERROR(IF(OR(G255="",G255&lt;=0,I255="",D255="",$F$1=""),0,IF($F$1&lt;D255,0,IF(K255&lt;=1,0,MIN(G255*I255/12,K255-1)))),0)</x:f>
        <x:v>4.444</x:v>
      </x:c>
      <x:c r="M255" s="58" t="s">
        <x:v>18</x:v>
      </x:c>
    </x:row>
    <x:row r="256" ht="19.899999618530273" customHeight="1">
      <x:c r="A256" s="53">
        <x:f t="shared" si="19"/>
        <x:v>251</x:v>
      </x:c>
      <x:c r="B256" s="54" t="s">
        <x:v>127</x:v>
      </x:c>
      <x:c r="C256" s="54" t="s">
        <x:v>27</x:v>
      </x:c>
      <x:c r="D256" s="55">
        <x:v>45839</x:v>
      </x:c>
      <x:c r="E256" s="54" t="s">
        <x:v>129</x:v>
      </x:c>
      <x:c r="F256" s="54">
        <x:v>1</x:v>
      </x:c>
      <x:c r="G256" s="148">
        <x:v>160</x:v>
      </x:c>
      <x:c r="H256" s="148" t="n">
        <x:f t="shared" si="15">IFERROR(IF(OR($F$1="",D256=""),0,MAX(0,$F$1-D256)),0)</x:f>
        <x:v>548</x:v>
      </x:c>
      <x:c r="I256" s="148">
        <x:v>0.33329999999999999</x:v>
      </x:c>
      <x:c r="J256" s="148" t="n">
        <x:f t="shared" si="16">IFERROR(IF(OR(G256="",G256&lt;=0,I256="",D256="",$F$1=""),0,IF($F$1&lt;D256,0,MIN(MAX(G256-1,0),MAX(0,(G256*I256/365)*H256)))),0)</x:f>
        <x:v>80.0650520547945</x:v>
      </x:c>
      <x:c r="K256" s="148" t="n">
        <x:f t="shared" si="17">IFERROR(IF(OR(G256="",G256&lt;=0),0,MAX(1,G256-J256)),0)</x:f>
        <x:v>79.9349479452055</x:v>
      </x:c>
      <x:c r="L256" s="148" t="n">
        <x:f t="shared" si="18">IFERROR(IF(OR(G256="",G256&lt;=0,I256="",D256="",$F$1=""),0,IF($F$1&lt;D256,0,IF(K256&lt;=1,0,MIN(G256*I256/12,K256-1)))),0)</x:f>
        <x:v>4.444</x:v>
      </x:c>
      <x:c r="M256" s="58" t="s">
        <x:v>18</x:v>
      </x:c>
    </x:row>
    <x:row r="257" ht="19.899999618530273" customHeight="1">
      <x:c r="A257" s="53">
        <x:f t="shared" si="19"/>
        <x:v>252</x:v>
      </x:c>
      <x:c r="B257" s="54" t="s">
        <x:v>127</x:v>
      </x:c>
      <x:c r="C257" s="54" t="s">
        <x:v>27</x:v>
      </x:c>
      <x:c r="D257" s="55">
        <x:v>45839</x:v>
      </x:c>
      <x:c r="E257" s="54" t="s">
        <x:v>129</x:v>
      </x:c>
      <x:c r="F257" s="54">
        <x:v>1</x:v>
      </x:c>
      <x:c r="G257" s="148">
        <x:v>160</x:v>
      </x:c>
      <x:c r="H257" s="148" t="n">
        <x:f t="shared" si="15">IFERROR(IF(OR($F$1="",D257=""),0,MAX(0,$F$1-D257)),0)</x:f>
        <x:v>548</x:v>
      </x:c>
      <x:c r="I257" s="148">
        <x:v>0.33329999999999999</x:v>
      </x:c>
      <x:c r="J257" s="148" t="n">
        <x:f t="shared" si="16">IFERROR(IF(OR(G257="",G257&lt;=0,I257="",D257="",$F$1=""),0,IF($F$1&lt;D257,0,MIN(MAX(G257-1,0),MAX(0,(G257*I257/365)*H257)))),0)</x:f>
        <x:v>80.0650520547945</x:v>
      </x:c>
      <x:c r="K257" s="148" t="n">
        <x:f t="shared" si="17">IFERROR(IF(OR(G257="",G257&lt;=0),0,MAX(1,G257-J257)),0)</x:f>
        <x:v>79.9349479452055</x:v>
      </x:c>
      <x:c r="L257" s="148" t="n">
        <x:f t="shared" si="18">IFERROR(IF(OR(G257="",G257&lt;=0,I257="",D257="",$F$1=""),0,IF($F$1&lt;D257,0,IF(K257&lt;=1,0,MIN(G257*I257/12,K257-1)))),0)</x:f>
        <x:v>4.444</x:v>
      </x:c>
      <x:c r="M257" s="58" t="s">
        <x:v>18</x:v>
      </x:c>
    </x:row>
    <x:row r="258" ht="19.899999618530273" customHeight="1">
      <x:c r="A258" s="53">
        <x:f t="shared" si="19"/>
        <x:v>253</x:v>
      </x:c>
      <x:c r="B258" s="54" t="s">
        <x:v>127</x:v>
      </x:c>
      <x:c r="C258" s="54" t="s">
        <x:v>27</x:v>
      </x:c>
      <x:c r="D258" s="55">
        <x:v>45839</x:v>
      </x:c>
      <x:c r="E258" s="54" t="s">
        <x:v>129</x:v>
      </x:c>
      <x:c r="F258" s="54">
        <x:v>1</x:v>
      </x:c>
      <x:c r="G258" s="148">
        <x:v>160</x:v>
      </x:c>
      <x:c r="H258" s="148" t="n">
        <x:f t="shared" si="15">IFERROR(IF(OR($F$1="",D258=""),0,MAX(0,$F$1-D258)),0)</x:f>
        <x:v>548</x:v>
      </x:c>
      <x:c r="I258" s="148">
        <x:v>0.33329999999999999</x:v>
      </x:c>
      <x:c r="J258" s="148" t="n">
        <x:f t="shared" si="16">IFERROR(IF(OR(G258="",G258&lt;=0,I258="",D258="",$F$1=""),0,IF($F$1&lt;D258,0,MIN(MAX(G258-1,0),MAX(0,(G258*I258/365)*H258)))),0)</x:f>
        <x:v>80.0650520547945</x:v>
      </x:c>
      <x:c r="K258" s="148" t="n">
        <x:f t="shared" si="17">IFERROR(IF(OR(G258="",G258&lt;=0),0,MAX(1,G258-J258)),0)</x:f>
        <x:v>79.9349479452055</x:v>
      </x:c>
      <x:c r="L258" s="148" t="n">
        <x:f t="shared" si="18">IFERROR(IF(OR(G258="",G258&lt;=0,I258="",D258="",$F$1=""),0,IF($F$1&lt;D258,0,IF(K258&lt;=1,0,MIN(G258*I258/12,K258-1)))),0)</x:f>
        <x:v>4.444</x:v>
      </x:c>
      <x:c r="M258" s="58" t="s">
        <x:v>18</x:v>
      </x:c>
    </x:row>
    <x:row r="259" ht="19.899999618530273" customHeight="1">
      <x:c r="A259" s="53">
        <x:f t="shared" si="19"/>
        <x:v>254</x:v>
      </x:c>
      <x:c r="B259" s="54" t="s">
        <x:v>127</x:v>
      </x:c>
      <x:c r="C259" s="54" t="s">
        <x:v>27</x:v>
      </x:c>
      <x:c r="D259" s="55">
        <x:v>45839</x:v>
      </x:c>
      <x:c r="E259" s="54" t="s">
        <x:v>129</x:v>
      </x:c>
      <x:c r="F259" s="54">
        <x:v>1</x:v>
      </x:c>
      <x:c r="G259" s="148">
        <x:v>160</x:v>
      </x:c>
      <x:c r="H259" s="148" t="n">
        <x:f t="shared" si="15">IFERROR(IF(OR($F$1="",D259=""),0,MAX(0,$F$1-D259)),0)</x:f>
        <x:v>548</x:v>
      </x:c>
      <x:c r="I259" s="148">
        <x:v>0.33329999999999999</x:v>
      </x:c>
      <x:c r="J259" s="148" t="n">
        <x:f t="shared" si="16">IFERROR(IF(OR(G259="",G259&lt;=0,I259="",D259="",$F$1=""),0,IF($F$1&lt;D259,0,MIN(MAX(G259-1,0),MAX(0,(G259*I259/365)*H259)))),0)</x:f>
        <x:v>80.0650520547945</x:v>
      </x:c>
      <x:c r="K259" s="148" t="n">
        <x:f t="shared" si="17">IFERROR(IF(OR(G259="",G259&lt;=0),0,MAX(1,G259-J259)),0)</x:f>
        <x:v>79.9349479452055</x:v>
      </x:c>
      <x:c r="L259" s="148" t="n">
        <x:f t="shared" si="18">IFERROR(IF(OR(G259="",G259&lt;=0,I259="",D259="",$F$1=""),0,IF($F$1&lt;D259,0,IF(K259&lt;=1,0,MIN(G259*I259/12,K259-1)))),0)</x:f>
        <x:v>4.444</x:v>
      </x:c>
      <x:c r="M259" s="58" t="s">
        <x:v>18</x:v>
      </x:c>
    </x:row>
    <x:row r="260" ht="19.899999618530273" customHeight="1">
      <x:c r="A260" s="53">
        <x:f t="shared" si="19"/>
        <x:v>255</x:v>
      </x:c>
      <x:c r="B260" s="54" t="s">
        <x:v>127</x:v>
      </x:c>
      <x:c r="C260" s="54" t="s">
        <x:v>27</x:v>
      </x:c>
      <x:c r="D260" s="55">
        <x:v>45839</x:v>
      </x:c>
      <x:c r="E260" s="54" t="s">
        <x:v>129</x:v>
      </x:c>
      <x:c r="F260" s="54">
        <x:v>1</x:v>
      </x:c>
      <x:c r="G260" s="148">
        <x:v>160</x:v>
      </x:c>
      <x:c r="H260" s="148" t="n">
        <x:f t="shared" si="15">IFERROR(IF(OR($F$1="",D260=""),0,MAX(0,$F$1-D260)),0)</x:f>
        <x:v>548</x:v>
      </x:c>
      <x:c r="I260" s="148">
        <x:v>0.33329999999999999</x:v>
      </x:c>
      <x:c r="J260" s="148" t="n">
        <x:f t="shared" si="16">IFERROR(IF(OR(G260="",G260&lt;=0,I260="",D260="",$F$1=""),0,IF($F$1&lt;D260,0,MIN(MAX(G260-1,0),MAX(0,(G260*I260/365)*H260)))),0)</x:f>
        <x:v>80.0650520547945</x:v>
      </x:c>
      <x:c r="K260" s="148" t="n">
        <x:f t="shared" si="17">IFERROR(IF(OR(G260="",G260&lt;=0),0,MAX(1,G260-J260)),0)</x:f>
        <x:v>79.9349479452055</x:v>
      </x:c>
      <x:c r="L260" s="148" t="n">
        <x:f t="shared" si="18">IFERROR(IF(OR(G260="",G260&lt;=0,I260="",D260="",$F$1=""),0,IF($F$1&lt;D260,0,IF(K260&lt;=1,0,MIN(G260*I260/12,K260-1)))),0)</x:f>
        <x:v>4.444</x:v>
      </x:c>
      <x:c r="M260" s="58" t="s">
        <x:v>18</x:v>
      </x:c>
    </x:row>
    <x:row r="261" ht="19.899999618530273" customHeight="1">
      <x:c r="A261" s="53">
        <x:f t="shared" si="19"/>
        <x:v>256</x:v>
      </x:c>
      <x:c r="B261" s="54" t="s">
        <x:v>127</x:v>
      </x:c>
      <x:c r="C261" s="54" t="s">
        <x:v>27</x:v>
      </x:c>
      <x:c r="D261" s="55">
        <x:v>45839</x:v>
      </x:c>
      <x:c r="E261" s="54" t="s">
        <x:v>129</x:v>
      </x:c>
      <x:c r="F261" s="54">
        <x:v>1</x:v>
      </x:c>
      <x:c r="G261" s="148">
        <x:v>160</x:v>
      </x:c>
      <x:c r="H261" s="148" t="n">
        <x:f t="shared" si="15">IFERROR(IF(OR($F$1="",D261=""),0,MAX(0,$F$1-D261)),0)</x:f>
        <x:v>548</x:v>
      </x:c>
      <x:c r="I261" s="148">
        <x:v>0.33329999999999999</x:v>
      </x:c>
      <x:c r="J261" s="148" t="n">
        <x:f t="shared" si="16">IFERROR(IF(OR(G261="",G261&lt;=0,I261="",D261="",$F$1=""),0,IF($F$1&lt;D261,0,MIN(MAX(G261-1,0),MAX(0,(G261*I261/365)*H261)))),0)</x:f>
        <x:v>80.0650520547945</x:v>
      </x:c>
      <x:c r="K261" s="148" t="n">
        <x:f t="shared" si="17">IFERROR(IF(OR(G261="",G261&lt;=0),0,MAX(1,G261-J261)),0)</x:f>
        <x:v>79.9349479452055</x:v>
      </x:c>
      <x:c r="L261" s="148" t="n">
        <x:f t="shared" si="18">IFERROR(IF(OR(G261="",G261&lt;=0,I261="",D261="",$F$1=""),0,IF($F$1&lt;D261,0,IF(K261&lt;=1,0,MIN(G261*I261/12,K261-1)))),0)</x:f>
        <x:v>4.444</x:v>
      </x:c>
      <x:c r="M261" s="58" t="s">
        <x:v>18</x:v>
      </x:c>
    </x:row>
    <x:row r="262" ht="19.899999618530273" customHeight="1">
      <x:c r="A262" s="53">
        <x:f t="shared" si="19"/>
        <x:v>257</x:v>
      </x:c>
      <x:c r="B262" s="54" t="s">
        <x:v>127</x:v>
      </x:c>
      <x:c r="C262" s="54" t="s">
        <x:v>27</x:v>
      </x:c>
      <x:c r="D262" s="55">
        <x:v>45839</x:v>
      </x:c>
      <x:c r="E262" s="54" t="s">
        <x:v>129</x:v>
      </x:c>
      <x:c r="F262" s="54">
        <x:v>1</x:v>
      </x:c>
      <x:c r="G262" s="148">
        <x:v>160</x:v>
      </x:c>
      <x:c r="H262" s="148" t="n">
        <x:f t="shared" ref="H262:H325" si="20">IFERROR(IF(OR($F$1="",D262=""),0,MAX(0,$F$1-D262)),0)</x:f>
        <x:v>548</x:v>
      </x:c>
      <x:c r="I262" s="148">
        <x:v>0.33329999999999999</x:v>
      </x:c>
      <x:c r="J262" s="148" t="n">
        <x:f t="shared" ref="J262:J325" si="21">IFERROR(IF(OR(G262="",G262&lt;=0,I262="",D262="",$F$1=""),0,IF($F$1&lt;D262,0,MIN(MAX(G262-1,0),MAX(0,(G262*I262/365)*H262)))),0)</x:f>
        <x:v>80.0650520547945</x:v>
      </x:c>
      <x:c r="K262" s="148" t="n">
        <x:f t="shared" ref="K262:K325" si="22">IFERROR(IF(OR(G262="",G262&lt;=0),0,MAX(1,G262-J262)),0)</x:f>
        <x:v>79.9349479452055</x:v>
      </x:c>
      <x:c r="L262" s="148" t="n">
        <x:f t="shared" ref="L262:L325" si="23">IFERROR(IF(OR(G262="",G262&lt;=0,I262="",D262="",$F$1=""),0,IF($F$1&lt;D262,0,IF(K262&lt;=1,0,MIN(G262*I262/12,K262-1)))),0)</x:f>
        <x:v>4.444</x:v>
      </x:c>
      <x:c r="M262" s="58" t="s">
        <x:v>18</x:v>
      </x:c>
    </x:row>
    <x:row r="263" ht="19.899999618530273" customHeight="1">
      <x:c r="A263" s="53">
        <x:f t="shared" si="19"/>
        <x:v>258</x:v>
      </x:c>
      <x:c r="B263" s="54" t="s">
        <x:v>127</x:v>
      </x:c>
      <x:c r="C263" s="54" t="s">
        <x:v>27</x:v>
      </x:c>
      <x:c r="D263" s="55">
        <x:v>45839</x:v>
      </x:c>
      <x:c r="E263" s="54" t="s">
        <x:v>129</x:v>
      </x:c>
      <x:c r="F263" s="54">
        <x:v>1</x:v>
      </x:c>
      <x:c r="G263" s="148">
        <x:v>160</x:v>
      </x:c>
      <x:c r="H263" s="148" t="n">
        <x:f t="shared" si="20">IFERROR(IF(OR($F$1="",D263=""),0,MAX(0,$F$1-D263)),0)</x:f>
        <x:v>548</x:v>
      </x:c>
      <x:c r="I263" s="148">
        <x:v>0.33329999999999999</x:v>
      </x:c>
      <x:c r="J263" s="148" t="n">
        <x:f t="shared" si="21">IFERROR(IF(OR(G263="",G263&lt;=0,I263="",D263="",$F$1=""),0,IF($F$1&lt;D263,0,MIN(MAX(G263-1,0),MAX(0,(G263*I263/365)*H263)))),0)</x:f>
        <x:v>80.0650520547945</x:v>
      </x:c>
      <x:c r="K263" s="148" t="n">
        <x:f t="shared" si="22">IFERROR(IF(OR(G263="",G263&lt;=0),0,MAX(1,G263-J263)),0)</x:f>
        <x:v>79.9349479452055</x:v>
      </x:c>
      <x:c r="L263" s="148" t="n">
        <x:f t="shared" si="23">IFERROR(IF(OR(G263="",G263&lt;=0,I263="",D263="",$F$1=""),0,IF($F$1&lt;D263,0,IF(K263&lt;=1,0,MIN(G263*I263/12,K263-1)))),0)</x:f>
        <x:v>4.444</x:v>
      </x:c>
      <x:c r="M263" s="58" t="s">
        <x:v>18</x:v>
      </x:c>
    </x:row>
    <x:row r="264" ht="19.899999618530273" customHeight="1">
      <x:c r="A264" s="53">
        <x:f t="shared" si="19"/>
        <x:v>259</x:v>
      </x:c>
      <x:c r="B264" s="54" t="s">
        <x:v>127</x:v>
      </x:c>
      <x:c r="C264" s="54" t="s">
        <x:v>27</x:v>
      </x:c>
      <x:c r="D264" s="55">
        <x:v>45839</x:v>
      </x:c>
      <x:c r="E264" s="54" t="s">
        <x:v>129</x:v>
      </x:c>
      <x:c r="F264" s="54">
        <x:v>1</x:v>
      </x:c>
      <x:c r="G264" s="148">
        <x:v>160</x:v>
      </x:c>
      <x:c r="H264" s="148" t="n">
        <x:f t="shared" si="20">IFERROR(IF(OR($F$1="",D264=""),0,MAX(0,$F$1-D264)),0)</x:f>
        <x:v>548</x:v>
      </x:c>
      <x:c r="I264" s="148">
        <x:v>0.33329999999999999</x:v>
      </x:c>
      <x:c r="J264" s="148" t="n">
        <x:f t="shared" si="21">IFERROR(IF(OR(G264="",G264&lt;=0,I264="",D264="",$F$1=""),0,IF($F$1&lt;D264,0,MIN(MAX(G264-1,0),MAX(0,(G264*I264/365)*H264)))),0)</x:f>
        <x:v>80.0650520547945</x:v>
      </x:c>
      <x:c r="K264" s="148" t="n">
        <x:f t="shared" si="22">IFERROR(IF(OR(G264="",G264&lt;=0),0,MAX(1,G264-J264)),0)</x:f>
        <x:v>79.9349479452055</x:v>
      </x:c>
      <x:c r="L264" s="148" t="n">
        <x:f t="shared" si="23">IFERROR(IF(OR(G264="",G264&lt;=0,I264="",D264="",$F$1=""),0,IF($F$1&lt;D264,0,IF(K264&lt;=1,0,MIN(G264*I264/12,K264-1)))),0)</x:f>
        <x:v>4.444</x:v>
      </x:c>
      <x:c r="M264" s="58" t="s">
        <x:v>18</x:v>
      </x:c>
    </x:row>
    <x:row r="265" ht="19.899999618530273" customHeight="1">
      <x:c r="A265" s="53" t="n">
        <x:f t="shared" ref="A265:A328" si="24">A264+1</x:f>
        <x:v>260</x:v>
      </x:c>
      <x:c r="B265" s="54" t="s">
        <x:v>127</x:v>
      </x:c>
      <x:c r="C265" s="54" t="s">
        <x:v>27</x:v>
      </x:c>
      <x:c r="D265" s="55">
        <x:v>45839</x:v>
      </x:c>
      <x:c r="E265" s="54" t="s">
        <x:v>130</x:v>
      </x:c>
      <x:c r="F265" s="54">
        <x:v>1</x:v>
      </x:c>
      <x:c r="G265" s="148">
        <x:v>300</x:v>
      </x:c>
      <x:c r="H265" s="148" t="n">
        <x:f t="shared" si="20">IFERROR(IF(OR($F$1="",D265=""),0,MAX(0,$F$1-D265)),0)</x:f>
        <x:v>548</x:v>
      </x:c>
      <x:c r="I265" s="148">
        <x:v>0.33329999999999999</x:v>
      </x:c>
      <x:c r="J265" s="148" t="n">
        <x:f t="shared" si="21">IFERROR(IF(OR(G265="",G265&lt;=0,I265="",D265="",$F$1=""),0,IF($F$1&lt;D265,0,MIN(MAX(G265-1,0),MAX(0,(G265*I265/365)*H265)))),0)</x:f>
        <x:v>150.12197260273973</x:v>
      </x:c>
      <x:c r="K265" s="148" t="n">
        <x:f t="shared" si="22">IFERROR(IF(OR(G265="",G265&lt;=0),0,MAX(1,G265-J265)),0)</x:f>
        <x:v>149.87802739726027</x:v>
      </x:c>
      <x:c r="L265" s="148" t="n">
        <x:f t="shared" si="23">IFERROR(IF(OR(G265="",G265&lt;=0,I265="",D265="",$F$1=""),0,IF($F$1&lt;D265,0,IF(K265&lt;=1,0,MIN(G265*I265/12,K265-1)))),0)</x:f>
        <x:v>8.3325</x:v>
      </x:c>
      <x:c r="M265" s="58" t="s">
        <x:v>18</x:v>
      </x:c>
    </x:row>
    <x:row r="266" ht="19.899999618530273" customHeight="1">
      <x:c r="A266" s="53">
        <x:f t="shared" si="24"/>
        <x:v>261</x:v>
      </x:c>
      <x:c r="B266" s="54" t="s">
        <x:v>127</x:v>
      </x:c>
      <x:c r="C266" s="54" t="s">
        <x:v>27</x:v>
      </x:c>
      <x:c r="D266" s="55">
        <x:v>45839</x:v>
      </x:c>
      <x:c r="E266" s="54" t="s">
        <x:v>131</x:v>
      </x:c>
      <x:c r="F266" s="54">
        <x:v>1</x:v>
      </x:c>
      <x:c r="G266" s="148">
        <x:v>1150</x:v>
      </x:c>
      <x:c r="H266" s="148" t="n">
        <x:f t="shared" si="20">IFERROR(IF(OR($F$1="",D266=""),0,MAX(0,$F$1-D266)),0)</x:f>
        <x:v>548</x:v>
      </x:c>
      <x:c r="I266" s="148">
        <x:v>0.33329999999999999</x:v>
      </x:c>
      <x:c r="J266" s="148" t="n">
        <x:f t="shared" si="21">IFERROR(IF(OR(G266="",G266&lt;=0,I266="",D266="",$F$1=""),0,IF($F$1&lt;D266,0,MIN(MAX(G266-1,0),MAX(0,(G266*I266/365)*H266)))),0)</x:f>
        <x:v>575.4675616438356</x:v>
      </x:c>
      <x:c r="K266" s="148" t="n">
        <x:f t="shared" si="22">IFERROR(IF(OR(G266="",G266&lt;=0),0,MAX(1,G266-J266)),0)</x:f>
        <x:v>574.5324383561644</x:v>
      </x:c>
      <x:c r="L266" s="148" t="n">
        <x:f t="shared" si="23">IFERROR(IF(OR(G266="",G266&lt;=0,I266="",D266="",$F$1=""),0,IF($F$1&lt;D266,0,IF(K266&lt;=1,0,MIN(G266*I266/12,K266-1)))),0)</x:f>
        <x:v>31.941249999999997</x:v>
      </x:c>
      <x:c r="M266" s="58" t="s">
        <x:v>18</x:v>
      </x:c>
    </x:row>
    <x:row r="267" ht="19.899999618530273" customHeight="1">
      <x:c r="A267" s="53">
        <x:f t="shared" si="24"/>
        <x:v>262</x:v>
      </x:c>
      <x:c r="B267" s="54" t="s">
        <x:v>127</x:v>
      </x:c>
      <x:c r="C267" s="54" t="s">
        <x:v>27</x:v>
      </x:c>
      <x:c r="D267" s="55">
        <x:v>45839</x:v>
      </x:c>
      <x:c r="E267" s="54" t="s">
        <x:v>118</x:v>
      </x:c>
      <x:c r="F267" s="54">
        <x:v>1</x:v>
      </x:c>
      <x:c r="G267" s="148">
        <x:v>700</x:v>
      </x:c>
      <x:c r="H267" s="148" t="n">
        <x:f t="shared" si="20">IFERROR(IF(OR($F$1="",D267=""),0,MAX(0,$F$1-D267)),0)</x:f>
        <x:v>548</x:v>
      </x:c>
      <x:c r="I267" s="148">
        <x:v>0.33329999999999999</x:v>
      </x:c>
      <x:c r="J267" s="148" t="n">
        <x:f t="shared" si="21">IFERROR(IF(OR(G267="",G267&lt;=0,I267="",D267="",$F$1=""),0,IF($F$1&lt;D267,0,MIN(MAX(G267-1,0),MAX(0,(G267*I267/365)*H267)))),0)</x:f>
        <x:v>350.284602739726</x:v>
      </x:c>
      <x:c r="K267" s="148" t="n">
        <x:f t="shared" si="22">IFERROR(IF(OR(G267="",G267&lt;=0),0,MAX(1,G267-J267)),0)</x:f>
        <x:v>349.715397260274</x:v>
      </x:c>
      <x:c r="L267" s="148" t="n">
        <x:f t="shared" si="23">IFERROR(IF(OR(G267="",G267&lt;=0,I267="",D267="",$F$1=""),0,IF($F$1&lt;D267,0,IF(K267&lt;=1,0,MIN(G267*I267/12,K267-1)))),0)</x:f>
        <x:v>19.4425</x:v>
      </x:c>
      <x:c r="M267" s="58" t="s">
        <x:v>18</x:v>
      </x:c>
    </x:row>
    <x:row r="268" ht="19.899999618530273" customHeight="1">
      <x:c r="A268" s="53">
        <x:f t="shared" si="24"/>
        <x:v>263</x:v>
      </x:c>
      <x:c r="B268" s="54" t="s">
        <x:v>132</x:v>
      </x:c>
      <x:c r="C268" s="54" t="s">
        <x:v>16</x:v>
      </x:c>
      <x:c r="D268" s="55">
        <x:v>45757</x:v>
      </x:c>
      <x:c r="E268" s="54" t="s">
        <x:v>111</x:v>
      </x:c>
      <x:c r="F268" s="54">
        <x:v>1</x:v>
      </x:c>
      <x:c r="G268" s="148">
        <x:v>686.58</x:v>
      </x:c>
      <x:c r="H268" s="148" t="n">
        <x:f t="shared" si="20">IFERROR(IF(OR($F$1="",D268=""),0,MAX(0,$F$1-D268)),0)</x:f>
        <x:v>630</x:v>
      </x:c>
      <x:c r="I268" s="148">
        <x:v>0.2</x:v>
      </x:c>
      <x:c r="J268" s="148" t="n">
        <x:f t="shared" si="21">IFERROR(IF(OR(G268="",G268&lt;=0,I268="",D268="",$F$1=""),0,IF($F$1&lt;D268,0,MIN(MAX(G268-1,0),MAX(0,(G268*I268/365)*H268)))),0)</x:f>
        <x:v>237.0111780821918</x:v>
      </x:c>
      <x:c r="K268" s="148" t="n">
        <x:f t="shared" si="22">IFERROR(IF(OR(G268="",G268&lt;=0),0,MAX(1,G268-J268)),0)</x:f>
        <x:v>449.56882191780824</x:v>
      </x:c>
      <x:c r="L268" s="148" t="n">
        <x:f t="shared" si="23">IFERROR(IF(OR(G268="",G268&lt;=0,I268="",D268="",$F$1=""),0,IF($F$1&lt;D268,0,IF(K268&lt;=1,0,MIN(G268*I268/12,K268-1)))),0)</x:f>
        <x:v>11.443</x:v>
      </x:c>
      <x:c r="M268" s="58" t="s">
        <x:v>18</x:v>
      </x:c>
    </x:row>
    <x:row r="269" ht="19.899999618530273" customHeight="1">
      <x:c r="A269" s="53">
        <x:f t="shared" si="24"/>
        <x:v>264</x:v>
      </x:c>
      <x:c r="B269" s="54" t="s">
        <x:v>132</x:v>
      </x:c>
      <x:c r="C269" s="54" t="s">
        <x:v>21</x:v>
      </x:c>
      <x:c r="D269" s="55">
        <x:v>45778</x:v>
      </x:c>
      <x:c r="E269" s="54" t="s">
        <x:v>133</x:v>
      </x:c>
      <x:c r="F269" s="54">
        <x:v>1</x:v>
      </x:c>
      <x:c r="G269" s="148">
        <x:v>9000</x:v>
      </x:c>
      <x:c r="H269" s="148" t="n">
        <x:f t="shared" si="20">IFERROR(IF(OR($F$1="",D269=""),0,MAX(0,$F$1-D269)),0)</x:f>
        <x:v>609</x:v>
      </x:c>
      <x:c r="I269" s="148">
        <x:v>0.33329999999999999</x:v>
      </x:c>
      <x:c r="J269" s="148" t="n">
        <x:f t="shared" si="21">IFERROR(IF(OR(G269="",G269&lt;=0,I269="",D269="",$F$1=""),0,IF($F$1&lt;D269,0,MIN(MAX(G269-1,0),MAX(0,(G269*I269/365)*H269)))),0)</x:f>
        <x:v>5004.978904109588</x:v>
      </x:c>
      <x:c r="K269" s="148" t="n">
        <x:f t="shared" si="22">IFERROR(IF(OR(G269="",G269&lt;=0),0,MAX(1,G269-J269)),0)</x:f>
        <x:v>3995.0210958904117</x:v>
      </x:c>
      <x:c r="L269" s="148" t="n">
        <x:f t="shared" si="23">IFERROR(IF(OR(G269="",G269&lt;=0,I269="",D269="",$F$1=""),0,IF($F$1&lt;D269,0,IF(K269&lt;=1,0,MIN(G269*I269/12,K269-1)))),0)</x:f>
        <x:v>249.975</x:v>
      </x:c>
      <x:c r="M269" s="58" t="s">
        <x:v>18</x:v>
      </x:c>
    </x:row>
    <x:row r="270" ht="19.899999618530273" customHeight="1">
      <x:c r="A270" s="53">
        <x:f t="shared" si="24"/>
        <x:v>265</x:v>
      </x:c>
      <x:c r="B270" s="54" t="s">
        <x:v>132</x:v>
      </x:c>
      <x:c r="C270" s="54" t="s">
        <x:v>27</x:v>
      </x:c>
      <x:c r="D270" s="55">
        <x:v>45839</x:v>
      </x:c>
      <x:c r="E270" s="54" t="s">
        <x:v>134</x:v>
      </x:c>
      <x:c r="F270" s="54">
        <x:v>1</x:v>
      </x:c>
      <x:c r="G270" s="148">
        <x:v>160</x:v>
      </x:c>
      <x:c r="H270" s="148" t="n">
        <x:f t="shared" si="20">IFERROR(IF(OR($F$1="",D270=""),0,MAX(0,$F$1-D270)),0)</x:f>
        <x:v>548</x:v>
      </x:c>
      <x:c r="I270" s="148">
        <x:v>0.33329999999999999</x:v>
      </x:c>
      <x:c r="J270" s="148" t="n">
        <x:f t="shared" si="21">IFERROR(IF(OR(G270="",G270&lt;=0,I270="",D270="",$F$1=""),0,IF($F$1&lt;D270,0,MIN(MAX(G270-1,0),MAX(0,(G270*I270/365)*H270)))),0)</x:f>
        <x:v>80.0650520547945</x:v>
      </x:c>
      <x:c r="K270" s="148" t="n">
        <x:f t="shared" si="22">IFERROR(IF(OR(G270="",G270&lt;=0),0,MAX(1,G270-J270)),0)</x:f>
        <x:v>79.9349479452055</x:v>
      </x:c>
      <x:c r="L270" s="148" t="n">
        <x:f t="shared" si="23">IFERROR(IF(OR(G270="",G270&lt;=0,I270="",D270="",$F$1=""),0,IF($F$1&lt;D270,0,IF(K270&lt;=1,0,MIN(G270*I270/12,K270-1)))),0)</x:f>
        <x:v>4.444</x:v>
      </x:c>
      <x:c r="M270" s="58" t="s">
        <x:v>18</x:v>
      </x:c>
    </x:row>
    <x:row r="271" ht="19.899999618530273" customHeight="1">
      <x:c r="A271" s="53">
        <x:f t="shared" si="24"/>
        <x:v>266</x:v>
      </x:c>
      <x:c r="B271" s="54" t="s">
        <x:v>132</x:v>
      </x:c>
      <x:c r="C271" s="54" t="s">
        <x:v>27</x:v>
      </x:c>
      <x:c r="D271" s="55">
        <x:v>45839</x:v>
      </x:c>
      <x:c r="E271" s="54" t="s">
        <x:v>134</x:v>
      </x:c>
      <x:c r="F271" s="54">
        <x:v>1</x:v>
      </x:c>
      <x:c r="G271" s="148">
        <x:v>160</x:v>
      </x:c>
      <x:c r="H271" s="148" t="n">
        <x:f t="shared" si="20">IFERROR(IF(OR($F$1="",D271=""),0,MAX(0,$F$1-D271)),0)</x:f>
        <x:v>548</x:v>
      </x:c>
      <x:c r="I271" s="148">
        <x:v>0.33329999999999999</x:v>
      </x:c>
      <x:c r="J271" s="148" t="n">
        <x:f t="shared" si="21">IFERROR(IF(OR(G271="",G271&lt;=0,I271="",D271="",$F$1=""),0,IF($F$1&lt;D271,0,MIN(MAX(G271-1,0),MAX(0,(G271*I271/365)*H271)))),0)</x:f>
        <x:v>80.0650520547945</x:v>
      </x:c>
      <x:c r="K271" s="148" t="n">
        <x:f t="shared" si="22">IFERROR(IF(OR(G271="",G271&lt;=0),0,MAX(1,G271-J271)),0)</x:f>
        <x:v>79.9349479452055</x:v>
      </x:c>
      <x:c r="L271" s="148" t="n">
        <x:f t="shared" si="23">IFERROR(IF(OR(G271="",G271&lt;=0,I271="",D271="",$F$1=""),0,IF($F$1&lt;D271,0,IF(K271&lt;=1,0,MIN(G271*I271/12,K271-1)))),0)</x:f>
        <x:v>4.444</x:v>
      </x:c>
      <x:c r="M271" s="58" t="s">
        <x:v>18</x:v>
      </x:c>
    </x:row>
    <x:row r="272" ht="19.899999618530273" customHeight="1">
      <x:c r="A272" s="53">
        <x:f t="shared" si="24"/>
        <x:v>267</x:v>
      </x:c>
      <x:c r="B272" s="54" t="s">
        <x:v>132</x:v>
      </x:c>
      <x:c r="C272" s="54" t="s">
        <x:v>27</x:v>
      </x:c>
      <x:c r="D272" s="55">
        <x:v>45839</x:v>
      </x:c>
      <x:c r="E272" s="54" t="s">
        <x:v>134</x:v>
      </x:c>
      <x:c r="F272" s="54">
        <x:v>1</x:v>
      </x:c>
      <x:c r="G272" s="148">
        <x:v>160</x:v>
      </x:c>
      <x:c r="H272" s="148" t="n">
        <x:f t="shared" si="20">IFERROR(IF(OR($F$1="",D272=""),0,MAX(0,$F$1-D272)),0)</x:f>
        <x:v>548</x:v>
      </x:c>
      <x:c r="I272" s="148">
        <x:v>0.33329999999999999</x:v>
      </x:c>
      <x:c r="J272" s="148" t="n">
        <x:f t="shared" si="21">IFERROR(IF(OR(G272="",G272&lt;=0,I272="",D272="",$F$1=""),0,IF($F$1&lt;D272,0,MIN(MAX(G272-1,0),MAX(0,(G272*I272/365)*H272)))),0)</x:f>
        <x:v>80.0650520547945</x:v>
      </x:c>
      <x:c r="K272" s="148" t="n">
        <x:f t="shared" si="22">IFERROR(IF(OR(G272="",G272&lt;=0),0,MAX(1,G272-J272)),0)</x:f>
        <x:v>79.9349479452055</x:v>
      </x:c>
      <x:c r="L272" s="148" t="n">
        <x:f t="shared" si="23">IFERROR(IF(OR(G272="",G272&lt;=0,I272="",D272="",$F$1=""),0,IF($F$1&lt;D272,0,IF(K272&lt;=1,0,MIN(G272*I272/12,K272-1)))),0)</x:f>
        <x:v>4.444</x:v>
      </x:c>
      <x:c r="M272" s="58" t="s">
        <x:v>18</x:v>
      </x:c>
    </x:row>
    <x:row r="273" ht="19.899999618530273" customHeight="1">
      <x:c r="A273" s="53">
        <x:f t="shared" si="24"/>
        <x:v>268</x:v>
      </x:c>
      <x:c r="B273" s="54" t="s">
        <x:v>132</x:v>
      </x:c>
      <x:c r="C273" s="54" t="s">
        <x:v>27</x:v>
      </x:c>
      <x:c r="D273" s="55">
        <x:v>45839</x:v>
      </x:c>
      <x:c r="E273" s="54" t="s">
        <x:v>134</x:v>
      </x:c>
      <x:c r="F273" s="54">
        <x:v>1</x:v>
      </x:c>
      <x:c r="G273" s="148">
        <x:v>160</x:v>
      </x:c>
      <x:c r="H273" s="148" t="n">
        <x:f t="shared" si="20">IFERROR(IF(OR($F$1="",D273=""),0,MAX(0,$F$1-D273)),0)</x:f>
        <x:v>548</x:v>
      </x:c>
      <x:c r="I273" s="148">
        <x:v>0.33329999999999999</x:v>
      </x:c>
      <x:c r="J273" s="148" t="n">
        <x:f t="shared" si="21">IFERROR(IF(OR(G273="",G273&lt;=0,I273="",D273="",$F$1=""),0,IF($F$1&lt;D273,0,MIN(MAX(G273-1,0),MAX(0,(G273*I273/365)*H273)))),0)</x:f>
        <x:v>80.0650520547945</x:v>
      </x:c>
      <x:c r="K273" s="148" t="n">
        <x:f t="shared" si="22">IFERROR(IF(OR(G273="",G273&lt;=0),0,MAX(1,G273-J273)),0)</x:f>
        <x:v>79.9349479452055</x:v>
      </x:c>
      <x:c r="L273" s="148" t="n">
        <x:f t="shared" si="23">IFERROR(IF(OR(G273="",G273&lt;=0,I273="",D273="",$F$1=""),0,IF($F$1&lt;D273,0,IF(K273&lt;=1,0,MIN(G273*I273/12,K273-1)))),0)</x:f>
        <x:v>4.444</x:v>
      </x:c>
      <x:c r="M273" s="58" t="s">
        <x:v>18</x:v>
      </x:c>
    </x:row>
    <x:row r="274" ht="19.899999618530273" customHeight="1">
      <x:c r="A274" s="53">
        <x:f t="shared" si="24"/>
        <x:v>269</x:v>
      </x:c>
      <x:c r="B274" s="54" t="s">
        <x:v>132</x:v>
      </x:c>
      <x:c r="C274" s="54" t="s">
        <x:v>27</x:v>
      </x:c>
      <x:c r="D274" s="55">
        <x:v>45839</x:v>
      </x:c>
      <x:c r="E274" s="54" t="s">
        <x:v>134</x:v>
      </x:c>
      <x:c r="F274" s="54">
        <x:v>1</x:v>
      </x:c>
      <x:c r="G274" s="148">
        <x:v>160</x:v>
      </x:c>
      <x:c r="H274" s="148" t="n">
        <x:f t="shared" si="20">IFERROR(IF(OR($F$1="",D274=""),0,MAX(0,$F$1-D274)),0)</x:f>
        <x:v>548</x:v>
      </x:c>
      <x:c r="I274" s="148">
        <x:v>0.33329999999999999</x:v>
      </x:c>
      <x:c r="J274" s="148" t="n">
        <x:f t="shared" si="21">IFERROR(IF(OR(G274="",G274&lt;=0,I274="",D274="",$F$1=""),0,IF($F$1&lt;D274,0,MIN(MAX(G274-1,0),MAX(0,(G274*I274/365)*H274)))),0)</x:f>
        <x:v>80.0650520547945</x:v>
      </x:c>
      <x:c r="K274" s="148" t="n">
        <x:f t="shared" si="22">IFERROR(IF(OR(G274="",G274&lt;=0),0,MAX(1,G274-J274)),0)</x:f>
        <x:v>79.9349479452055</x:v>
      </x:c>
      <x:c r="L274" s="148" t="n">
        <x:f t="shared" si="23">IFERROR(IF(OR(G274="",G274&lt;=0,I274="",D274="",$F$1=""),0,IF($F$1&lt;D274,0,IF(K274&lt;=1,0,MIN(G274*I274/12,K274-1)))),0)</x:f>
        <x:v>4.444</x:v>
      </x:c>
      <x:c r="M274" s="58" t="s">
        <x:v>18</x:v>
      </x:c>
    </x:row>
    <x:row r="275" ht="19.899999618530273" customHeight="1">
      <x:c r="A275" s="53">
        <x:f t="shared" si="24"/>
        <x:v>270</x:v>
      </x:c>
      <x:c r="B275" s="54" t="s">
        <x:v>132</x:v>
      </x:c>
      <x:c r="C275" s="54" t="s">
        <x:v>27</x:v>
      </x:c>
      <x:c r="D275" s="55">
        <x:v>45839</x:v>
      </x:c>
      <x:c r="E275" s="54" t="s">
        <x:v>134</x:v>
      </x:c>
      <x:c r="F275" s="54">
        <x:v>1</x:v>
      </x:c>
      <x:c r="G275" s="148">
        <x:v>160</x:v>
      </x:c>
      <x:c r="H275" s="148" t="n">
        <x:f t="shared" si="20">IFERROR(IF(OR($F$1="",D275=""),0,MAX(0,$F$1-D275)),0)</x:f>
        <x:v>548</x:v>
      </x:c>
      <x:c r="I275" s="148">
        <x:v>0.33329999999999999</x:v>
      </x:c>
      <x:c r="J275" s="148" t="n">
        <x:f t="shared" si="21">IFERROR(IF(OR(G275="",G275&lt;=0,I275="",D275="",$F$1=""),0,IF($F$1&lt;D275,0,MIN(MAX(G275-1,0),MAX(0,(G275*I275/365)*H275)))),0)</x:f>
        <x:v>80.0650520547945</x:v>
      </x:c>
      <x:c r="K275" s="148" t="n">
        <x:f t="shared" si="22">IFERROR(IF(OR(G275="",G275&lt;=0),0,MAX(1,G275-J275)),0)</x:f>
        <x:v>79.9349479452055</x:v>
      </x:c>
      <x:c r="L275" s="148" t="n">
        <x:f t="shared" si="23">IFERROR(IF(OR(G275="",G275&lt;=0,I275="",D275="",$F$1=""),0,IF($F$1&lt;D275,0,IF(K275&lt;=1,0,MIN(G275*I275/12,K275-1)))),0)</x:f>
        <x:v>4.444</x:v>
      </x:c>
      <x:c r="M275" s="58" t="s">
        <x:v>18</x:v>
      </x:c>
    </x:row>
    <x:row r="276" ht="19.899999618530273" customHeight="1">
      <x:c r="A276" s="53">
        <x:f t="shared" si="24"/>
        <x:v>271</x:v>
      </x:c>
      <x:c r="B276" s="54" t="s">
        <x:v>132</x:v>
      </x:c>
      <x:c r="C276" s="54" t="s">
        <x:v>27</x:v>
      </x:c>
      <x:c r="D276" s="55">
        <x:v>45839</x:v>
      </x:c>
      <x:c r="E276" s="54" t="s">
        <x:v>134</x:v>
      </x:c>
      <x:c r="F276" s="54">
        <x:v>1</x:v>
      </x:c>
      <x:c r="G276" s="148">
        <x:v>160</x:v>
      </x:c>
      <x:c r="H276" s="148" t="n">
        <x:f t="shared" si="20">IFERROR(IF(OR($F$1="",D276=""),0,MAX(0,$F$1-D276)),0)</x:f>
        <x:v>548</x:v>
      </x:c>
      <x:c r="I276" s="148">
        <x:v>0.33329999999999999</x:v>
      </x:c>
      <x:c r="J276" s="148" t="n">
        <x:f t="shared" si="21">IFERROR(IF(OR(G276="",G276&lt;=0,I276="",D276="",$F$1=""),0,IF($F$1&lt;D276,0,MIN(MAX(G276-1,0),MAX(0,(G276*I276/365)*H276)))),0)</x:f>
        <x:v>80.0650520547945</x:v>
      </x:c>
      <x:c r="K276" s="148" t="n">
        <x:f t="shared" si="22">IFERROR(IF(OR(G276="",G276&lt;=0),0,MAX(1,G276-J276)),0)</x:f>
        <x:v>79.9349479452055</x:v>
      </x:c>
      <x:c r="L276" s="148" t="n">
        <x:f t="shared" si="23">IFERROR(IF(OR(G276="",G276&lt;=0,I276="",D276="",$F$1=""),0,IF($F$1&lt;D276,0,IF(K276&lt;=1,0,MIN(G276*I276/12,K276-1)))),0)</x:f>
        <x:v>4.444</x:v>
      </x:c>
      <x:c r="M276" s="58" t="s">
        <x:v>18</x:v>
      </x:c>
    </x:row>
    <x:row r="277" ht="19.899999618530273" customHeight="1">
      <x:c r="A277" s="53">
        <x:f t="shared" si="24"/>
        <x:v>272</x:v>
      </x:c>
      <x:c r="B277" s="54" t="s">
        <x:v>132</x:v>
      </x:c>
      <x:c r="C277" s="54" t="s">
        <x:v>27</x:v>
      </x:c>
      <x:c r="D277" s="55">
        <x:v>45839</x:v>
      </x:c>
      <x:c r="E277" s="54" t="s">
        <x:v>134</x:v>
      </x:c>
      <x:c r="F277" s="54">
        <x:v>1</x:v>
      </x:c>
      <x:c r="G277" s="148">
        <x:v>160</x:v>
      </x:c>
      <x:c r="H277" s="148" t="n">
        <x:f t="shared" si="20">IFERROR(IF(OR($F$1="",D277=""),0,MAX(0,$F$1-D277)),0)</x:f>
        <x:v>548</x:v>
      </x:c>
      <x:c r="I277" s="148">
        <x:v>0.33329999999999999</x:v>
      </x:c>
      <x:c r="J277" s="148" t="n">
        <x:f t="shared" si="21">IFERROR(IF(OR(G277="",G277&lt;=0,I277="",D277="",$F$1=""),0,IF($F$1&lt;D277,0,MIN(MAX(G277-1,0),MAX(0,(G277*I277/365)*H277)))),0)</x:f>
        <x:v>80.0650520547945</x:v>
      </x:c>
      <x:c r="K277" s="148" t="n">
        <x:f t="shared" si="22">IFERROR(IF(OR(G277="",G277&lt;=0),0,MAX(1,G277-J277)),0)</x:f>
        <x:v>79.9349479452055</x:v>
      </x:c>
      <x:c r="L277" s="148" t="n">
        <x:f t="shared" si="23">IFERROR(IF(OR(G277="",G277&lt;=0,I277="",D277="",$F$1=""),0,IF($F$1&lt;D277,0,IF(K277&lt;=1,0,MIN(G277*I277/12,K277-1)))),0)</x:f>
        <x:v>4.444</x:v>
      </x:c>
      <x:c r="M277" s="58" t="s">
        <x:v>18</x:v>
      </x:c>
    </x:row>
    <x:row r="278" ht="19.899999618530273" customHeight="1">
      <x:c r="A278" s="53">
        <x:f t="shared" si="24"/>
        <x:v>273</x:v>
      </x:c>
      <x:c r="B278" s="54" t="s">
        <x:v>132</x:v>
      </x:c>
      <x:c r="C278" s="54" t="s">
        <x:v>27</x:v>
      </x:c>
      <x:c r="D278" s="55">
        <x:v>45839</x:v>
      </x:c>
      <x:c r="E278" s="54" t="s">
        <x:v>134</x:v>
      </x:c>
      <x:c r="F278" s="54">
        <x:v>1</x:v>
      </x:c>
      <x:c r="G278" s="148">
        <x:v>160</x:v>
      </x:c>
      <x:c r="H278" s="148" t="n">
        <x:f t="shared" si="20">IFERROR(IF(OR($F$1="",D278=""),0,MAX(0,$F$1-D278)),0)</x:f>
        <x:v>548</x:v>
      </x:c>
      <x:c r="I278" s="148">
        <x:v>0.33329999999999999</x:v>
      </x:c>
      <x:c r="J278" s="148" t="n">
        <x:f t="shared" si="21">IFERROR(IF(OR(G278="",G278&lt;=0,I278="",D278="",$F$1=""),0,IF($F$1&lt;D278,0,MIN(MAX(G278-1,0),MAX(0,(G278*I278/365)*H278)))),0)</x:f>
        <x:v>80.0650520547945</x:v>
      </x:c>
      <x:c r="K278" s="148" t="n">
        <x:f t="shared" si="22">IFERROR(IF(OR(G278="",G278&lt;=0),0,MAX(1,G278-J278)),0)</x:f>
        <x:v>79.9349479452055</x:v>
      </x:c>
      <x:c r="L278" s="148" t="n">
        <x:f t="shared" si="23">IFERROR(IF(OR(G278="",G278&lt;=0,I278="",D278="",$F$1=""),0,IF($F$1&lt;D278,0,IF(K278&lt;=1,0,MIN(G278*I278/12,K278-1)))),0)</x:f>
        <x:v>4.444</x:v>
      </x:c>
      <x:c r="M278" s="58" t="s">
        <x:v>18</x:v>
      </x:c>
    </x:row>
    <x:row r="279" ht="19.899999618530273" customHeight="1">
      <x:c r="A279" s="53">
        <x:f t="shared" si="24"/>
        <x:v>274</x:v>
      </x:c>
      <x:c r="B279" s="54" t="s">
        <x:v>132</x:v>
      </x:c>
      <x:c r="C279" s="54" t="s">
        <x:v>27</x:v>
      </x:c>
      <x:c r="D279" s="55">
        <x:v>45839</x:v>
      </x:c>
      <x:c r="E279" s="54" t="s">
        <x:v>134</x:v>
      </x:c>
      <x:c r="F279" s="54">
        <x:v>1</x:v>
      </x:c>
      <x:c r="G279" s="148">
        <x:v>160</x:v>
      </x:c>
      <x:c r="H279" s="148" t="n">
        <x:f t="shared" si="20">IFERROR(IF(OR($F$1="",D279=""),0,MAX(0,$F$1-D279)),0)</x:f>
        <x:v>548</x:v>
      </x:c>
      <x:c r="I279" s="148">
        <x:v>0.33329999999999999</x:v>
      </x:c>
      <x:c r="J279" s="148" t="n">
        <x:f t="shared" si="21">IFERROR(IF(OR(G279="",G279&lt;=0,I279="",D279="",$F$1=""),0,IF($F$1&lt;D279,0,MIN(MAX(G279-1,0),MAX(0,(G279*I279/365)*H279)))),0)</x:f>
        <x:v>80.0650520547945</x:v>
      </x:c>
      <x:c r="K279" s="148" t="n">
        <x:f t="shared" si="22">IFERROR(IF(OR(G279="",G279&lt;=0),0,MAX(1,G279-J279)),0)</x:f>
        <x:v>79.9349479452055</x:v>
      </x:c>
      <x:c r="L279" s="148" t="n">
        <x:f t="shared" si="23">IFERROR(IF(OR(G279="",G279&lt;=0,I279="",D279="",$F$1=""),0,IF($F$1&lt;D279,0,IF(K279&lt;=1,0,MIN(G279*I279/12,K279-1)))),0)</x:f>
        <x:v>4.444</x:v>
      </x:c>
      <x:c r="M279" s="58" t="s">
        <x:v>18</x:v>
      </x:c>
    </x:row>
    <x:row r="280" ht="19.899999618530273" customHeight="1">
      <x:c r="A280" s="53">
        <x:f t="shared" si="24"/>
        <x:v>275</x:v>
      </x:c>
      <x:c r="B280" s="54" t="s">
        <x:v>132</x:v>
      </x:c>
      <x:c r="C280" s="54" t="s">
        <x:v>27</x:v>
      </x:c>
      <x:c r="D280" s="55">
        <x:v>45839</x:v>
      </x:c>
      <x:c r="E280" s="54" t="s">
        <x:v>134</x:v>
      </x:c>
      <x:c r="F280" s="54">
        <x:v>1</x:v>
      </x:c>
      <x:c r="G280" s="148">
        <x:v>160</x:v>
      </x:c>
      <x:c r="H280" s="148" t="n">
        <x:f t="shared" si="20">IFERROR(IF(OR($F$1="",D280=""),0,MAX(0,$F$1-D280)),0)</x:f>
        <x:v>548</x:v>
      </x:c>
      <x:c r="I280" s="148">
        <x:v>0.33329999999999999</x:v>
      </x:c>
      <x:c r="J280" s="148" t="n">
        <x:f t="shared" si="21">IFERROR(IF(OR(G280="",G280&lt;=0,I280="",D280="",$F$1=""),0,IF($F$1&lt;D280,0,MIN(MAX(G280-1,0),MAX(0,(G280*I280/365)*H280)))),0)</x:f>
        <x:v>80.0650520547945</x:v>
      </x:c>
      <x:c r="K280" s="148" t="n">
        <x:f t="shared" si="22">IFERROR(IF(OR(G280="",G280&lt;=0),0,MAX(1,G280-J280)),0)</x:f>
        <x:v>79.9349479452055</x:v>
      </x:c>
      <x:c r="L280" s="148" t="n">
        <x:f t="shared" si="23">IFERROR(IF(OR(G280="",G280&lt;=0,I280="",D280="",$F$1=""),0,IF($F$1&lt;D280,0,IF(K280&lt;=1,0,MIN(G280*I280/12,K280-1)))),0)</x:f>
        <x:v>4.444</x:v>
      </x:c>
      <x:c r="M280" s="58" t="s">
        <x:v>18</x:v>
      </x:c>
    </x:row>
    <x:row r="281" ht="19.899999618530273" customHeight="1">
      <x:c r="A281" s="53">
        <x:f t="shared" si="24"/>
        <x:v>276</x:v>
      </x:c>
      <x:c r="B281" s="54" t="s">
        <x:v>132</x:v>
      </x:c>
      <x:c r="C281" s="54" t="s">
        <x:v>27</x:v>
      </x:c>
      <x:c r="D281" s="55">
        <x:v>45839</x:v>
      </x:c>
      <x:c r="E281" s="54" t="s">
        <x:v>116</x:v>
      </x:c>
      <x:c r="F281" s="54">
        <x:v>1</x:v>
      </x:c>
      <x:c r="G281" s="148">
        <x:v>300</x:v>
      </x:c>
      <x:c r="H281" s="148" t="n">
        <x:f t="shared" si="20">IFERROR(IF(OR($F$1="",D281=""),0,MAX(0,$F$1-D281)),0)</x:f>
        <x:v>548</x:v>
      </x:c>
      <x:c r="I281" s="148">
        <x:v>0.33329999999999999</x:v>
      </x:c>
      <x:c r="J281" s="148" t="n">
        <x:f t="shared" si="21">IFERROR(IF(OR(G281="",G281&lt;=0,I281="",D281="",$F$1=""),0,IF($F$1&lt;D281,0,MIN(MAX(G281-1,0),MAX(0,(G281*I281/365)*H281)))),0)</x:f>
        <x:v>150.12197260273973</x:v>
      </x:c>
      <x:c r="K281" s="148" t="n">
        <x:f t="shared" si="22">IFERROR(IF(OR(G281="",G281&lt;=0),0,MAX(1,G281-J281)),0)</x:f>
        <x:v>149.87802739726027</x:v>
      </x:c>
      <x:c r="L281" s="148" t="n">
        <x:f t="shared" si="23">IFERROR(IF(OR(G281="",G281&lt;=0,I281="",D281="",$F$1=""),0,IF($F$1&lt;D281,0,IF(K281&lt;=1,0,MIN(G281*I281/12,K281-1)))),0)</x:f>
        <x:v>8.3325</x:v>
      </x:c>
      <x:c r="M281" s="58" t="s">
        <x:v>18</x:v>
      </x:c>
    </x:row>
    <x:row r="282" ht="19.899999618530273" customHeight="1">
      <x:c r="A282" s="53">
        <x:f t="shared" si="24"/>
        <x:v>277</x:v>
      </x:c>
      <x:c r="B282" s="54" t="s">
        <x:v>132</x:v>
      </x:c>
      <x:c r="C282" s="54" t="s">
        <x:v>27</x:v>
      </x:c>
      <x:c r="D282" s="55">
        <x:v>45839</x:v>
      </x:c>
      <x:c r="E282" s="54" t="s">
        <x:v>135</x:v>
      </x:c>
      <x:c r="F282" s="54">
        <x:v>1</x:v>
      </x:c>
      <x:c r="G282" s="148">
        <x:v>1150</x:v>
      </x:c>
      <x:c r="H282" s="148" t="n">
        <x:f t="shared" si="20">IFERROR(IF(OR($F$1="",D282=""),0,MAX(0,$F$1-D282)),0)</x:f>
        <x:v>548</x:v>
      </x:c>
      <x:c r="I282" s="148">
        <x:v>0.33329999999999999</x:v>
      </x:c>
      <x:c r="J282" s="148" t="n">
        <x:f t="shared" si="21">IFERROR(IF(OR(G282="",G282&lt;=0,I282="",D282="",$F$1=""),0,IF($F$1&lt;D282,0,MIN(MAX(G282-1,0),MAX(0,(G282*I282/365)*H282)))),0)</x:f>
        <x:v>575.4675616438356</x:v>
      </x:c>
      <x:c r="K282" s="148" t="n">
        <x:f t="shared" si="22">IFERROR(IF(OR(G282="",G282&lt;=0),0,MAX(1,G282-J282)),0)</x:f>
        <x:v>574.5324383561644</x:v>
      </x:c>
      <x:c r="L282" s="148" t="n">
        <x:f t="shared" si="23">IFERROR(IF(OR(G282="",G282&lt;=0,I282="",D282="",$F$1=""),0,IF($F$1&lt;D282,0,IF(K282&lt;=1,0,MIN(G282*I282/12,K282-1)))),0)</x:f>
        <x:v>31.941249999999997</x:v>
      </x:c>
      <x:c r="M282" s="58" t="s">
        <x:v>18</x:v>
      </x:c>
    </x:row>
    <x:row r="283" ht="19.899999618530273" customHeight="1">
      <x:c r="A283" s="53">
        <x:f t="shared" si="24"/>
        <x:v>278</x:v>
      </x:c>
      <x:c r="B283" s="54" t="s">
        <x:v>132</x:v>
      </x:c>
      <x:c r="C283" s="54" t="s">
        <x:v>27</x:v>
      </x:c>
      <x:c r="D283" s="55">
        <x:v>45839</x:v>
      </x:c>
      <x:c r="E283" s="54" t="s">
        <x:v>118</x:v>
      </x:c>
      <x:c r="F283" s="54">
        <x:v>1</x:v>
      </x:c>
      <x:c r="G283" s="148">
        <x:v>700</x:v>
      </x:c>
      <x:c r="H283" s="148" t="n">
        <x:f t="shared" si="20">IFERROR(IF(OR($F$1="",D283=""),0,MAX(0,$F$1-D283)),0)</x:f>
        <x:v>548</x:v>
      </x:c>
      <x:c r="I283" s="148">
        <x:v>0.33329999999999999</x:v>
      </x:c>
      <x:c r="J283" s="148" t="n">
        <x:f t="shared" si="21">IFERROR(IF(OR(G283="",G283&lt;=0,I283="",D283="",$F$1=""),0,IF($F$1&lt;D283,0,MIN(MAX(G283-1,0),MAX(0,(G283*I283/365)*H283)))),0)</x:f>
        <x:v>350.284602739726</x:v>
      </x:c>
      <x:c r="K283" s="148" t="n">
        <x:f t="shared" si="22">IFERROR(IF(OR(G283="",G283&lt;=0),0,MAX(1,G283-J283)),0)</x:f>
        <x:v>349.715397260274</x:v>
      </x:c>
      <x:c r="L283" s="148" t="n">
        <x:f t="shared" si="23">IFERROR(IF(OR(G283="",G283&lt;=0,I283="",D283="",$F$1=""),0,IF($F$1&lt;D283,0,IF(K283&lt;=1,0,MIN(G283*I283/12,K283-1)))),0)</x:f>
        <x:v>19.4425</x:v>
      </x:c>
      <x:c r="M283" s="58" t="s">
        <x:v>18</x:v>
      </x:c>
    </x:row>
    <x:row r="284" ht="19.899999618530273" customHeight="1">
      <x:c r="A284" s="53">
        <x:f t="shared" si="24"/>
        <x:v>279</x:v>
      </x:c>
      <x:c r="B284" s="54" t="s">
        <x:v>132</x:v>
      </x:c>
      <x:c r="C284" s="54" t="s">
        <x:v>27</x:v>
      </x:c>
      <x:c r="D284" s="55">
        <x:v>45839</x:v>
      </x:c>
      <x:c r="E284" s="54" t="s">
        <x:v>120</x:v>
      </x:c>
      <x:c r="F284" s="54">
        <x:v>1</x:v>
      </x:c>
      <x:c r="G284" s="148">
        <x:v>2990</x:v>
      </x:c>
      <x:c r="H284" s="148" t="n">
        <x:f t="shared" si="20">IFERROR(IF(OR($F$1="",D284=""),0,MAX(0,$F$1-D284)),0)</x:f>
        <x:v>548</x:v>
      </x:c>
      <x:c r="I284" s="148">
        <x:v>0.33329999999999999</x:v>
      </x:c>
      <x:c r="J284" s="148" t="n">
        <x:f t="shared" si="21">IFERROR(IF(OR(G284="",G284&lt;=0,I284="",D284="",$F$1=""),0,IF($F$1&lt;D284,0,MIN(MAX(G284-1,0),MAX(0,(G284*I284/365)*H284)))),0)</x:f>
        <x:v>1496.2156602739726</x:v>
      </x:c>
      <x:c r="K284" s="148" t="n">
        <x:f t="shared" si="22">IFERROR(IF(OR(G284="",G284&lt;=0),0,MAX(1,G284-J284)),0)</x:f>
        <x:v>1493.7843397260274</x:v>
      </x:c>
      <x:c r="L284" s="148" t="n">
        <x:f t="shared" si="23">IFERROR(IF(OR(G284="",G284&lt;=0,I284="",D284="",$F$1=""),0,IF($F$1&lt;D284,0,IF(K284&lt;=1,0,MIN(G284*I284/12,K284-1)))),0)</x:f>
        <x:v>83.04725</x:v>
      </x:c>
      <x:c r="M284" s="58" t="s">
        <x:v>18</x:v>
      </x:c>
    </x:row>
    <x:row r="285" ht="19.899999618530273" customHeight="1">
      <x:c r="A285" s="53">
        <x:f t="shared" si="24"/>
        <x:v>280</x:v>
      </x:c>
      <x:c r="B285" s="54" t="s">
        <x:v>132</x:v>
      </x:c>
      <x:c r="C285" s="54" t="s">
        <x:v>27</x:v>
      </x:c>
      <x:c r="D285" s="55">
        <x:v>45839</x:v>
      </x:c>
      <x:c r="E285" s="54" t="s">
        <x:v>97</x:v>
      </x:c>
      <x:c r="F285" s="54">
        <x:v>1</x:v>
      </x:c>
      <x:c r="G285" s="148">
        <x:v>550</x:v>
      </x:c>
      <x:c r="H285" s="148" t="n">
        <x:f t="shared" si="20">IFERROR(IF(OR($F$1="",D285=""),0,MAX(0,$F$1-D285)),0)</x:f>
        <x:v>548</x:v>
      </x:c>
      <x:c r="I285" s="148">
        <x:v>0.33329999999999999</x:v>
      </x:c>
      <x:c r="J285" s="148" t="n">
        <x:f t="shared" si="21">IFERROR(IF(OR(G285="",G285&lt;=0,I285="",D285="",$F$1=""),0,IF($F$1&lt;D285,0,MIN(MAX(G285-1,0),MAX(0,(G285*I285/365)*H285)))),0)</x:f>
        <x:v>275.22361643835615</x:v>
      </x:c>
      <x:c r="K285" s="148" t="n">
        <x:f t="shared" si="22">IFERROR(IF(OR(G285="",G285&lt;=0),0,MAX(1,G285-J285)),0)</x:f>
        <x:v>274.77638356164385</x:v>
      </x:c>
      <x:c r="L285" s="148" t="n">
        <x:f t="shared" si="23">IFERROR(IF(OR(G285="",G285&lt;=0,I285="",D285="",$F$1=""),0,IF($F$1&lt;D285,0,IF(K285&lt;=1,0,MIN(G285*I285/12,K285-1)))),0)</x:f>
        <x:v>15.27625</x:v>
      </x:c>
      <x:c r="M285" s="58" t="s">
        <x:v>18</x:v>
      </x:c>
    </x:row>
    <x:row r="286" ht="19.899999618530273" customHeight="1">
      <x:c r="A286" s="53">
        <x:f t="shared" si="24"/>
        <x:v>281</x:v>
      </x:c>
      <x:c r="B286" s="54" t="s">
        <x:v>132</x:v>
      </x:c>
      <x:c r="C286" s="54" t="s">
        <x:v>27</x:v>
      </x:c>
      <x:c r="D286" s="55">
        <x:v>45839</x:v>
      </x:c>
      <x:c r="E286" s="54" t="s">
        <x:v>136</x:v>
      </x:c>
      <x:c r="F286" s="54">
        <x:v>1</x:v>
      </x:c>
      <x:c r="G286" s="148">
        <x:v>1300</x:v>
      </x:c>
      <x:c r="H286" s="148" t="n">
        <x:f t="shared" si="20">IFERROR(IF(OR($F$1="",D286=""),0,MAX(0,$F$1-D286)),0)</x:f>
        <x:v>548</x:v>
      </x:c>
      <x:c r="I286" s="148">
        <x:v>0.33329999999999999</x:v>
      </x:c>
      <x:c r="J286" s="148" t="n">
        <x:f t="shared" si="21">IFERROR(IF(OR(G286="",G286&lt;=0,I286="",D286="",$F$1=""),0,IF($F$1&lt;D286,0,MIN(MAX(G286-1,0),MAX(0,(G286*I286/365)*H286)))),0)</x:f>
        <x:v>650.5285479452054</x:v>
      </x:c>
      <x:c r="K286" s="148" t="n">
        <x:f t="shared" si="22">IFERROR(IF(OR(G286="",G286&lt;=0),0,MAX(1,G286-J286)),0)</x:f>
        <x:v>649.4714520547946</x:v>
      </x:c>
      <x:c r="L286" s="148" t="n">
        <x:f t="shared" si="23">IFERROR(IF(OR(G286="",G286&lt;=0,I286="",D286="",$F$1=""),0,IF($F$1&lt;D286,0,IF(K286&lt;=1,0,MIN(G286*I286/12,K286-1)))),0)</x:f>
        <x:v>36.107499999999995</x:v>
      </x:c>
      <x:c r="M286" s="58" t="s">
        <x:v>18</x:v>
      </x:c>
    </x:row>
    <x:row r="287" ht="19.899999618530273" customHeight="1">
      <x:c r="A287" s="53">
        <x:f t="shared" si="24"/>
        <x:v>282</x:v>
      </x:c>
      <x:c r="B287" s="54" t="s">
        <x:v>132</x:v>
      </x:c>
      <x:c r="C287" s="54" t="s">
        <x:v>27</x:v>
      </x:c>
      <x:c r="D287" s="55">
        <x:v>45839</x:v>
      </x:c>
      <x:c r="E287" s="54" t="s">
        <x:v>137</x:v>
      </x:c>
      <x:c r="F287" s="54">
        <x:v>1</x:v>
      </x:c>
      <x:c r="G287" s="148">
        <x:v>769.57</x:v>
      </x:c>
      <x:c r="H287" s="148" t="n">
        <x:f t="shared" si="20">IFERROR(IF(OR($F$1="",D287=""),0,MAX(0,$F$1-D287)),0)</x:f>
        <x:v>548</x:v>
      </x:c>
      <x:c r="I287" s="148">
        <x:v>0.33329999999999999</x:v>
      </x:c>
      <x:c r="J287" s="148" t="n">
        <x:f t="shared" si="21">IFERROR(IF(OR(G287="",G287&lt;=0,I287="",D287="",$F$1=""),0,IF($F$1&lt;D287,0,MIN(MAX(G287-1,0),MAX(0,(G287*I287/365)*H287)))),0)</x:f>
        <x:v>385.09788818630136</x:v>
      </x:c>
      <x:c r="K287" s="148" t="n">
        <x:f t="shared" si="22">IFERROR(IF(OR(G287="",G287&lt;=0),0,MAX(1,G287-J287)),0)</x:f>
        <x:v>384.4721118136987</x:v>
      </x:c>
      <x:c r="L287" s="148" t="n">
        <x:f t="shared" si="23">IFERROR(IF(OR(G287="",G287&lt;=0,I287="",D287="",$F$1=""),0,IF($F$1&lt;D287,0,IF(K287&lt;=1,0,MIN(G287*I287/12,K287-1)))),0)</x:f>
        <x:v>21.37480675</x:v>
      </x:c>
      <x:c r="M287" s="58" t="s">
        <x:v>18</x:v>
      </x:c>
    </x:row>
    <x:row r="288" ht="19.899999618530273" customHeight="1">
      <x:c r="A288" s="53">
        <x:f t="shared" si="24"/>
        <x:v>283</x:v>
      </x:c>
      <x:c r="B288" s="54" t="s">
        <x:v>132</x:v>
      </x:c>
      <x:c r="C288" s="54" t="s">
        <x:v>27</x:v>
      </x:c>
      <x:c r="D288" s="55">
        <x:v>45839</x:v>
      </x:c>
      <x:c r="E288" s="54" t="s">
        <x:v>138</x:v>
      </x:c>
      <x:c r="F288" s="54">
        <x:v>1</x:v>
      </x:c>
      <x:c r="G288" s="148">
        <x:v>500</x:v>
      </x:c>
      <x:c r="H288" s="148" t="n">
        <x:f t="shared" si="20">IFERROR(IF(OR($F$1="",D288=""),0,MAX(0,$F$1-D288)),0)</x:f>
        <x:v>548</x:v>
      </x:c>
      <x:c r="I288" s="148">
        <x:v>0.33329999999999999</x:v>
      </x:c>
      <x:c r="J288" s="148" t="n">
        <x:f t="shared" si="21">IFERROR(IF(OR(G288="",G288&lt;=0,I288="",D288="",$F$1=""),0,IF($F$1&lt;D288,0,MIN(MAX(G288-1,0),MAX(0,(G288*I288/365)*H288)))),0)</x:f>
        <x:v>250.20328767123289</x:v>
      </x:c>
      <x:c r="K288" s="148" t="n">
        <x:f t="shared" si="22">IFERROR(IF(OR(G288="",G288&lt;=0),0,MAX(1,G288-J288)),0)</x:f>
        <x:v>249.79671232876711</x:v>
      </x:c>
      <x:c r="L288" s="148" t="n">
        <x:f t="shared" si="23">IFERROR(IF(OR(G288="",G288&lt;=0,I288="",D288="",$F$1=""),0,IF($F$1&lt;D288,0,IF(K288&lt;=1,0,MIN(G288*I288/12,K288-1)))),0)</x:f>
        <x:v>13.887500000000001</x:v>
      </x:c>
      <x:c r="M288" s="58" t="s">
        <x:v>18</x:v>
      </x:c>
    </x:row>
    <x:row r="289" ht="19.899999618530273" customHeight="1">
      <x:c r="A289" s="53">
        <x:f t="shared" si="24"/>
        <x:v>284</x:v>
      </x:c>
      <x:c r="B289" s="54" t="s">
        <x:v>132</x:v>
      </x:c>
      <x:c r="C289" s="54" t="s">
        <x:v>27</x:v>
      </x:c>
      <x:c r="D289" s="55">
        <x:v>45839</x:v>
      </x:c>
      <x:c r="E289" s="54" t="s">
        <x:v>138</x:v>
      </x:c>
      <x:c r="F289" s="54">
        <x:v>1</x:v>
      </x:c>
      <x:c r="G289" s="148">
        <x:v>500</x:v>
      </x:c>
      <x:c r="H289" s="148" t="n">
        <x:f t="shared" si="20">IFERROR(IF(OR($F$1="",D289=""),0,MAX(0,$F$1-D289)),0)</x:f>
        <x:v>548</x:v>
      </x:c>
      <x:c r="I289" s="148">
        <x:v>0.33329999999999999</x:v>
      </x:c>
      <x:c r="J289" s="148" t="n">
        <x:f t="shared" si="21">IFERROR(IF(OR(G289="",G289&lt;=0,I289="",D289="",$F$1=""),0,IF($F$1&lt;D289,0,MIN(MAX(G289-1,0),MAX(0,(G289*I289/365)*H289)))),0)</x:f>
        <x:v>250.20328767123289</x:v>
      </x:c>
      <x:c r="K289" s="148" t="n">
        <x:f t="shared" si="22">IFERROR(IF(OR(G289="",G289&lt;=0),0,MAX(1,G289-J289)),0)</x:f>
        <x:v>249.79671232876711</x:v>
      </x:c>
      <x:c r="L289" s="148" t="n">
        <x:f t="shared" si="23">IFERROR(IF(OR(G289="",G289&lt;=0,I289="",D289="",$F$1=""),0,IF($F$1&lt;D289,0,IF(K289&lt;=1,0,MIN(G289*I289/12,K289-1)))),0)</x:f>
        <x:v>13.887500000000001</x:v>
      </x:c>
      <x:c r="M289" s="58" t="s">
        <x:v>18</x:v>
      </x:c>
    </x:row>
    <x:row r="290" ht="19.899999618530273" customHeight="1">
      <x:c r="A290" s="53">
        <x:f t="shared" si="24"/>
        <x:v>285</x:v>
      </x:c>
      <x:c r="B290" s="54" t="s">
        <x:v>132</x:v>
      </x:c>
      <x:c r="C290" s="54" t="s">
        <x:v>27</x:v>
      </x:c>
      <x:c r="D290" s="55">
        <x:v>45839</x:v>
      </x:c>
      <x:c r="E290" s="54" t="s">
        <x:v>139</x:v>
      </x:c>
      <x:c r="F290" s="54">
        <x:v>1</x:v>
      </x:c>
      <x:c r="G290" s="148">
        <x:v>2490</x:v>
      </x:c>
      <x:c r="H290" s="148" t="n">
        <x:f t="shared" si="20">IFERROR(IF(OR($F$1="",D290=""),0,MAX(0,$F$1-D290)),0)</x:f>
        <x:v>548</x:v>
      </x:c>
      <x:c r="I290" s="148">
        <x:v>0.33329999999999999</x:v>
      </x:c>
      <x:c r="J290" s="148" t="n">
        <x:f t="shared" si="21">IFERROR(IF(OR(G290="",G290&lt;=0,I290="",D290="",$F$1=""),0,IF($F$1&lt;D290,0,MIN(MAX(G290-1,0),MAX(0,(G290*I290/365)*H290)))),0)</x:f>
        <x:v>1246.0123726027398</x:v>
      </x:c>
      <x:c r="K290" s="148" t="n">
        <x:f t="shared" si="22">IFERROR(IF(OR(G290="",G290&lt;=0),0,MAX(1,G290-J290)),0)</x:f>
        <x:v>1243.9876273972602</x:v>
      </x:c>
      <x:c r="L290" s="148" t="n">
        <x:f t="shared" si="23">IFERROR(IF(OR(G290="",G290&lt;=0,I290="",D290="",$F$1=""),0,IF($F$1&lt;D290,0,IF(K290&lt;=1,0,MIN(G290*I290/12,K290-1)))),0)</x:f>
        <x:v>69.15974999999999</x:v>
      </x:c>
      <x:c r="M290" s="58" t="s">
        <x:v>18</x:v>
      </x:c>
    </x:row>
    <x:row r="291" ht="19.899999618530273" customHeight="1">
      <x:c r="A291" s="53">
        <x:f t="shared" si="24"/>
        <x:v>286</x:v>
      </x:c>
      <x:c r="B291" s="54" t="s">
        <x:v>132</x:v>
      </x:c>
      <x:c r="C291" s="54" t="s">
        <x:v>27</x:v>
      </x:c>
      <x:c r="D291" s="55">
        <x:v>45839</x:v>
      </x:c>
      <x:c r="E291" s="54" t="s">
        <x:v>139</x:v>
      </x:c>
      <x:c r="F291" s="54">
        <x:v>1</x:v>
      </x:c>
      <x:c r="G291" s="148">
        <x:v>2490</x:v>
      </x:c>
      <x:c r="H291" s="148" t="n">
        <x:f t="shared" si="20">IFERROR(IF(OR($F$1="",D291=""),0,MAX(0,$F$1-D291)),0)</x:f>
        <x:v>548</x:v>
      </x:c>
      <x:c r="I291" s="148">
        <x:v>0.33329999999999999</x:v>
      </x:c>
      <x:c r="J291" s="148" t="n">
        <x:f t="shared" si="21">IFERROR(IF(OR(G291="",G291&lt;=0,I291="",D291="",$F$1=""),0,IF($F$1&lt;D291,0,MIN(MAX(G291-1,0),MAX(0,(G291*I291/365)*H291)))),0)</x:f>
        <x:v>1246.0123726027398</x:v>
      </x:c>
      <x:c r="K291" s="148" t="n">
        <x:f t="shared" si="22">IFERROR(IF(OR(G291="",G291&lt;=0),0,MAX(1,G291-J291)),0)</x:f>
        <x:v>1243.9876273972602</x:v>
      </x:c>
      <x:c r="L291" s="148" t="n">
        <x:f t="shared" si="23">IFERROR(IF(OR(G291="",G291&lt;=0,I291="",D291="",$F$1=""),0,IF($F$1&lt;D291,0,IF(K291&lt;=1,0,MIN(G291*I291/12,K291-1)))),0)</x:f>
        <x:v>69.15974999999999</x:v>
      </x:c>
      <x:c r="M291" s="58" t="s">
        <x:v>18</x:v>
      </x:c>
    </x:row>
    <x:row r="292" ht="19.899999618530273" customHeight="1">
      <x:c r="A292" s="53">
        <x:f t="shared" si="24"/>
        <x:v>287</x:v>
      </x:c>
      <x:c r="B292" s="54" t="s">
        <x:v>132</x:v>
      </x:c>
      <x:c r="C292" s="54" t="s">
        <x:v>27</x:v>
      </x:c>
      <x:c r="D292" s="55">
        <x:v>45839</x:v>
      </x:c>
      <x:c r="E292" s="54" t="s">
        <x:v>32</x:v>
      </x:c>
      <x:c r="F292" s="54">
        <x:v>1</x:v>
      </x:c>
      <x:c r="G292" s="148">
        <x:v>900</x:v>
      </x:c>
      <x:c r="H292" s="148" t="n">
        <x:f t="shared" si="20">IFERROR(IF(OR($F$1="",D292=""),0,MAX(0,$F$1-D292)),0)</x:f>
        <x:v>548</x:v>
      </x:c>
      <x:c r="I292" s="148">
        <x:v>0.33329999999999999</x:v>
      </x:c>
      <x:c r="J292" s="148" t="n">
        <x:f t="shared" si="21">IFERROR(IF(OR(G292="",G292&lt;=0,I292="",D292="",$F$1=""),0,IF($F$1&lt;D292,0,MIN(MAX(G292-1,0),MAX(0,(G292*I292/365)*H292)))),0)</x:f>
        <x:v>450.36591780821914</x:v>
      </x:c>
      <x:c r="K292" s="148" t="n">
        <x:f t="shared" si="22">IFERROR(IF(OR(G292="",G292&lt;=0),0,MAX(1,G292-J292)),0)</x:f>
        <x:v>449.63408219178086</x:v>
      </x:c>
      <x:c r="L292" s="148" t="n">
        <x:f t="shared" si="23">IFERROR(IF(OR(G292="",G292&lt;=0,I292="",D292="",$F$1=""),0,IF($F$1&lt;D292,0,IF(K292&lt;=1,0,MIN(G292*I292/12,K292-1)))),0)</x:f>
        <x:v>24.9975</x:v>
      </x:c>
      <x:c r="M292" s="58" t="s">
        <x:v>18</x:v>
      </x:c>
    </x:row>
    <x:row r="293" ht="19.899999618530273" customHeight="1">
      <x:c r="A293" s="53">
        <x:f t="shared" si="24"/>
        <x:v>288</x:v>
      </x:c>
      <x:c r="B293" s="54" t="s">
        <x:v>132</x:v>
      </x:c>
      <x:c r="C293" s="54" t="s">
        <x:v>27</x:v>
      </x:c>
      <x:c r="D293" s="55">
        <x:v>45839</x:v>
      </x:c>
      <x:c r="E293" s="54" t="s">
        <x:v>24</x:v>
      </x:c>
      <x:c r="F293" s="54">
        <x:v>1</x:v>
      </x:c>
      <x:c r="G293" s="148">
        <x:v>194.78</x:v>
      </x:c>
      <x:c r="H293" s="148" t="n">
        <x:f t="shared" si="20">IFERROR(IF(OR($F$1="",D293=""),0,MAX(0,$F$1-D293)),0)</x:f>
        <x:v>548</x:v>
      </x:c>
      <x:c r="I293" s="148">
        <x:v>0.33329999999999999</x:v>
      </x:c>
      <x:c r="J293" s="148" t="n">
        <x:f t="shared" si="21">IFERROR(IF(OR(G293="",G293&lt;=0,I293="",D293="",$F$1=""),0,IF($F$1&lt;D293,0,MIN(MAX(G293-1,0),MAX(0,(G293*I293/365)*H293)))),0)</x:f>
        <x:v>97.46919274520549</x:v>
      </x:c>
      <x:c r="K293" s="148" t="n">
        <x:f t="shared" si="22">IFERROR(IF(OR(G293="",G293&lt;=0),0,MAX(1,G293-J293)),0)</x:f>
        <x:v>97.31080725479451</x:v>
      </x:c>
      <x:c r="L293" s="148" t="n">
        <x:f t="shared" si="23">IFERROR(IF(OR(G293="",G293&lt;=0,I293="",D293="",$F$1=""),0,IF($F$1&lt;D293,0,IF(K293&lt;=1,0,MIN(G293*I293/12,K293-1)))),0)</x:f>
        <x:v>5.4100145</x:v>
      </x:c>
      <x:c r="M293" s="58" t="s">
        <x:v>18</x:v>
      </x:c>
    </x:row>
    <x:row r="294" ht="19.899999618530273" customHeight="1">
      <x:c r="A294" s="53">
        <x:f t="shared" si="24"/>
        <x:v>289</x:v>
      </x:c>
      <x:c r="B294" s="54" t="s">
        <x:v>132</x:v>
      </x:c>
      <x:c r="C294" s="54" t="s">
        <x:v>27</x:v>
      </x:c>
      <x:c r="D294" s="55">
        <x:v>45839</x:v>
      </x:c>
      <x:c r="E294" s="54" t="s">
        <x:v>96</x:v>
      </x:c>
      <x:c r="F294" s="54">
        <x:v>1</x:v>
      </x:c>
      <x:c r="G294" s="148">
        <x:v>600</x:v>
      </x:c>
      <x:c r="H294" s="148" t="n">
        <x:f t="shared" si="20">IFERROR(IF(OR($F$1="",D294=""),0,MAX(0,$F$1-D294)),0)</x:f>
        <x:v>548</x:v>
      </x:c>
      <x:c r="I294" s="148">
        <x:v>0.33329999999999999</x:v>
      </x:c>
      <x:c r="J294" s="148" t="n">
        <x:f t="shared" si="21">IFERROR(IF(OR(G294="",G294&lt;=0,I294="",D294="",$F$1=""),0,IF($F$1&lt;D294,0,MIN(MAX(G294-1,0),MAX(0,(G294*I294/365)*H294)))),0)</x:f>
        <x:v>300.24394520547946</x:v>
      </x:c>
      <x:c r="K294" s="148" t="n">
        <x:f t="shared" si="22">IFERROR(IF(OR(G294="",G294&lt;=0),0,MAX(1,G294-J294)),0)</x:f>
        <x:v>299.75605479452054</x:v>
      </x:c>
      <x:c r="L294" s="148" t="n">
        <x:f t="shared" si="23">IFERROR(IF(OR(G294="",G294&lt;=0,I294="",D294="",$F$1=""),0,IF($F$1&lt;D294,0,IF(K294&lt;=1,0,MIN(G294*I294/12,K294-1)))),0)</x:f>
        <x:v>16.665</x:v>
      </x:c>
      <x:c r="M294" s="58" t="s">
        <x:v>18</x:v>
      </x:c>
    </x:row>
    <x:row r="295" ht="19.899999618530273" customHeight="1">
      <x:c r="A295" s="53">
        <x:f t="shared" si="24"/>
        <x:v>290</x:v>
      </x:c>
      <x:c r="B295" s="54" t="s">
        <x:v>132</x:v>
      </x:c>
      <x:c r="C295" s="54" t="s">
        <x:v>27</x:v>
      </x:c>
      <x:c r="D295" s="55">
        <x:v>45839</x:v>
      </x:c>
      <x:c r="E295" s="54" t="s">
        <x:v>96</x:v>
      </x:c>
      <x:c r="F295" s="54">
        <x:v>1</x:v>
      </x:c>
      <x:c r="G295" s="148">
        <x:v>600</x:v>
      </x:c>
      <x:c r="H295" s="148" t="n">
        <x:f t="shared" si="20">IFERROR(IF(OR($F$1="",D295=""),0,MAX(0,$F$1-D295)),0)</x:f>
        <x:v>548</x:v>
      </x:c>
      <x:c r="I295" s="148">
        <x:v>0.33329999999999999</x:v>
      </x:c>
      <x:c r="J295" s="148" t="n">
        <x:f t="shared" si="21">IFERROR(IF(OR(G295="",G295&lt;=0,I295="",D295="",$F$1=""),0,IF($F$1&lt;D295,0,MIN(MAX(G295-1,0),MAX(0,(G295*I295/365)*H295)))),0)</x:f>
        <x:v>300.24394520547946</x:v>
      </x:c>
      <x:c r="K295" s="148" t="n">
        <x:f t="shared" si="22">IFERROR(IF(OR(G295="",G295&lt;=0),0,MAX(1,G295-J295)),0)</x:f>
        <x:v>299.75605479452054</x:v>
      </x:c>
      <x:c r="L295" s="148" t="n">
        <x:f t="shared" si="23">IFERROR(IF(OR(G295="",G295&lt;=0,I295="",D295="",$F$1=""),0,IF($F$1&lt;D295,0,IF(K295&lt;=1,0,MIN(G295*I295/12,K295-1)))),0)</x:f>
        <x:v>16.665</x:v>
      </x:c>
      <x:c r="M295" s="58" t="s">
        <x:v>18</x:v>
      </x:c>
    </x:row>
    <x:row r="296" ht="19.899999618530273" customHeight="1">
      <x:c r="A296" s="53">
        <x:f t="shared" si="24"/>
        <x:v>291</x:v>
      </x:c>
      <x:c r="B296" s="54" t="s">
        <x:v>140</x:v>
      </x:c>
      <x:c r="C296" s="54" t="s">
        <x:v>23</x:v>
      </x:c>
      <x:c r="D296" s="55">
        <x:v>45300</x:v>
      </x:c>
      <x:c r="E296" s="54" t="s">
        <x:v>24</x:v>
      </x:c>
      <x:c r="F296" s="54">
        <x:v>1</x:v>
      </x:c>
      <x:c r="G296" s="148">
        <x:v>195</x:v>
      </x:c>
      <x:c r="H296" s="148" t="n">
        <x:f t="shared" si="20">IFERROR(IF(OR($F$1="",D296=""),0,MAX(0,$F$1-D296)),0)</x:f>
        <x:v>1087</x:v>
      </x:c>
      <x:c r="I296" s="148">
        <x:v>0.2</x:v>
      </x:c>
      <x:c r="J296" s="148" t="n">
        <x:f t="shared" si="21">IFERROR(IF(OR(G296="",G296&lt;=0,I296="",D296="",$F$1=""),0,IF($F$1&lt;D296,0,MIN(MAX(G296-1,0),MAX(0,(G296*I296/365)*H296)))),0)</x:f>
        <x:v>116.14520547945206</x:v>
      </x:c>
      <x:c r="K296" s="148" t="n">
        <x:f t="shared" si="22">IFERROR(IF(OR(G296="",G296&lt;=0),0,MAX(1,G296-J296)),0)</x:f>
        <x:v>78.85479452054794</x:v>
      </x:c>
      <x:c r="L296" s="148" t="n">
        <x:f t="shared" si="23">IFERROR(IF(OR(G296="",G296&lt;=0,I296="",D296="",$F$1=""),0,IF($F$1&lt;D296,0,IF(K296&lt;=1,0,MIN(G296*I296/12,K296-1)))),0)</x:f>
        <x:v>3.25</x:v>
      </x:c>
      <x:c r="M296" s="58" t="s">
        <x:v>18</x:v>
      </x:c>
    </x:row>
    <x:row r="297" ht="19.899999618530273" customHeight="1">
      <x:c r="A297" s="53">
        <x:f t="shared" si="24"/>
        <x:v>292</x:v>
      </x:c>
      <x:c r="B297" s="54" t="s">
        <x:v>140</x:v>
      </x:c>
      <x:c r="C297" s="54" t="s">
        <x:v>16</x:v>
      </x:c>
      <x:c r="D297" s="55">
        <x:v>45302</x:v>
      </x:c>
      <x:c r="E297" s="54" t="s">
        <x:v>141</x:v>
      </x:c>
      <x:c r="F297" s="54">
        <x:v>1</x:v>
      </x:c>
      <x:c r="G297" s="148">
        <x:v>1651.3</x:v>
      </x:c>
      <x:c r="H297" s="148" t="n">
        <x:f t="shared" si="20">IFERROR(IF(OR($F$1="",D297=""),0,MAX(0,$F$1-D297)),0)</x:f>
        <x:v>1085</x:v>
      </x:c>
      <x:c r="I297" s="148">
        <x:v>0.2</x:v>
      </x:c>
      <x:c r="J297" s="148" t="n">
        <x:f t="shared" si="21">IFERROR(IF(OR(G297="",G297&lt;=0,I297="",D297="",$F$1=""),0,IF($F$1&lt;D297,0,MIN(MAX(G297-1,0),MAX(0,(G297*I297/365)*H297)))),0)</x:f>
        <x:v>981.7317808219178</x:v>
      </x:c>
      <x:c r="K297" s="148" t="n">
        <x:f t="shared" si="22">IFERROR(IF(OR(G297="",G297&lt;=0),0,MAX(1,G297-J297)),0)</x:f>
        <x:v>669.5682191780821</x:v>
      </x:c>
      <x:c r="L297" s="148" t="n">
        <x:f t="shared" si="23">IFERROR(IF(OR(G297="",G297&lt;=0,I297="",D297="",$F$1=""),0,IF($F$1&lt;D297,0,IF(K297&lt;=1,0,MIN(G297*I297/12,K297-1)))),0)</x:f>
        <x:v>27.521666666666665</x:v>
      </x:c>
      <x:c r="M297" s="58" t="s">
        <x:v>18</x:v>
      </x:c>
    </x:row>
    <x:row r="298" ht="19.899999618530273" customHeight="1">
      <x:c r="A298" s="53">
        <x:f t="shared" si="24"/>
        <x:v>293</x:v>
      </x:c>
      <x:c r="B298" s="54" t="s">
        <x:v>140</x:v>
      </x:c>
      <x:c r="C298" s="54" t="s">
        <x:v>27</x:v>
      </x:c>
      <x:c r="D298" s="55">
        <x:v>45222</x:v>
      </x:c>
      <x:c r="E298" s="54" t="s">
        <x:v>142</x:v>
      </x:c>
      <x:c r="F298" s="54">
        <x:v>1</x:v>
      </x:c>
      <x:c r="G298" s="148">
        <x:v>510</x:v>
      </x:c>
      <x:c r="H298" s="148" t="n">
        <x:f t="shared" si="20">IFERROR(IF(OR($F$1="",D298=""),0,MAX(0,$F$1-D298)),0)</x:f>
        <x:v>1165</x:v>
      </x:c>
      <x:c r="I298" s="148">
        <x:v>0.33329999999999999</x:v>
      </x:c>
      <x:c r="J298" s="148" t="n">
        <x:f t="shared" si="21">IFERROR(IF(OR(G298="",G298&lt;=0,I298="",D298="",$F$1=""),0,IF($F$1&lt;D298,0,MIN(MAX(G298-1,0),MAX(0,(G298*I298/365)*H298)))),0)</x:f>
        <x:v>509</x:v>
      </x:c>
      <x:c r="K298" s="148" t="n">
        <x:f t="shared" si="22">IFERROR(IF(OR(G298="",G298&lt;=0),0,MAX(1,G298-J298)),0)</x:f>
        <x:v>1</x:v>
      </x:c>
      <x:c r="L298" s="148" t="n">
        <x:f t="shared" si="23">IFERROR(IF(OR(G298="",G298&lt;=0,I298="",D298="",$F$1=""),0,IF($F$1&lt;D298,0,IF(K298&lt;=1,0,MIN(G298*I298/12,K298-1)))),0)</x:f>
        <x:v>0</x:v>
      </x:c>
      <x:c r="M298" s="58" t="s">
        <x:v>18</x:v>
      </x:c>
    </x:row>
    <x:row r="299" ht="19.899999618530273" customHeight="1">
      <x:c r="A299" s="53">
        <x:f t="shared" si="24"/>
        <x:v>294</x:v>
      </x:c>
      <x:c r="B299" s="54" t="s">
        <x:v>140</x:v>
      </x:c>
      <x:c r="C299" s="54" t="s">
        <x:v>27</x:v>
      </x:c>
      <x:c r="D299" s="55">
        <x:v>45222</x:v>
      </x:c>
      <x:c r="E299" s="54" t="s">
        <x:v>142</x:v>
      </x:c>
      <x:c r="F299" s="54">
        <x:v>1</x:v>
      </x:c>
      <x:c r="G299" s="148">
        <x:v>510</x:v>
      </x:c>
      <x:c r="H299" s="148" t="n">
        <x:f t="shared" si="20">IFERROR(IF(OR($F$1="",D299=""),0,MAX(0,$F$1-D299)),0)</x:f>
        <x:v>1165</x:v>
      </x:c>
      <x:c r="I299" s="148">
        <x:v>0.33329999999999999</x:v>
      </x:c>
      <x:c r="J299" s="148" t="n">
        <x:f t="shared" si="21">IFERROR(IF(OR(G299="",G299&lt;=0,I299="",D299="",$F$1=""),0,IF($F$1&lt;D299,0,MIN(MAX(G299-1,0),MAX(0,(G299*I299/365)*H299)))),0)</x:f>
        <x:v>509</x:v>
      </x:c>
      <x:c r="K299" s="148" t="n">
        <x:f t="shared" si="22">IFERROR(IF(OR(G299="",G299&lt;=0),0,MAX(1,G299-J299)),0)</x:f>
        <x:v>1</x:v>
      </x:c>
      <x:c r="L299" s="148" t="n">
        <x:f t="shared" si="23">IFERROR(IF(OR(G299="",G299&lt;=0,I299="",D299="",$F$1=""),0,IF($F$1&lt;D299,0,IF(K299&lt;=1,0,MIN(G299*I299/12,K299-1)))),0)</x:f>
        <x:v>0</x:v>
      </x:c>
      <x:c r="M299" s="58" t="s">
        <x:v>18</x:v>
      </x:c>
    </x:row>
    <x:row r="300" ht="19.899999618530273" customHeight="1">
      <x:c r="A300" s="53">
        <x:f t="shared" si="24"/>
        <x:v>295</x:v>
      </x:c>
      <x:c r="B300" s="54" t="s">
        <x:v>140</x:v>
      </x:c>
      <x:c r="C300" s="54" t="s">
        <x:v>27</x:v>
      </x:c>
      <x:c r="D300" s="55">
        <x:v>45222</x:v>
      </x:c>
      <x:c r="E300" s="54" t="s">
        <x:v>62</x:v>
      </x:c>
      <x:c r="F300" s="54">
        <x:v>1</x:v>
      </x:c>
      <x:c r="G300" s="148">
        <x:v>575</x:v>
      </x:c>
      <x:c r="H300" s="148" t="n">
        <x:f t="shared" si="20">IFERROR(IF(OR($F$1="",D300=""),0,MAX(0,$F$1-D300)),0)</x:f>
        <x:v>1165</x:v>
      </x:c>
      <x:c r="I300" s="148">
        <x:v>0.33329999999999999</x:v>
      </x:c>
      <x:c r="J300" s="148" t="n">
        <x:f t="shared" si="21">IFERROR(IF(OR(G300="",G300&lt;=0,I300="",D300="",$F$1=""),0,IF($F$1&lt;D300,0,MIN(MAX(G300-1,0),MAX(0,(G300*I300/365)*H300)))),0)</x:f>
        <x:v>574</x:v>
      </x:c>
      <x:c r="K300" s="148" t="n">
        <x:f t="shared" si="22">IFERROR(IF(OR(G300="",G300&lt;=0),0,MAX(1,G300-J300)),0)</x:f>
        <x:v>1</x:v>
      </x:c>
      <x:c r="L300" s="148" t="n">
        <x:f t="shared" si="23">IFERROR(IF(OR(G300="",G300&lt;=0,I300="",D300="",$F$1=""),0,IF($F$1&lt;D300,0,IF(K300&lt;=1,0,MIN(G300*I300/12,K300-1)))),0)</x:f>
        <x:v>0</x:v>
      </x:c>
      <x:c r="M300" s="58" t="s">
        <x:v>18</x:v>
      </x:c>
    </x:row>
    <x:row r="301" ht="19.899999618530273" customHeight="1">
      <x:c r="A301" s="53">
        <x:f t="shared" si="24"/>
        <x:v>296</x:v>
      </x:c>
      <x:c r="B301" s="54" t="s">
        <x:v>140</x:v>
      </x:c>
      <x:c r="C301" s="54" t="s">
        <x:v>27</x:v>
      </x:c>
      <x:c r="D301" s="55">
        <x:v>45222</x:v>
      </x:c>
      <x:c r="E301" s="54" t="s">
        <x:v>143</x:v>
      </x:c>
      <x:c r="F301" s="54">
        <x:v>1</x:v>
      </x:c>
      <x:c r="G301" s="148">
        <x:v>2075</x:v>
      </x:c>
      <x:c r="H301" s="148" t="n">
        <x:f t="shared" si="20">IFERROR(IF(OR($F$1="",D301=""),0,MAX(0,$F$1-D301)),0)</x:f>
        <x:v>1165</x:v>
      </x:c>
      <x:c r="I301" s="148">
        <x:v>0.33329999999999999</x:v>
      </x:c>
      <x:c r="J301" s="148" t="n">
        <x:f t="shared" si="21">IFERROR(IF(OR(G301="",G301&lt;=0,I301="",D301="",$F$1=""),0,IF($F$1&lt;D301,0,MIN(MAX(G301-1,0),MAX(0,(G301*I301/365)*H301)))),0)</x:f>
        <x:v>2074</x:v>
      </x:c>
      <x:c r="K301" s="148" t="n">
        <x:f t="shared" si="22">IFERROR(IF(OR(G301="",G301&lt;=0),0,MAX(1,G301-J301)),0)</x:f>
        <x:v>1</x:v>
      </x:c>
      <x:c r="L301" s="148" t="n">
        <x:f t="shared" si="23">IFERROR(IF(OR(G301="",G301&lt;=0,I301="",D301="",$F$1=""),0,IF($F$1&lt;D301,0,IF(K301&lt;=1,0,MIN(G301*I301/12,K301-1)))),0)</x:f>
        <x:v>0</x:v>
      </x:c>
      <x:c r="M301" s="58" t="s">
        <x:v>18</x:v>
      </x:c>
    </x:row>
    <x:row r="302" ht="19.899999618530273" customHeight="1">
      <x:c r="A302" s="53">
        <x:f t="shared" si="24"/>
        <x:v>297</x:v>
      </x:c>
      <x:c r="B302" s="54" t="s">
        <x:v>140</x:v>
      </x:c>
      <x:c r="C302" s="54" t="s">
        <x:v>27</x:v>
      </x:c>
      <x:c r="D302" s="55">
        <x:v>45222</x:v>
      </x:c>
      <x:c r="E302" s="54" t="s">
        <x:v>143</x:v>
      </x:c>
      <x:c r="F302" s="54">
        <x:v>1</x:v>
      </x:c>
      <x:c r="G302" s="148">
        <x:v>2075</x:v>
      </x:c>
      <x:c r="H302" s="148" t="n">
        <x:f t="shared" si="20">IFERROR(IF(OR($F$1="",D302=""),0,MAX(0,$F$1-D302)),0)</x:f>
        <x:v>1165</x:v>
      </x:c>
      <x:c r="I302" s="148">
        <x:v>0.33329999999999999</x:v>
      </x:c>
      <x:c r="J302" s="148" t="n">
        <x:f t="shared" si="21">IFERROR(IF(OR(G302="",G302&lt;=0,I302="",D302="",$F$1=""),0,IF($F$1&lt;D302,0,MIN(MAX(G302-1,0),MAX(0,(G302*I302/365)*H302)))),0)</x:f>
        <x:v>2074</x:v>
      </x:c>
      <x:c r="K302" s="148" t="n">
        <x:f t="shared" si="22">IFERROR(IF(OR(G302="",G302&lt;=0),0,MAX(1,G302-J302)),0)</x:f>
        <x:v>1</x:v>
      </x:c>
      <x:c r="L302" s="148" t="n">
        <x:f t="shared" si="23">IFERROR(IF(OR(G302="",G302&lt;=0,I302="",D302="",$F$1=""),0,IF($F$1&lt;D302,0,IF(K302&lt;=1,0,MIN(G302*I302/12,K302-1)))),0)</x:f>
        <x:v>0</x:v>
      </x:c>
      <x:c r="M302" s="58" t="s">
        <x:v>18</x:v>
      </x:c>
    </x:row>
    <x:row r="303" ht="19.899999618530273" customHeight="1">
      <x:c r="A303" s="53">
        <x:f t="shared" si="24"/>
        <x:v>298</x:v>
      </x:c>
      <x:c r="B303" s="54" t="s">
        <x:v>140</x:v>
      </x:c>
      <x:c r="C303" s="54" t="s">
        <x:v>27</x:v>
      </x:c>
      <x:c r="D303" s="55">
        <x:v>45222</x:v>
      </x:c>
      <x:c r="E303" s="54" t="s">
        <x:v>144</x:v>
      </x:c>
      <x:c r="F303" s="54">
        <x:v>1</x:v>
      </x:c>
      <x:c r="G303" s="148">
        <x:v>680</x:v>
      </x:c>
      <x:c r="H303" s="148" t="n">
        <x:f t="shared" si="20">IFERROR(IF(OR($F$1="",D303=""),0,MAX(0,$F$1-D303)),0)</x:f>
        <x:v>1165</x:v>
      </x:c>
      <x:c r="I303" s="148">
        <x:v>0.33329999999999999</x:v>
      </x:c>
      <x:c r="J303" s="148" t="n">
        <x:f t="shared" si="21">IFERROR(IF(OR(G303="",G303&lt;=0,I303="",D303="",$F$1=""),0,IF($F$1&lt;D303,0,MIN(MAX(G303-1,0),MAX(0,(G303*I303/365)*H303)))),0)</x:f>
        <x:v>679</x:v>
      </x:c>
      <x:c r="K303" s="148" t="n">
        <x:f t="shared" si="22">IFERROR(IF(OR(G303="",G303&lt;=0),0,MAX(1,G303-J303)),0)</x:f>
        <x:v>1</x:v>
      </x:c>
      <x:c r="L303" s="148" t="n">
        <x:f t="shared" si="23">IFERROR(IF(OR(G303="",G303&lt;=0,I303="",D303="",$F$1=""),0,IF($F$1&lt;D303,0,IF(K303&lt;=1,0,MIN(G303*I303/12,K303-1)))),0)</x:f>
        <x:v>0</x:v>
      </x:c>
      <x:c r="M303" s="58" t="s">
        <x:v>18</x:v>
      </x:c>
    </x:row>
    <x:row r="304" ht="19.899999618530273" customHeight="1">
      <x:c r="A304" s="53">
        <x:f t="shared" si="24"/>
        <x:v>299</x:v>
      </x:c>
      <x:c r="B304" s="54" t="s">
        <x:v>140</x:v>
      </x:c>
      <x:c r="C304" s="54" t="s">
        <x:v>27</x:v>
      </x:c>
      <x:c r="D304" s="55">
        <x:v>45223</x:v>
      </x:c>
      <x:c r="E304" s="54" t="s">
        <x:v>145</x:v>
      </x:c>
      <x:c r="F304" s="54">
        <x:v>1</x:v>
      </x:c>
      <x:c r="G304" s="148">
        <x:v>1500</x:v>
      </x:c>
      <x:c r="H304" s="148" t="n">
        <x:f t="shared" si="20">IFERROR(IF(OR($F$1="",D304=""),0,MAX(0,$F$1-D304)),0)</x:f>
        <x:v>1164</x:v>
      </x:c>
      <x:c r="I304" s="148">
        <x:v>0.33329999999999999</x:v>
      </x:c>
      <x:c r="J304" s="148" t="n">
        <x:f t="shared" si="21">IFERROR(IF(OR(G304="",G304&lt;=0,I304="",D304="",$F$1=""),0,IF($F$1&lt;D304,0,MIN(MAX(G304-1,0),MAX(0,(G304*I304/365)*H304)))),0)</x:f>
        <x:v>1499</x:v>
      </x:c>
      <x:c r="K304" s="148" t="n">
        <x:f t="shared" si="22">IFERROR(IF(OR(G304="",G304&lt;=0),0,MAX(1,G304-J304)),0)</x:f>
        <x:v>1</x:v>
      </x:c>
      <x:c r="L304" s="148" t="n">
        <x:f t="shared" si="23">IFERROR(IF(OR(G304="",G304&lt;=0,I304="",D304="",$F$1=""),0,IF($F$1&lt;D304,0,IF(K304&lt;=1,0,MIN(G304*I304/12,K304-1)))),0)</x:f>
        <x:v>0</x:v>
      </x:c>
      <x:c r="M304" s="58" t="s">
        <x:v>18</x:v>
      </x:c>
    </x:row>
    <x:row r="305" ht="19.899999618530273" customHeight="1">
      <x:c r="A305" s="53">
        <x:f t="shared" si="24"/>
        <x:v>300</x:v>
      </x:c>
      <x:c r="B305" s="54" t="s">
        <x:v>140</x:v>
      </x:c>
      <x:c r="C305" s="54" t="s">
        <x:v>27</x:v>
      </x:c>
      <x:c r="D305" s="55">
        <x:v>45223</x:v>
      </x:c>
      <x:c r="E305" s="54" t="s">
        <x:v>146</x:v>
      </x:c>
      <x:c r="F305" s="54">
        <x:v>1</x:v>
      </x:c>
      <x:c r="G305" s="148">
        <x:v>310</x:v>
      </x:c>
      <x:c r="H305" s="148" t="n">
        <x:f t="shared" si="20">IFERROR(IF(OR($F$1="",D305=""),0,MAX(0,$F$1-D305)),0)</x:f>
        <x:v>1164</x:v>
      </x:c>
      <x:c r="I305" s="148">
        <x:v>0.33329999999999999</x:v>
      </x:c>
      <x:c r="J305" s="148" t="n">
        <x:f t="shared" si="21">IFERROR(IF(OR(G305="",G305&lt;=0,I305="",D305="",$F$1=""),0,IF($F$1&lt;D305,0,MIN(MAX(G305-1,0),MAX(0,(G305*I305/365)*H305)))),0)</x:f>
        <x:v>309</x:v>
      </x:c>
      <x:c r="K305" s="148" t="n">
        <x:f t="shared" si="22">IFERROR(IF(OR(G305="",G305&lt;=0),0,MAX(1,G305-J305)),0)</x:f>
        <x:v>1</x:v>
      </x:c>
      <x:c r="L305" s="148" t="n">
        <x:f t="shared" si="23">IFERROR(IF(OR(G305="",G305&lt;=0,I305="",D305="",$F$1=""),0,IF($F$1&lt;D305,0,IF(K305&lt;=1,0,MIN(G305*I305/12,K305-1)))),0)</x:f>
        <x:v>0</x:v>
      </x:c>
      <x:c r="M305" s="58" t="s">
        <x:v>18</x:v>
      </x:c>
    </x:row>
    <x:row r="306" ht="19.899999618530273" customHeight="1">
      <x:c r="A306" s="53">
        <x:f t="shared" si="24"/>
        <x:v>301</x:v>
      </x:c>
      <x:c r="B306" s="54" t="s">
        <x:v>140</x:v>
      </x:c>
      <x:c r="C306" s="54" t="s">
        <x:v>43</x:v>
      </x:c>
      <x:c r="D306" s="55">
        <x:v>45474</x:v>
      </x:c>
      <x:c r="E306" s="54" t="s">
        <x:v>147</x:v>
      </x:c>
      <x:c r="F306" s="54">
        <x:v>1</x:v>
      </x:c>
      <x:c r="G306" s="148">
        <x:v>4763.8</x:v>
      </x:c>
      <x:c r="H306" s="148" t="n">
        <x:f t="shared" si="20">IFERROR(IF(OR($F$1="",D306=""),0,MAX(0,$F$1-D306)),0)</x:f>
        <x:v>913</x:v>
      </x:c>
      <x:c r="I306" s="148">
        <x:v>0.2</x:v>
      </x:c>
      <x:c r="J306" s="148" t="n">
        <x:f t="shared" si="21">IFERROR(IF(OR(G306="",G306&lt;=0,I306="",D306="",$F$1=""),0,IF($F$1&lt;D306,0,MIN(MAX(G306-1,0),MAX(0,(G306*I306/365)*H306)))),0)</x:f>
        <x:v>2383.205150684932</x:v>
      </x:c>
      <x:c r="K306" s="148" t="n">
        <x:f t="shared" si="22">IFERROR(IF(OR(G306="",G306&lt;=0),0,MAX(1,G306-J306)),0)</x:f>
        <x:v>2380.594849315068</x:v>
      </x:c>
      <x:c r="L306" s="148" t="n">
        <x:f t="shared" si="23">IFERROR(IF(OR(G306="",G306&lt;=0,I306="",D306="",$F$1=""),0,IF($F$1&lt;D306,0,IF(K306&lt;=1,0,MIN(G306*I306/12,K306-1)))),0)</x:f>
        <x:v>79.39666666666668</x:v>
      </x:c>
      <x:c r="M306" s="58" t="s">
        <x:v>18</x:v>
      </x:c>
    </x:row>
    <x:row r="307" ht="19.899999618530273" customHeight="1">
      <x:c r="A307" s="53">
        <x:f t="shared" si="24"/>
        <x:v>302</x:v>
      </x:c>
      <x:c r="B307" s="54" t="s">
        <x:v>140</x:v>
      </x:c>
      <x:c r="C307" s="54" t="s">
        <x:v>43</x:v>
      </x:c>
      <x:c r="D307" s="55">
        <x:v>45474</x:v>
      </x:c>
      <x:c r="E307" s="54" t="s">
        <x:v>147</x:v>
      </x:c>
      <x:c r="F307" s="54">
        <x:v>1</x:v>
      </x:c>
      <x:c r="G307" s="148">
        <x:v>4763.8</x:v>
      </x:c>
      <x:c r="H307" s="148" t="n">
        <x:f t="shared" si="20">IFERROR(IF(OR($F$1="",D307=""),0,MAX(0,$F$1-D307)),0)</x:f>
        <x:v>913</x:v>
      </x:c>
      <x:c r="I307" s="148">
        <x:v>0.2</x:v>
      </x:c>
      <x:c r="J307" s="148" t="n">
        <x:f t="shared" si="21">IFERROR(IF(OR(G307="",G307&lt;=0,I307="",D307="",$F$1=""),0,IF($F$1&lt;D307,0,MIN(MAX(G307-1,0),MAX(0,(G307*I307/365)*H307)))),0)</x:f>
        <x:v>2383.205150684932</x:v>
      </x:c>
      <x:c r="K307" s="148" t="n">
        <x:f t="shared" si="22">IFERROR(IF(OR(G307="",G307&lt;=0),0,MAX(1,G307-J307)),0)</x:f>
        <x:v>2380.594849315068</x:v>
      </x:c>
      <x:c r="L307" s="148" t="n">
        <x:f t="shared" si="23">IFERROR(IF(OR(G307="",G307&lt;=0,I307="",D307="",$F$1=""),0,IF($F$1&lt;D307,0,IF(K307&lt;=1,0,MIN(G307*I307/12,K307-1)))),0)</x:f>
        <x:v>79.39666666666668</x:v>
      </x:c>
      <x:c r="M307" s="58" t="s">
        <x:v>18</x:v>
      </x:c>
    </x:row>
    <x:row r="308" ht="19.899999618530273" customHeight="1">
      <x:c r="A308" s="53">
        <x:f t="shared" si="24"/>
        <x:v>303</x:v>
      </x:c>
      <x:c r="B308" s="54" t="s">
        <x:v>140</x:v>
      </x:c>
      <x:c r="C308" s="54" t="s">
        <x:v>43</x:v>
      </x:c>
      <x:c r="D308" s="55">
        <x:v>45474</x:v>
      </x:c>
      <x:c r="E308" s="54" t="s">
        <x:v>147</x:v>
      </x:c>
      <x:c r="F308" s="54">
        <x:v>1</x:v>
      </x:c>
      <x:c r="G308" s="148">
        <x:v>4763.8</x:v>
      </x:c>
      <x:c r="H308" s="148" t="n">
        <x:f t="shared" si="20">IFERROR(IF(OR($F$1="",D308=""),0,MAX(0,$F$1-D308)),0)</x:f>
        <x:v>913</x:v>
      </x:c>
      <x:c r="I308" s="148">
        <x:v>0.2</x:v>
      </x:c>
      <x:c r="J308" s="148" t="n">
        <x:f t="shared" si="21">IFERROR(IF(OR(G308="",G308&lt;=0,I308="",D308="",$F$1=""),0,IF($F$1&lt;D308,0,MIN(MAX(G308-1,0),MAX(0,(G308*I308/365)*H308)))),0)</x:f>
        <x:v>2383.205150684932</x:v>
      </x:c>
      <x:c r="K308" s="148" t="n">
        <x:f t="shared" si="22">IFERROR(IF(OR(G308="",G308&lt;=0),0,MAX(1,G308-J308)),0)</x:f>
        <x:v>2380.594849315068</x:v>
      </x:c>
      <x:c r="L308" s="148" t="n">
        <x:f t="shared" si="23">IFERROR(IF(OR(G308="",G308&lt;=0,I308="",D308="",$F$1=""),0,IF($F$1&lt;D308,0,IF(K308&lt;=1,0,MIN(G308*I308/12,K308-1)))),0)</x:f>
        <x:v>79.39666666666668</x:v>
      </x:c>
      <x:c r="M308" s="58" t="s">
        <x:v>18</x:v>
      </x:c>
    </x:row>
    <x:row r="309" ht="19.899999618530273" customHeight="1">
      <x:c r="A309" s="53">
        <x:f t="shared" si="24"/>
        <x:v>304</x:v>
      </x:c>
      <x:c r="B309" s="54" t="s">
        <x:v>140</x:v>
      </x:c>
      <x:c r="C309" s="54" t="s">
        <x:v>43</x:v>
      </x:c>
      <x:c r="D309" s="55">
        <x:v>45474</x:v>
      </x:c>
      <x:c r="E309" s="54" t="s">
        <x:v>147</x:v>
      </x:c>
      <x:c r="F309" s="54">
        <x:v>1</x:v>
      </x:c>
      <x:c r="G309" s="148">
        <x:v>4763.8</x:v>
      </x:c>
      <x:c r="H309" s="148" t="n">
        <x:f t="shared" si="20">IFERROR(IF(OR($F$1="",D309=""),0,MAX(0,$F$1-D309)),0)</x:f>
        <x:v>913</x:v>
      </x:c>
      <x:c r="I309" s="148">
        <x:v>0.2</x:v>
      </x:c>
      <x:c r="J309" s="148" t="n">
        <x:f t="shared" si="21">IFERROR(IF(OR(G309="",G309&lt;=0,I309="",D309="",$F$1=""),0,IF($F$1&lt;D309,0,MIN(MAX(G309-1,0),MAX(0,(G309*I309/365)*H309)))),0)</x:f>
        <x:v>2383.205150684932</x:v>
      </x:c>
      <x:c r="K309" s="148" t="n">
        <x:f t="shared" si="22">IFERROR(IF(OR(G309="",G309&lt;=0),0,MAX(1,G309-J309)),0)</x:f>
        <x:v>2380.594849315068</x:v>
      </x:c>
      <x:c r="L309" s="148" t="n">
        <x:f t="shared" si="23">IFERROR(IF(OR(G309="",G309&lt;=0,I309="",D309="",$F$1=""),0,IF($F$1&lt;D309,0,IF(K309&lt;=1,0,MIN(G309*I309/12,K309-1)))),0)</x:f>
        <x:v>79.39666666666668</x:v>
      </x:c>
      <x:c r="M309" s="58" t="s">
        <x:v>18</x:v>
      </x:c>
    </x:row>
    <x:row r="310" ht="19.899999618530273" customHeight="1">
      <x:c r="A310" s="53">
        <x:f t="shared" si="24"/>
        <x:v>305</x:v>
      </x:c>
      <x:c r="B310" s="54" t="s">
        <x:v>140</x:v>
      </x:c>
      <x:c r="C310" s="54" t="s">
        <x:v>43</x:v>
      </x:c>
      <x:c r="D310" s="55">
        <x:v>45474</x:v>
      </x:c>
      <x:c r="E310" s="54" t="s">
        <x:v>147</x:v>
      </x:c>
      <x:c r="F310" s="54">
        <x:v>1</x:v>
      </x:c>
      <x:c r="G310" s="148">
        <x:v>4763.8</x:v>
      </x:c>
      <x:c r="H310" s="148" t="n">
        <x:f t="shared" si="20">IFERROR(IF(OR($F$1="",D310=""),0,MAX(0,$F$1-D310)),0)</x:f>
        <x:v>913</x:v>
      </x:c>
      <x:c r="I310" s="148">
        <x:v>0.2</x:v>
      </x:c>
      <x:c r="J310" s="148" t="n">
        <x:f t="shared" si="21">IFERROR(IF(OR(G310="",G310&lt;=0,I310="",D310="",$F$1=""),0,IF($F$1&lt;D310,0,MIN(MAX(G310-1,0),MAX(0,(G310*I310/365)*H310)))),0)</x:f>
        <x:v>2383.205150684932</x:v>
      </x:c>
      <x:c r="K310" s="148" t="n">
        <x:f t="shared" si="22">IFERROR(IF(OR(G310="",G310&lt;=0),0,MAX(1,G310-J310)),0)</x:f>
        <x:v>2380.594849315068</x:v>
      </x:c>
      <x:c r="L310" s="148" t="n">
        <x:f t="shared" si="23">IFERROR(IF(OR(G310="",G310&lt;=0,I310="",D310="",$F$1=""),0,IF($F$1&lt;D310,0,IF(K310&lt;=1,0,MIN(G310*I310/12,K310-1)))),0)</x:f>
        <x:v>79.39666666666668</x:v>
      </x:c>
      <x:c r="M310" s="58" t="s">
        <x:v>18</x:v>
      </x:c>
    </x:row>
    <x:row r="311" ht="19.899999618530273" customHeight="1">
      <x:c r="A311" s="53">
        <x:f t="shared" si="24"/>
        <x:v>306</x:v>
      </x:c>
      <x:c r="B311" s="54" t="s">
        <x:v>140</x:v>
      </x:c>
      <x:c r="C311" s="54" t="s">
        <x:v>43</x:v>
      </x:c>
      <x:c r="D311" s="55">
        <x:v>45474</x:v>
      </x:c>
      <x:c r="E311" s="54" t="s">
        <x:v>148</x:v>
      </x:c>
      <x:c r="F311" s="54">
        <x:v>1</x:v>
      </x:c>
      <x:c r="G311" s="148">
        <x:v>7450.7550000000001</x:v>
      </x:c>
      <x:c r="H311" s="148" t="n">
        <x:f t="shared" si="20">IFERROR(IF(OR($F$1="",D311=""),0,MAX(0,$F$1-D311)),0)</x:f>
        <x:v>913</x:v>
      </x:c>
      <x:c r="I311" s="148">
        <x:v>0.2</x:v>
      </x:c>
      <x:c r="J311" s="148" t="n">
        <x:f t="shared" si="21">IFERROR(IF(OR(G311="",G311&lt;=0,I311="",D311="",$F$1=""),0,IF($F$1&lt;D311,0,MIN(MAX(G311-1,0),MAX(0,(G311*I311/365)*H311)))),0)</x:f>
        <x:v>3727.4188027397263</x:v>
      </x:c>
      <x:c r="K311" s="148" t="n">
        <x:f t="shared" si="22">IFERROR(IF(OR(G311="",G311&lt;=0),0,MAX(1,G311-J311)),0)</x:f>
        <x:v>3723.336197260274</x:v>
      </x:c>
      <x:c r="L311" s="148" t="n">
        <x:f t="shared" si="23">IFERROR(IF(OR(G311="",G311&lt;=0,I311="",D311="",$F$1=""),0,IF($F$1&lt;D311,0,IF(K311&lt;=1,0,MIN(G311*I311/12,K311-1)))),0)</x:f>
        <x:v>124.17925000000001</x:v>
      </x:c>
      <x:c r="M311" s="58" t="s">
        <x:v>18</x:v>
      </x:c>
    </x:row>
    <x:row r="312" ht="19.899999618530273" customHeight="1">
      <x:c r="A312" s="53">
        <x:f t="shared" si="24"/>
        <x:v>307</x:v>
      </x:c>
      <x:c r="B312" s="54" t="s">
        <x:v>140</x:v>
      </x:c>
      <x:c r="C312" s="54" t="s">
        <x:v>21</x:v>
      </x:c>
      <x:c r="D312" s="55">
        <x:v>45550</x:v>
      </x:c>
      <x:c r="E312" s="54" t="s">
        <x:v>149</x:v>
      </x:c>
      <x:c r="F312" s="54">
        <x:v>1</x:v>
      </x:c>
      <x:c r="G312" s="148">
        <x:v>10000</x:v>
      </x:c>
      <x:c r="H312" s="148" t="n">
        <x:f t="shared" si="20">IFERROR(IF(OR($F$1="",D312=""),0,MAX(0,$F$1-D312)),0)</x:f>
        <x:v>837</x:v>
      </x:c>
      <x:c r="I312" s="148">
        <x:v>0.33329999999999999</x:v>
      </x:c>
      <x:c r="J312" s="148" t="n">
        <x:f t="shared" si="21">IFERROR(IF(OR(G312="",G312&lt;=0,I312="",D312="",$F$1=""),0,IF($F$1&lt;D312,0,MIN(MAX(G312-1,0),MAX(0,(G312*I312/365)*H312)))),0)</x:f>
        <x:v>7643.071232876712</x:v>
      </x:c>
      <x:c r="K312" s="148" t="n">
        <x:f t="shared" si="22">IFERROR(IF(OR(G312="",G312&lt;=0),0,MAX(1,G312-J312)),0)</x:f>
        <x:v>2356.928767123288</x:v>
      </x:c>
      <x:c r="L312" s="148" t="n">
        <x:f t="shared" si="23">IFERROR(IF(OR(G312="",G312&lt;=0,I312="",D312="",$F$1=""),0,IF($F$1&lt;D312,0,IF(K312&lt;=1,0,MIN(G312*I312/12,K312-1)))),0)</x:f>
        <x:v>277.75</x:v>
      </x:c>
      <x:c r="M312" s="58" t="s">
        <x:v>18</x:v>
      </x:c>
    </x:row>
    <x:row r="313" ht="19.899999618530273" customHeight="1">
      <x:c r="A313" s="53">
        <x:f t="shared" si="24"/>
        <x:v>308</x:v>
      </x:c>
      <x:c r="B313" s="54" t="s">
        <x:v>140</x:v>
      </x:c>
      <x:c r="C313" s="54" t="s">
        <x:v>150</x:v>
      </x:c>
      <x:c r="D313" s="55">
        <x:v>45606</x:v>
      </x:c>
      <x:c r="E313" s="54" t="s">
        <x:v>151</x:v>
      </x:c>
      <x:c r="F313" s="54">
        <x:v>1</x:v>
      </x:c>
      <x:c r="G313" s="148">
        <x:v>739.14</x:v>
      </x:c>
      <x:c r="H313" s="148" t="n">
        <x:f t="shared" si="20">IFERROR(IF(OR($F$1="",D313=""),0,MAX(0,$F$1-D313)),0)</x:f>
        <x:v>781</x:v>
      </x:c>
      <x:c r="I313" s="148">
        <x:v>0.2</x:v>
      </x:c>
      <x:c r="J313" s="148" t="n">
        <x:f t="shared" si="21">IFERROR(IF(OR(G313="",G313&lt;=0,I313="",D313="",$F$1=""),0,IF($F$1&lt;D313,0,MIN(MAX(G313-1,0),MAX(0,(G313*I313/365)*H313)))),0)</x:f>
        <x:v>316.3114191780822</x:v>
      </x:c>
      <x:c r="K313" s="148" t="n">
        <x:f t="shared" si="22">IFERROR(IF(OR(G313="",G313&lt;=0),0,MAX(1,G313-J313)),0)</x:f>
        <x:v>422.8285808219178</x:v>
      </x:c>
      <x:c r="L313" s="148" t="n">
        <x:f t="shared" si="23">IFERROR(IF(OR(G313="",G313&lt;=0,I313="",D313="",$F$1=""),0,IF($F$1&lt;D313,0,IF(K313&lt;=1,0,MIN(G313*I313/12,K313-1)))),0)</x:f>
        <x:v>12.319</x:v>
      </x:c>
      <x:c r="M313" s="58" t="s">
        <x:v>18</x:v>
      </x:c>
    </x:row>
    <x:row r="314" ht="19.899999618530273" customHeight="1">
      <x:c r="A314" s="53">
        <x:f t="shared" si="24"/>
        <x:v>309</x:v>
      </x:c>
      <x:c r="B314" s="54" t="s">
        <x:v>140</x:v>
      </x:c>
      <x:c r="C314" s="54" t="s">
        <x:v>43</x:v>
      </x:c>
      <x:c r="D314" s="55">
        <x:v>45578</x:v>
      </x:c>
      <x:c r="E314" s="54" t="s">
        <x:v>45</x:v>
      </x:c>
      <x:c r="F314" s="54">
        <x:v>1</x:v>
      </x:c>
      <x:c r="G314" s="148">
        <x:v>587.1</x:v>
      </x:c>
      <x:c r="H314" s="148" t="n">
        <x:f t="shared" si="20">IFERROR(IF(OR($F$1="",D314=""),0,MAX(0,$F$1-D314)),0)</x:f>
        <x:v>809</x:v>
      </x:c>
      <x:c r="I314" s="148">
        <x:v>0.2</x:v>
      </x:c>
      <x:c r="J314" s="148" t="n">
        <x:f t="shared" si="21">IFERROR(IF(OR(G314="",G314&lt;=0,I314="",D314="",$F$1=""),0,IF($F$1&lt;D314,0,MIN(MAX(G314-1,0),MAX(0,(G314*I314/365)*H314)))),0)</x:f>
        <x:v>260.25419178082194</x:v>
      </x:c>
      <x:c r="K314" s="148" t="n">
        <x:f t="shared" si="22">IFERROR(IF(OR(G314="",G314&lt;=0),0,MAX(1,G314-J314)),0)</x:f>
        <x:v>326.8458082191781</x:v>
      </x:c>
      <x:c r="L314" s="148" t="n">
        <x:f t="shared" si="23">IFERROR(IF(OR(G314="",G314&lt;=0,I314="",D314="",$F$1=""),0,IF($F$1&lt;D314,0,IF(K314&lt;=1,0,MIN(G314*I314/12,K314-1)))),0)</x:f>
        <x:v>9.785000000000002</x:v>
      </x:c>
      <x:c r="M314" s="58" t="s">
        <x:v>18</x:v>
      </x:c>
    </x:row>
    <x:row r="315" ht="19.899999618530273" customHeight="1">
      <x:c r="A315" s="53">
        <x:f t="shared" si="24"/>
        <x:v>310</x:v>
      </x:c>
      <x:c r="B315" s="54" t="s">
        <x:v>140</x:v>
      </x:c>
      <x:c r="C315" s="54" t="s">
        <x:v>43</x:v>
      </x:c>
      <x:c r="D315" s="55">
        <x:v>45578</x:v>
      </x:c>
      <x:c r="E315" s="54" t="s">
        <x:v>45</x:v>
      </x:c>
      <x:c r="F315" s="54">
        <x:v>1</x:v>
      </x:c>
      <x:c r="G315" s="148">
        <x:v>587.1</x:v>
      </x:c>
      <x:c r="H315" s="148" t="n">
        <x:f t="shared" si="20">IFERROR(IF(OR($F$1="",D315=""),0,MAX(0,$F$1-D315)),0)</x:f>
        <x:v>809</x:v>
      </x:c>
      <x:c r="I315" s="148">
        <x:v>0.2</x:v>
      </x:c>
      <x:c r="J315" s="148" t="n">
        <x:f t="shared" si="21">IFERROR(IF(OR(G315="",G315&lt;=0,I315="",D315="",$F$1=""),0,IF($F$1&lt;D315,0,MIN(MAX(G315-1,0),MAX(0,(G315*I315/365)*H315)))),0)</x:f>
        <x:v>260.25419178082194</x:v>
      </x:c>
      <x:c r="K315" s="148" t="n">
        <x:f t="shared" si="22">IFERROR(IF(OR(G315="",G315&lt;=0),0,MAX(1,G315-J315)),0)</x:f>
        <x:v>326.8458082191781</x:v>
      </x:c>
      <x:c r="L315" s="148" t="n">
        <x:f t="shared" si="23">IFERROR(IF(OR(G315="",G315&lt;=0,I315="",D315="",$F$1=""),0,IF($F$1&lt;D315,0,IF(K315&lt;=1,0,MIN(G315*I315/12,K315-1)))),0)</x:f>
        <x:v>9.785000000000002</x:v>
      </x:c>
      <x:c r="M315" s="58" t="s">
        <x:v>18</x:v>
      </x:c>
    </x:row>
    <x:row r="316" ht="19.899999618530273" customHeight="1">
      <x:c r="A316" s="53">
        <x:f t="shared" si="24"/>
        <x:v>311</x:v>
      </x:c>
      <x:c r="B316" s="54" t="s">
        <x:v>140</x:v>
      </x:c>
      <x:c r="C316" s="54" t="s">
        <x:v>43</x:v>
      </x:c>
      <x:c r="D316" s="55">
        <x:v>45578</x:v>
      </x:c>
      <x:c r="E316" s="54" t="s">
        <x:v>45</x:v>
      </x:c>
      <x:c r="F316" s="54">
        <x:v>1</x:v>
      </x:c>
      <x:c r="G316" s="148">
        <x:v>587.1</x:v>
      </x:c>
      <x:c r="H316" s="148" t="n">
        <x:f t="shared" si="20">IFERROR(IF(OR($F$1="",D316=""),0,MAX(0,$F$1-D316)),0)</x:f>
        <x:v>809</x:v>
      </x:c>
      <x:c r="I316" s="148">
        <x:v>0.2</x:v>
      </x:c>
      <x:c r="J316" s="148" t="n">
        <x:f t="shared" si="21">IFERROR(IF(OR(G316="",G316&lt;=0,I316="",D316="",$F$1=""),0,IF($F$1&lt;D316,0,MIN(MAX(G316-1,0),MAX(0,(G316*I316/365)*H316)))),0)</x:f>
        <x:v>260.25419178082194</x:v>
      </x:c>
      <x:c r="K316" s="148" t="n">
        <x:f t="shared" si="22">IFERROR(IF(OR(G316="",G316&lt;=0),0,MAX(1,G316-J316)),0)</x:f>
        <x:v>326.8458082191781</x:v>
      </x:c>
      <x:c r="L316" s="148" t="n">
        <x:f t="shared" si="23">IFERROR(IF(OR(G316="",G316&lt;=0,I316="",D316="",$F$1=""),0,IF($F$1&lt;D316,0,IF(K316&lt;=1,0,MIN(G316*I316/12,K316-1)))),0)</x:f>
        <x:v>9.785000000000002</x:v>
      </x:c>
      <x:c r="M316" s="58" t="s">
        <x:v>18</x:v>
      </x:c>
    </x:row>
    <x:row r="317" ht="19.899999618530273" customHeight="1">
      <x:c r="A317" s="53">
        <x:f t="shared" si="24"/>
        <x:v>312</x:v>
      </x:c>
      <x:c r="B317" s="54" t="s">
        <x:v>140</x:v>
      </x:c>
      <x:c r="C317" s="54" t="s">
        <x:v>43</x:v>
      </x:c>
      <x:c r="D317" s="55">
        <x:v>45578</x:v>
      </x:c>
      <x:c r="E317" s="54" t="s">
        <x:v>45</x:v>
      </x:c>
      <x:c r="F317" s="54">
        <x:v>1</x:v>
      </x:c>
      <x:c r="G317" s="148">
        <x:v>587.1</x:v>
      </x:c>
      <x:c r="H317" s="148" t="n">
        <x:f t="shared" si="20">IFERROR(IF(OR($F$1="",D317=""),0,MAX(0,$F$1-D317)),0)</x:f>
        <x:v>809</x:v>
      </x:c>
      <x:c r="I317" s="148">
        <x:v>0.2</x:v>
      </x:c>
      <x:c r="J317" s="148" t="n">
        <x:f t="shared" si="21">IFERROR(IF(OR(G317="",G317&lt;=0,I317="",D317="",$F$1=""),0,IF($F$1&lt;D317,0,MIN(MAX(G317-1,0),MAX(0,(G317*I317/365)*H317)))),0)</x:f>
        <x:v>260.25419178082194</x:v>
      </x:c>
      <x:c r="K317" s="148" t="n">
        <x:f t="shared" si="22">IFERROR(IF(OR(G317="",G317&lt;=0),0,MAX(1,G317-J317)),0)</x:f>
        <x:v>326.8458082191781</x:v>
      </x:c>
      <x:c r="L317" s="148" t="n">
        <x:f t="shared" si="23">IFERROR(IF(OR(G317="",G317&lt;=0,I317="",D317="",$F$1=""),0,IF($F$1&lt;D317,0,IF(K317&lt;=1,0,MIN(G317*I317/12,K317-1)))),0)</x:f>
        <x:v>9.785000000000002</x:v>
      </x:c>
      <x:c r="M317" s="58" t="s">
        <x:v>18</x:v>
      </x:c>
    </x:row>
    <x:row r="318" ht="19.899999618530273" customHeight="1">
      <x:c r="A318" s="53">
        <x:f t="shared" si="24"/>
        <x:v>313</x:v>
      </x:c>
      <x:c r="B318" s="54" t="s">
        <x:v>140</x:v>
      </x:c>
      <x:c r="C318" s="54" t="s">
        <x:v>43</x:v>
      </x:c>
      <x:c r="D318" s="55">
        <x:v>45578</x:v>
      </x:c>
      <x:c r="E318" s="54" t="s">
        <x:v>45</x:v>
      </x:c>
      <x:c r="F318" s="54">
        <x:v>1</x:v>
      </x:c>
      <x:c r="G318" s="148">
        <x:v>587.1</x:v>
      </x:c>
      <x:c r="H318" s="148" t="n">
        <x:f t="shared" si="20">IFERROR(IF(OR($F$1="",D318=""),0,MAX(0,$F$1-D318)),0)</x:f>
        <x:v>809</x:v>
      </x:c>
      <x:c r="I318" s="148">
        <x:v>0.2</x:v>
      </x:c>
      <x:c r="J318" s="148" t="n">
        <x:f t="shared" si="21">IFERROR(IF(OR(G318="",G318&lt;=0,I318="",D318="",$F$1=""),0,IF($F$1&lt;D318,0,MIN(MAX(G318-1,0),MAX(0,(G318*I318/365)*H318)))),0)</x:f>
        <x:v>260.25419178082194</x:v>
      </x:c>
      <x:c r="K318" s="148" t="n">
        <x:f t="shared" si="22">IFERROR(IF(OR(G318="",G318&lt;=0),0,MAX(1,G318-J318)),0)</x:f>
        <x:v>326.8458082191781</x:v>
      </x:c>
      <x:c r="L318" s="148" t="n">
        <x:f t="shared" si="23">IFERROR(IF(OR(G318="",G318&lt;=0,I318="",D318="",$F$1=""),0,IF($F$1&lt;D318,0,IF(K318&lt;=1,0,MIN(G318*I318/12,K318-1)))),0)</x:f>
        <x:v>9.785000000000002</x:v>
      </x:c>
      <x:c r="M318" s="58" t="s">
        <x:v>18</x:v>
      </x:c>
    </x:row>
    <x:row r="319" ht="19.899999618530273" customHeight="1">
      <x:c r="A319" s="53">
        <x:f t="shared" si="24"/>
        <x:v>314</x:v>
      </x:c>
      <x:c r="B319" s="54" t="s">
        <x:v>140</x:v>
      </x:c>
      <x:c r="C319" s="54" t="s">
        <x:v>43</x:v>
      </x:c>
      <x:c r="D319" s="55">
        <x:v>45578</x:v>
      </x:c>
      <x:c r="E319" s="54" t="s">
        <x:v>45</x:v>
      </x:c>
      <x:c r="F319" s="54">
        <x:v>1</x:v>
      </x:c>
      <x:c r="G319" s="148">
        <x:v>587.1</x:v>
      </x:c>
      <x:c r="H319" s="148" t="n">
        <x:f t="shared" si="20">IFERROR(IF(OR($F$1="",D319=""),0,MAX(0,$F$1-D319)),0)</x:f>
        <x:v>809</x:v>
      </x:c>
      <x:c r="I319" s="148">
        <x:v>0.2</x:v>
      </x:c>
      <x:c r="J319" s="148" t="n">
        <x:f t="shared" si="21">IFERROR(IF(OR(G319="",G319&lt;=0,I319="",D319="",$F$1=""),0,IF($F$1&lt;D319,0,MIN(MAX(G319-1,0),MAX(0,(G319*I319/365)*H319)))),0)</x:f>
        <x:v>260.25419178082194</x:v>
      </x:c>
      <x:c r="K319" s="148" t="n">
        <x:f t="shared" si="22">IFERROR(IF(OR(G319="",G319&lt;=0),0,MAX(1,G319-J319)),0)</x:f>
        <x:v>326.8458082191781</x:v>
      </x:c>
      <x:c r="L319" s="148" t="n">
        <x:f t="shared" si="23">IFERROR(IF(OR(G319="",G319&lt;=0,I319="",D319="",$F$1=""),0,IF($F$1&lt;D319,0,IF(K319&lt;=1,0,MIN(G319*I319/12,K319-1)))),0)</x:f>
        <x:v>9.785000000000002</x:v>
      </x:c>
      <x:c r="M319" s="58" t="s">
        <x:v>18</x:v>
      </x:c>
    </x:row>
    <x:row r="320" ht="19.899999618530273" customHeight="1">
      <x:c r="A320" s="53">
        <x:f t="shared" si="24"/>
        <x:v>315</x:v>
      </x:c>
      <x:c r="B320" s="54" t="s">
        <x:v>140</x:v>
      </x:c>
      <x:c r="C320" s="54" t="s">
        <x:v>27</x:v>
      </x:c>
      <x:c r="D320" s="55">
        <x:v>45223</x:v>
      </x:c>
      <x:c r="E320" s="54" t="s">
        <x:v>152</x:v>
      </x:c>
      <x:c r="F320" s="54">
        <x:v>1</x:v>
      </x:c>
      <x:c r="G320" s="148">
        <x:v>190</x:v>
      </x:c>
      <x:c r="H320" s="148" t="n">
        <x:f t="shared" si="20">IFERROR(IF(OR($F$1="",D320=""),0,MAX(0,$F$1-D320)),0)</x:f>
        <x:v>1164</x:v>
      </x:c>
      <x:c r="I320" s="148">
        <x:v>0.33329999999999999</x:v>
      </x:c>
      <x:c r="J320" s="148" t="n">
        <x:f t="shared" si="21">IFERROR(IF(OR(G320="",G320&lt;=0,I320="",D320="",$F$1=""),0,IF($F$1&lt;D320,0,MIN(MAX(G320-1,0),MAX(0,(G320*I320/365)*H320)))),0)</x:f>
        <x:v>189</x:v>
      </x:c>
      <x:c r="K320" s="148" t="n">
        <x:f t="shared" si="22">IFERROR(IF(OR(G320="",G320&lt;=0),0,MAX(1,G320-J320)),0)</x:f>
        <x:v>1</x:v>
      </x:c>
      <x:c r="L320" s="148" t="n">
        <x:f t="shared" si="23">IFERROR(IF(OR(G320="",G320&lt;=0,I320="",D320="",$F$1=""),0,IF($F$1&lt;D320,0,IF(K320&lt;=1,0,MIN(G320*I320/12,K320-1)))),0)</x:f>
        <x:v>0</x:v>
      </x:c>
      <x:c r="M320" s="58" t="s">
        <x:v>18</x:v>
      </x:c>
    </x:row>
    <x:row r="321" ht="19.899999618530273" customHeight="1">
      <x:c r="A321" s="53">
        <x:f t="shared" si="24"/>
        <x:v>316</x:v>
      </x:c>
      <x:c r="B321" s="54" t="s">
        <x:v>140</x:v>
      </x:c>
      <x:c r="C321" s="54" t="s">
        <x:v>27</x:v>
      </x:c>
      <x:c r="D321" s="55">
        <x:v>45223</x:v>
      </x:c>
      <x:c r="E321" s="54" t="s">
        <x:v>152</x:v>
      </x:c>
      <x:c r="F321" s="54">
        <x:v>1</x:v>
      </x:c>
      <x:c r="G321" s="148">
        <x:v>190</x:v>
      </x:c>
      <x:c r="H321" s="148" t="n">
        <x:f t="shared" si="20">IFERROR(IF(OR($F$1="",D321=""),0,MAX(0,$F$1-D321)),0)</x:f>
        <x:v>1164</x:v>
      </x:c>
      <x:c r="I321" s="148">
        <x:v>0.33329999999999999</x:v>
      </x:c>
      <x:c r="J321" s="148" t="n">
        <x:f t="shared" si="21">IFERROR(IF(OR(G321="",G321&lt;=0,I321="",D321="",$F$1=""),0,IF($F$1&lt;D321,0,MIN(MAX(G321-1,0),MAX(0,(G321*I321/365)*H321)))),0)</x:f>
        <x:v>189</x:v>
      </x:c>
      <x:c r="K321" s="148" t="n">
        <x:f t="shared" si="22">IFERROR(IF(OR(G321="",G321&lt;=0),0,MAX(1,G321-J321)),0)</x:f>
        <x:v>1</x:v>
      </x:c>
      <x:c r="L321" s="148" t="n">
        <x:f t="shared" si="23">IFERROR(IF(OR(G321="",G321&lt;=0,I321="",D321="",$F$1=""),0,IF($F$1&lt;D321,0,IF(K321&lt;=1,0,MIN(G321*I321/12,K321-1)))),0)</x:f>
        <x:v>0</x:v>
      </x:c>
      <x:c r="M321" s="58" t="s">
        <x:v>18</x:v>
      </x:c>
    </x:row>
    <x:row r="322" ht="19.899999618530273" customHeight="1">
      <x:c r="A322" s="53">
        <x:f t="shared" si="24"/>
        <x:v>317</x:v>
      </x:c>
      <x:c r="B322" s="54" t="s">
        <x:v>140</x:v>
      </x:c>
      <x:c r="C322" s="54" t="s">
        <x:v>27</x:v>
      </x:c>
      <x:c r="D322" s="55">
        <x:v>45223</x:v>
      </x:c>
      <x:c r="E322" s="54" t="s">
        <x:v>152</x:v>
      </x:c>
      <x:c r="F322" s="54">
        <x:v>1</x:v>
      </x:c>
      <x:c r="G322" s="148">
        <x:v>190</x:v>
      </x:c>
      <x:c r="H322" s="148" t="n">
        <x:f t="shared" si="20">IFERROR(IF(OR($F$1="",D322=""),0,MAX(0,$F$1-D322)),0)</x:f>
        <x:v>1164</x:v>
      </x:c>
      <x:c r="I322" s="148">
        <x:v>0.33329999999999999</x:v>
      </x:c>
      <x:c r="J322" s="148" t="n">
        <x:f t="shared" si="21">IFERROR(IF(OR(G322="",G322&lt;=0,I322="",D322="",$F$1=""),0,IF($F$1&lt;D322,0,MIN(MAX(G322-1,0),MAX(0,(G322*I322/365)*H322)))),0)</x:f>
        <x:v>189</x:v>
      </x:c>
      <x:c r="K322" s="148" t="n">
        <x:f t="shared" si="22">IFERROR(IF(OR(G322="",G322&lt;=0),0,MAX(1,G322-J322)),0)</x:f>
        <x:v>1</x:v>
      </x:c>
      <x:c r="L322" s="148" t="n">
        <x:f t="shared" si="23">IFERROR(IF(OR(G322="",G322&lt;=0,I322="",D322="",$F$1=""),0,IF($F$1&lt;D322,0,IF(K322&lt;=1,0,MIN(G322*I322/12,K322-1)))),0)</x:f>
        <x:v>0</x:v>
      </x:c>
      <x:c r="M322" s="58" t="s">
        <x:v>18</x:v>
      </x:c>
    </x:row>
    <x:row r="323" ht="19.899999618530273" customHeight="1">
      <x:c r="A323" s="53">
        <x:f t="shared" si="24"/>
        <x:v>318</x:v>
      </x:c>
      <x:c r="B323" s="54" t="s">
        <x:v>140</x:v>
      </x:c>
      <x:c r="C323" s="54" t="s">
        <x:v>27</x:v>
      </x:c>
      <x:c r="D323" s="55">
        <x:v>45223</x:v>
      </x:c>
      <x:c r="E323" s="54" t="s">
        <x:v>152</x:v>
      </x:c>
      <x:c r="F323" s="54">
        <x:v>1</x:v>
      </x:c>
      <x:c r="G323" s="148">
        <x:v>190</x:v>
      </x:c>
      <x:c r="H323" s="148" t="n">
        <x:f t="shared" si="20">IFERROR(IF(OR($F$1="",D323=""),0,MAX(0,$F$1-D323)),0)</x:f>
        <x:v>1164</x:v>
      </x:c>
      <x:c r="I323" s="148">
        <x:v>0.33329999999999999</x:v>
      </x:c>
      <x:c r="J323" s="148" t="n">
        <x:f t="shared" si="21">IFERROR(IF(OR(G323="",G323&lt;=0,I323="",D323="",$F$1=""),0,IF($F$1&lt;D323,0,MIN(MAX(G323-1,0),MAX(0,(G323*I323/365)*H323)))),0)</x:f>
        <x:v>189</x:v>
      </x:c>
      <x:c r="K323" s="148" t="n">
        <x:f t="shared" si="22">IFERROR(IF(OR(G323="",G323&lt;=0),0,MAX(1,G323-J323)),0)</x:f>
        <x:v>1</x:v>
      </x:c>
      <x:c r="L323" s="148" t="n">
        <x:f t="shared" si="23">IFERROR(IF(OR(G323="",G323&lt;=0,I323="",D323="",$F$1=""),0,IF($F$1&lt;D323,0,IF(K323&lt;=1,0,MIN(G323*I323/12,K323-1)))),0)</x:f>
        <x:v>0</x:v>
      </x:c>
      <x:c r="M323" s="58" t="s">
        <x:v>18</x:v>
      </x:c>
    </x:row>
    <x:row r="324" ht="19.899999618530273" customHeight="1">
      <x:c r="A324" s="53">
        <x:f t="shared" si="24"/>
        <x:v>319</x:v>
      </x:c>
      <x:c r="B324" s="54" t="s">
        <x:v>140</x:v>
      </x:c>
      <x:c r="C324" s="54" t="s">
        <x:v>27</x:v>
      </x:c>
      <x:c r="D324" s="55">
        <x:v>45223</x:v>
      </x:c>
      <x:c r="E324" s="54" t="s">
        <x:v>152</x:v>
      </x:c>
      <x:c r="F324" s="54">
        <x:v>1</x:v>
      </x:c>
      <x:c r="G324" s="148">
        <x:v>190</x:v>
      </x:c>
      <x:c r="H324" s="148" t="n">
        <x:f t="shared" si="20">IFERROR(IF(OR($F$1="",D324=""),0,MAX(0,$F$1-D324)),0)</x:f>
        <x:v>1164</x:v>
      </x:c>
      <x:c r="I324" s="148">
        <x:v>0.33329999999999999</x:v>
      </x:c>
      <x:c r="J324" s="148" t="n">
        <x:f t="shared" si="21">IFERROR(IF(OR(G324="",G324&lt;=0,I324="",D324="",$F$1=""),0,IF($F$1&lt;D324,0,MIN(MAX(G324-1,0),MAX(0,(G324*I324/365)*H324)))),0)</x:f>
        <x:v>189</x:v>
      </x:c>
      <x:c r="K324" s="148" t="n">
        <x:f t="shared" si="22">IFERROR(IF(OR(G324="",G324&lt;=0),0,MAX(1,G324-J324)),0)</x:f>
        <x:v>1</x:v>
      </x:c>
      <x:c r="L324" s="148" t="n">
        <x:f t="shared" si="23">IFERROR(IF(OR(G324="",G324&lt;=0,I324="",D324="",$F$1=""),0,IF($F$1&lt;D324,0,IF(K324&lt;=1,0,MIN(G324*I324/12,K324-1)))),0)</x:f>
        <x:v>0</x:v>
      </x:c>
      <x:c r="M324" s="58" t="s">
        <x:v>18</x:v>
      </x:c>
    </x:row>
    <x:row r="325" ht="19.899999618530273" customHeight="1">
      <x:c r="A325" s="53">
        <x:f t="shared" si="24"/>
        <x:v>320</x:v>
      </x:c>
      <x:c r="B325" s="54" t="s">
        <x:v>140</x:v>
      </x:c>
      <x:c r="C325" s="54" t="s">
        <x:v>27</x:v>
      </x:c>
      <x:c r="D325" s="55">
        <x:v>45223</x:v>
      </x:c>
      <x:c r="E325" s="54" t="s">
        <x:v>152</x:v>
      </x:c>
      <x:c r="F325" s="54">
        <x:v>1</x:v>
      </x:c>
      <x:c r="G325" s="148">
        <x:v>190</x:v>
      </x:c>
      <x:c r="H325" s="148" t="n">
        <x:f t="shared" si="20">IFERROR(IF(OR($F$1="",D325=""),0,MAX(0,$F$1-D325)),0)</x:f>
        <x:v>1164</x:v>
      </x:c>
      <x:c r="I325" s="148">
        <x:v>0.33329999999999999</x:v>
      </x:c>
      <x:c r="J325" s="148" t="n">
        <x:f t="shared" si="21">IFERROR(IF(OR(G325="",G325&lt;=0,I325="",D325="",$F$1=""),0,IF($F$1&lt;D325,0,MIN(MAX(G325-1,0),MAX(0,(G325*I325/365)*H325)))),0)</x:f>
        <x:v>189</x:v>
      </x:c>
      <x:c r="K325" s="148" t="n">
        <x:f t="shared" si="22">IFERROR(IF(OR(G325="",G325&lt;=0),0,MAX(1,G325-J325)),0)</x:f>
        <x:v>1</x:v>
      </x:c>
      <x:c r="L325" s="148" t="n">
        <x:f t="shared" si="23">IFERROR(IF(OR(G325="",G325&lt;=0,I325="",D325="",$F$1=""),0,IF($F$1&lt;D325,0,IF(K325&lt;=1,0,MIN(G325*I325/12,K325-1)))),0)</x:f>
        <x:v>0</x:v>
      </x:c>
      <x:c r="M325" s="58" t="s">
        <x:v>18</x:v>
      </x:c>
    </x:row>
    <x:row r="326" ht="19.899999618530273" customHeight="1">
      <x:c r="A326" s="53">
        <x:f t="shared" si="24"/>
        <x:v>321</x:v>
      </x:c>
      <x:c r="B326" s="54" t="s">
        <x:v>140</x:v>
      </x:c>
      <x:c r="C326" s="54" t="s">
        <x:v>27</x:v>
      </x:c>
      <x:c r="D326" s="55">
        <x:v>45223</x:v>
      </x:c>
      <x:c r="E326" s="54" t="s">
        <x:v>152</x:v>
      </x:c>
      <x:c r="F326" s="54">
        <x:v>1</x:v>
      </x:c>
      <x:c r="G326" s="148">
        <x:v>190</x:v>
      </x:c>
      <x:c r="H326" s="148" t="n">
        <x:f t="shared" ref="H326:H389" si="25">IFERROR(IF(OR($F$1="",D326=""),0,MAX(0,$F$1-D326)),0)</x:f>
        <x:v>1164</x:v>
      </x:c>
      <x:c r="I326" s="148">
        <x:v>0.33329999999999999</x:v>
      </x:c>
      <x:c r="J326" s="148" t="n">
        <x:f t="shared" ref="J326:J389" si="26">IFERROR(IF(OR(G326="",G326&lt;=0,I326="",D326="",$F$1=""),0,IF($F$1&lt;D326,0,MIN(MAX(G326-1,0),MAX(0,(G326*I326/365)*H326)))),0)</x:f>
        <x:v>189</x:v>
      </x:c>
      <x:c r="K326" s="148" t="n">
        <x:f t="shared" ref="K326:K389" si="27">IFERROR(IF(OR(G326="",G326&lt;=0),0,MAX(1,G326-J326)),0)</x:f>
        <x:v>1</x:v>
      </x:c>
      <x:c r="L326" s="148" t="n">
        <x:f t="shared" ref="L326:L389" si="28">IFERROR(IF(OR(G326="",G326&lt;=0,I326="",D326="",$F$1=""),0,IF($F$1&lt;D326,0,IF(K326&lt;=1,0,MIN(G326*I326/12,K326-1)))),0)</x:f>
        <x:v>0</x:v>
      </x:c>
      <x:c r="M326" s="58" t="s">
        <x:v>18</x:v>
      </x:c>
    </x:row>
    <x:row r="327" ht="19.899999618530273" customHeight="1">
      <x:c r="A327" s="53">
        <x:f t="shared" si="24"/>
        <x:v>322</x:v>
      </x:c>
      <x:c r="B327" s="54" t="s">
        <x:v>140</x:v>
      </x:c>
      <x:c r="C327" s="54" t="s">
        <x:v>27</x:v>
      </x:c>
      <x:c r="D327" s="55">
        <x:v>45223</x:v>
      </x:c>
      <x:c r="E327" s="54" t="s">
        <x:v>152</x:v>
      </x:c>
      <x:c r="F327" s="54">
        <x:v>1</x:v>
      </x:c>
      <x:c r="G327" s="148">
        <x:v>190</x:v>
      </x:c>
      <x:c r="H327" s="148" t="n">
        <x:f t="shared" si="25">IFERROR(IF(OR($F$1="",D327=""),0,MAX(0,$F$1-D327)),0)</x:f>
        <x:v>1164</x:v>
      </x:c>
      <x:c r="I327" s="148">
        <x:v>0.33329999999999999</x:v>
      </x:c>
      <x:c r="J327" s="148" t="n">
        <x:f t="shared" si="26">IFERROR(IF(OR(G327="",G327&lt;=0,I327="",D327="",$F$1=""),0,IF($F$1&lt;D327,0,MIN(MAX(G327-1,0),MAX(0,(G327*I327/365)*H327)))),0)</x:f>
        <x:v>189</x:v>
      </x:c>
      <x:c r="K327" s="148" t="n">
        <x:f t="shared" si="27">IFERROR(IF(OR(G327="",G327&lt;=0),0,MAX(1,G327-J327)),0)</x:f>
        <x:v>1</x:v>
      </x:c>
      <x:c r="L327" s="148" t="n">
        <x:f t="shared" si="28">IFERROR(IF(OR(G327="",G327&lt;=0,I327="",D327="",$F$1=""),0,IF($F$1&lt;D327,0,IF(K327&lt;=1,0,MIN(G327*I327/12,K327-1)))),0)</x:f>
        <x:v>0</x:v>
      </x:c>
      <x:c r="M327" s="58" t="s">
        <x:v>18</x:v>
      </x:c>
    </x:row>
    <x:row r="328" ht="19.899999618530273" customHeight="1">
      <x:c r="A328" s="53">
        <x:f t="shared" si="24"/>
        <x:v>323</x:v>
      </x:c>
      <x:c r="B328" s="54" t="s">
        <x:v>140</x:v>
      </x:c>
      <x:c r="C328" s="54" t="s">
        <x:v>27</x:v>
      </x:c>
      <x:c r="D328" s="55">
        <x:v>45223</x:v>
      </x:c>
      <x:c r="E328" s="54" t="s">
        <x:v>152</x:v>
      </x:c>
      <x:c r="F328" s="54">
        <x:v>1</x:v>
      </x:c>
      <x:c r="G328" s="148">
        <x:v>190</x:v>
      </x:c>
      <x:c r="H328" s="148" t="n">
        <x:f t="shared" si="25">IFERROR(IF(OR($F$1="",D328=""),0,MAX(0,$F$1-D328)),0)</x:f>
        <x:v>1164</x:v>
      </x:c>
      <x:c r="I328" s="148">
        <x:v>0.33329999999999999</x:v>
      </x:c>
      <x:c r="J328" s="148" t="n">
        <x:f t="shared" si="26">IFERROR(IF(OR(G328="",G328&lt;=0,I328="",D328="",$F$1=""),0,IF($F$1&lt;D328,0,MIN(MAX(G328-1,0),MAX(0,(G328*I328/365)*H328)))),0)</x:f>
        <x:v>189</x:v>
      </x:c>
      <x:c r="K328" s="148" t="n">
        <x:f t="shared" si="27">IFERROR(IF(OR(G328="",G328&lt;=0),0,MAX(1,G328-J328)),0)</x:f>
        <x:v>1</x:v>
      </x:c>
      <x:c r="L328" s="148" t="n">
        <x:f t="shared" si="28">IFERROR(IF(OR(G328="",G328&lt;=0,I328="",D328="",$F$1=""),0,IF($F$1&lt;D328,0,IF(K328&lt;=1,0,MIN(G328*I328/12,K328-1)))),0)</x:f>
        <x:v>0</x:v>
      </x:c>
      <x:c r="M328" s="58" t="s">
        <x:v>18</x:v>
      </x:c>
    </x:row>
    <x:row r="329" ht="19.899999618530273" customHeight="1">
      <x:c r="A329" s="53" t="n">
        <x:f t="shared" ref="A329:A392" si="29">A328+1</x:f>
        <x:v>324</x:v>
      </x:c>
      <x:c r="B329" s="54" t="s">
        <x:v>140</x:v>
      </x:c>
      <x:c r="C329" s="54" t="s">
        <x:v>27</x:v>
      </x:c>
      <x:c r="D329" s="55">
        <x:v>45223</x:v>
      </x:c>
      <x:c r="E329" s="54" t="s">
        <x:v>152</x:v>
      </x:c>
      <x:c r="F329" s="54">
        <x:v>1</x:v>
      </x:c>
      <x:c r="G329" s="148">
        <x:v>190</x:v>
      </x:c>
      <x:c r="H329" s="148" t="n">
        <x:f t="shared" si="25">IFERROR(IF(OR($F$1="",D329=""),0,MAX(0,$F$1-D329)),0)</x:f>
        <x:v>1164</x:v>
      </x:c>
      <x:c r="I329" s="148">
        <x:v>0.33329999999999999</x:v>
      </x:c>
      <x:c r="J329" s="148" t="n">
        <x:f t="shared" si="26">IFERROR(IF(OR(G329="",G329&lt;=0,I329="",D329="",$F$1=""),0,IF($F$1&lt;D329,0,MIN(MAX(G329-1,0),MAX(0,(G329*I329/365)*H329)))),0)</x:f>
        <x:v>189</x:v>
      </x:c>
      <x:c r="K329" s="148" t="n">
        <x:f t="shared" si="27">IFERROR(IF(OR(G329="",G329&lt;=0),0,MAX(1,G329-J329)),0)</x:f>
        <x:v>1</x:v>
      </x:c>
      <x:c r="L329" s="148" t="n">
        <x:f t="shared" si="28">IFERROR(IF(OR(G329="",G329&lt;=0,I329="",D329="",$F$1=""),0,IF($F$1&lt;D329,0,IF(K329&lt;=1,0,MIN(G329*I329/12,K329-1)))),0)</x:f>
        <x:v>0</x:v>
      </x:c>
      <x:c r="M329" s="58" t="s">
        <x:v>18</x:v>
      </x:c>
    </x:row>
    <x:row r="330" ht="19.899999618530273" customHeight="1">
      <x:c r="A330" s="53">
        <x:f t="shared" si="29"/>
        <x:v>325</x:v>
      </x:c>
      <x:c r="B330" s="54" t="s">
        <x:v>140</x:v>
      </x:c>
      <x:c r="C330" s="54" t="s">
        <x:v>27</x:v>
      </x:c>
      <x:c r="D330" s="55">
        <x:v>45223</x:v>
      </x:c>
      <x:c r="E330" s="54" t="s">
        <x:v>152</x:v>
      </x:c>
      <x:c r="F330" s="54">
        <x:v>1</x:v>
      </x:c>
      <x:c r="G330" s="148">
        <x:v>190</x:v>
      </x:c>
      <x:c r="H330" s="148" t="n">
        <x:f t="shared" si="25">IFERROR(IF(OR($F$1="",D330=""),0,MAX(0,$F$1-D330)),0)</x:f>
        <x:v>1164</x:v>
      </x:c>
      <x:c r="I330" s="148">
        <x:v>0.33329999999999999</x:v>
      </x:c>
      <x:c r="J330" s="148" t="n">
        <x:f t="shared" si="26">IFERROR(IF(OR(G330="",G330&lt;=0,I330="",D330="",$F$1=""),0,IF($F$1&lt;D330,0,MIN(MAX(G330-1,0),MAX(0,(G330*I330/365)*H330)))),0)</x:f>
        <x:v>189</x:v>
      </x:c>
      <x:c r="K330" s="148" t="n">
        <x:f t="shared" si="27">IFERROR(IF(OR(G330="",G330&lt;=0),0,MAX(1,G330-J330)),0)</x:f>
        <x:v>1</x:v>
      </x:c>
      <x:c r="L330" s="148" t="n">
        <x:f t="shared" si="28">IFERROR(IF(OR(G330="",G330&lt;=0,I330="",D330="",$F$1=""),0,IF($F$1&lt;D330,0,IF(K330&lt;=1,0,MIN(G330*I330/12,K330-1)))),0)</x:f>
        <x:v>0</x:v>
      </x:c>
      <x:c r="M330" s="58" t="s">
        <x:v>18</x:v>
      </x:c>
    </x:row>
    <x:row r="331" ht="19.899999618530273" customHeight="1">
      <x:c r="A331" s="53">
        <x:f t="shared" si="29"/>
        <x:v>326</x:v>
      </x:c>
      <x:c r="B331" s="54" t="s">
        <x:v>140</x:v>
      </x:c>
      <x:c r="C331" s="54" t="s">
        <x:v>27</x:v>
      </x:c>
      <x:c r="D331" s="55">
        <x:v>45223</x:v>
      </x:c>
      <x:c r="E331" s="54" t="s">
        <x:v>152</x:v>
      </x:c>
      <x:c r="F331" s="54">
        <x:v>1</x:v>
      </x:c>
      <x:c r="G331" s="148">
        <x:v>190</x:v>
      </x:c>
      <x:c r="H331" s="148" t="n">
        <x:f t="shared" si="25">IFERROR(IF(OR($F$1="",D331=""),0,MAX(0,$F$1-D331)),0)</x:f>
        <x:v>1164</x:v>
      </x:c>
      <x:c r="I331" s="148">
        <x:v>0.33329999999999999</x:v>
      </x:c>
      <x:c r="J331" s="148" t="n">
        <x:f t="shared" si="26">IFERROR(IF(OR(G331="",G331&lt;=0,I331="",D331="",$F$1=""),0,IF($F$1&lt;D331,0,MIN(MAX(G331-1,0),MAX(0,(G331*I331/365)*H331)))),0)</x:f>
        <x:v>189</x:v>
      </x:c>
      <x:c r="K331" s="148" t="n">
        <x:f t="shared" si="27">IFERROR(IF(OR(G331="",G331&lt;=0),0,MAX(1,G331-J331)),0)</x:f>
        <x:v>1</x:v>
      </x:c>
      <x:c r="L331" s="148" t="n">
        <x:f t="shared" si="28">IFERROR(IF(OR(G331="",G331&lt;=0,I331="",D331="",$F$1=""),0,IF($F$1&lt;D331,0,IF(K331&lt;=1,0,MIN(G331*I331/12,K331-1)))),0)</x:f>
        <x:v>0</x:v>
      </x:c>
      <x:c r="M331" s="58" t="s">
        <x:v>18</x:v>
      </x:c>
    </x:row>
    <x:row r="332" ht="19.899999618530273" customHeight="1">
      <x:c r="A332" s="53">
        <x:f t="shared" si="29"/>
        <x:v>327</x:v>
      </x:c>
      <x:c r="B332" s="54" t="s">
        <x:v>140</x:v>
      </x:c>
      <x:c r="C332" s="54" t="s">
        <x:v>27</x:v>
      </x:c>
      <x:c r="D332" s="55">
        <x:v>45223</x:v>
      </x:c>
      <x:c r="E332" s="54" t="s">
        <x:v>152</x:v>
      </x:c>
      <x:c r="F332" s="54">
        <x:v>1</x:v>
      </x:c>
      <x:c r="G332" s="148">
        <x:v>190</x:v>
      </x:c>
      <x:c r="H332" s="148" t="n">
        <x:f t="shared" si="25">IFERROR(IF(OR($F$1="",D332=""),0,MAX(0,$F$1-D332)),0)</x:f>
        <x:v>1164</x:v>
      </x:c>
      <x:c r="I332" s="148">
        <x:v>0.33329999999999999</x:v>
      </x:c>
      <x:c r="J332" s="148" t="n">
        <x:f t="shared" si="26">IFERROR(IF(OR(G332="",G332&lt;=0,I332="",D332="",$F$1=""),0,IF($F$1&lt;D332,0,MIN(MAX(G332-1,0),MAX(0,(G332*I332/365)*H332)))),0)</x:f>
        <x:v>189</x:v>
      </x:c>
      <x:c r="K332" s="148" t="n">
        <x:f t="shared" si="27">IFERROR(IF(OR(G332="",G332&lt;=0),0,MAX(1,G332-J332)),0)</x:f>
        <x:v>1</x:v>
      </x:c>
      <x:c r="L332" s="148" t="n">
        <x:f t="shared" si="28">IFERROR(IF(OR(G332="",G332&lt;=0,I332="",D332="",$F$1=""),0,IF($F$1&lt;D332,0,IF(K332&lt;=1,0,MIN(G332*I332/12,K332-1)))),0)</x:f>
        <x:v>0</x:v>
      </x:c>
      <x:c r="M332" s="58" t="s">
        <x:v>18</x:v>
      </x:c>
    </x:row>
    <x:row r="333" ht="19.899999618530273" customHeight="1">
      <x:c r="A333" s="53">
        <x:f t="shared" si="29"/>
        <x:v>328</x:v>
      </x:c>
      <x:c r="B333" s="54" t="s">
        <x:v>140</x:v>
      </x:c>
      <x:c r="C333" s="54" t="s">
        <x:v>27</x:v>
      </x:c>
      <x:c r="D333" s="55">
        <x:v>45223</x:v>
      </x:c>
      <x:c r="E333" s="54" t="s">
        <x:v>152</x:v>
      </x:c>
      <x:c r="F333" s="54">
        <x:v>1</x:v>
      </x:c>
      <x:c r="G333" s="148">
        <x:v>190</x:v>
      </x:c>
      <x:c r="H333" s="148" t="n">
        <x:f t="shared" si="25">IFERROR(IF(OR($F$1="",D333=""),0,MAX(0,$F$1-D333)),0)</x:f>
        <x:v>1164</x:v>
      </x:c>
      <x:c r="I333" s="148">
        <x:v>0.33329999999999999</x:v>
      </x:c>
      <x:c r="J333" s="148" t="n">
        <x:f t="shared" si="26">IFERROR(IF(OR(G333="",G333&lt;=0,I333="",D333="",$F$1=""),0,IF($F$1&lt;D333,0,MIN(MAX(G333-1,0),MAX(0,(G333*I333/365)*H333)))),0)</x:f>
        <x:v>189</x:v>
      </x:c>
      <x:c r="K333" s="148" t="n">
        <x:f t="shared" si="27">IFERROR(IF(OR(G333="",G333&lt;=0),0,MAX(1,G333-J333)),0)</x:f>
        <x:v>1</x:v>
      </x:c>
      <x:c r="L333" s="148" t="n">
        <x:f t="shared" si="28">IFERROR(IF(OR(G333="",G333&lt;=0,I333="",D333="",$F$1=""),0,IF($F$1&lt;D333,0,IF(K333&lt;=1,0,MIN(G333*I333/12,K333-1)))),0)</x:f>
        <x:v>0</x:v>
      </x:c>
      <x:c r="M333" s="58" t="s">
        <x:v>18</x:v>
      </x:c>
    </x:row>
    <x:row r="334" ht="19.899999618530273" customHeight="1">
      <x:c r="A334" s="53">
        <x:f t="shared" si="29"/>
        <x:v>329</x:v>
      </x:c>
      <x:c r="B334" s="54" t="s">
        <x:v>140</x:v>
      </x:c>
      <x:c r="C334" s="54" t="s">
        <x:v>27</x:v>
      </x:c>
      <x:c r="D334" s="55">
        <x:v>45223</x:v>
      </x:c>
      <x:c r="E334" s="54" t="s">
        <x:v>152</x:v>
      </x:c>
      <x:c r="F334" s="54">
        <x:v>1</x:v>
      </x:c>
      <x:c r="G334" s="148">
        <x:v>190</x:v>
      </x:c>
      <x:c r="H334" s="148" t="n">
        <x:f t="shared" si="25">IFERROR(IF(OR($F$1="",D334=""),0,MAX(0,$F$1-D334)),0)</x:f>
        <x:v>1164</x:v>
      </x:c>
      <x:c r="I334" s="148">
        <x:v>0.33329999999999999</x:v>
      </x:c>
      <x:c r="J334" s="148" t="n">
        <x:f t="shared" si="26">IFERROR(IF(OR(G334="",G334&lt;=0,I334="",D334="",$F$1=""),0,IF($F$1&lt;D334,0,MIN(MAX(G334-1,0),MAX(0,(G334*I334/365)*H334)))),0)</x:f>
        <x:v>189</x:v>
      </x:c>
      <x:c r="K334" s="148" t="n">
        <x:f t="shared" si="27">IFERROR(IF(OR(G334="",G334&lt;=0),0,MAX(1,G334-J334)),0)</x:f>
        <x:v>1</x:v>
      </x:c>
      <x:c r="L334" s="148" t="n">
        <x:f t="shared" si="28">IFERROR(IF(OR(G334="",G334&lt;=0,I334="",D334="",$F$1=""),0,IF($F$1&lt;D334,0,IF(K334&lt;=1,0,MIN(G334*I334/12,K334-1)))),0)</x:f>
        <x:v>0</x:v>
      </x:c>
      <x:c r="M334" s="58" t="s">
        <x:v>18</x:v>
      </x:c>
    </x:row>
    <x:row r="335" ht="19.899999618530273" customHeight="1">
      <x:c r="A335" s="53">
        <x:f t="shared" si="29"/>
        <x:v>330</x:v>
      </x:c>
      <x:c r="B335" s="54" t="s">
        <x:v>140</x:v>
      </x:c>
      <x:c r="C335" s="54" t="s">
        <x:v>27</x:v>
      </x:c>
      <x:c r="D335" s="55">
        <x:v>45223</x:v>
      </x:c>
      <x:c r="E335" s="54" t="s">
        <x:v>152</x:v>
      </x:c>
      <x:c r="F335" s="54">
        <x:v>1</x:v>
      </x:c>
      <x:c r="G335" s="148">
        <x:v>190</x:v>
      </x:c>
      <x:c r="H335" s="148" t="n">
        <x:f t="shared" si="25">IFERROR(IF(OR($F$1="",D335=""),0,MAX(0,$F$1-D335)),0)</x:f>
        <x:v>1164</x:v>
      </x:c>
      <x:c r="I335" s="148">
        <x:v>0.33329999999999999</x:v>
      </x:c>
      <x:c r="J335" s="148" t="n">
        <x:f t="shared" si="26">IFERROR(IF(OR(G335="",G335&lt;=0,I335="",D335="",$F$1=""),0,IF($F$1&lt;D335,0,MIN(MAX(G335-1,0),MAX(0,(G335*I335/365)*H335)))),0)</x:f>
        <x:v>189</x:v>
      </x:c>
      <x:c r="K335" s="148" t="n">
        <x:f t="shared" si="27">IFERROR(IF(OR(G335="",G335&lt;=0),0,MAX(1,G335-J335)),0)</x:f>
        <x:v>1</x:v>
      </x:c>
      <x:c r="L335" s="148" t="n">
        <x:f t="shared" si="28">IFERROR(IF(OR(G335="",G335&lt;=0,I335="",D335="",$F$1=""),0,IF($F$1&lt;D335,0,IF(K335&lt;=1,0,MIN(G335*I335/12,K335-1)))),0)</x:f>
        <x:v>0</x:v>
      </x:c>
      <x:c r="M335" s="58" t="s">
        <x:v>18</x:v>
      </x:c>
    </x:row>
    <x:row r="336" ht="19.899999618530273" customHeight="1">
      <x:c r="A336" s="53">
        <x:f t="shared" si="29"/>
        <x:v>331</x:v>
      </x:c>
      <x:c r="B336" s="54" t="s">
        <x:v>140</x:v>
      </x:c>
      <x:c r="C336" s="54" t="s">
        <x:v>27</x:v>
      </x:c>
      <x:c r="D336" s="55">
        <x:v>45223</x:v>
      </x:c>
      <x:c r="E336" s="54" t="s">
        <x:v>152</x:v>
      </x:c>
      <x:c r="F336" s="54">
        <x:v>1</x:v>
      </x:c>
      <x:c r="G336" s="148">
        <x:v>190</x:v>
      </x:c>
      <x:c r="H336" s="148" t="n">
        <x:f t="shared" si="25">IFERROR(IF(OR($F$1="",D336=""),0,MAX(0,$F$1-D336)),0)</x:f>
        <x:v>1164</x:v>
      </x:c>
      <x:c r="I336" s="148">
        <x:v>0.33329999999999999</x:v>
      </x:c>
      <x:c r="J336" s="148" t="n">
        <x:f t="shared" si="26">IFERROR(IF(OR(G336="",G336&lt;=0,I336="",D336="",$F$1=""),0,IF($F$1&lt;D336,0,MIN(MAX(G336-1,0),MAX(0,(G336*I336/365)*H336)))),0)</x:f>
        <x:v>189</x:v>
      </x:c>
      <x:c r="K336" s="148" t="n">
        <x:f t="shared" si="27">IFERROR(IF(OR(G336="",G336&lt;=0),0,MAX(1,G336-J336)),0)</x:f>
        <x:v>1</x:v>
      </x:c>
      <x:c r="L336" s="148" t="n">
        <x:f t="shared" si="28">IFERROR(IF(OR(G336="",G336&lt;=0,I336="",D336="",$F$1=""),0,IF($F$1&lt;D336,0,IF(K336&lt;=1,0,MIN(G336*I336/12,K336-1)))),0)</x:f>
        <x:v>0</x:v>
      </x:c>
      <x:c r="M336" s="58" t="s">
        <x:v>18</x:v>
      </x:c>
    </x:row>
    <x:row r="337" ht="19.899999618530273" customHeight="1">
      <x:c r="A337" s="53">
        <x:f t="shared" si="29"/>
        <x:v>332</x:v>
      </x:c>
      <x:c r="B337" s="54" t="s">
        <x:v>140</x:v>
      </x:c>
      <x:c r="C337" s="54" t="s">
        <x:v>27</x:v>
      </x:c>
      <x:c r="D337" s="55">
        <x:v>45223</x:v>
      </x:c>
      <x:c r="E337" s="54" t="s">
        <x:v>152</x:v>
      </x:c>
      <x:c r="F337" s="54">
        <x:v>1</x:v>
      </x:c>
      <x:c r="G337" s="148">
        <x:v>190</x:v>
      </x:c>
      <x:c r="H337" s="148" t="n">
        <x:f t="shared" si="25">IFERROR(IF(OR($F$1="",D337=""),0,MAX(0,$F$1-D337)),0)</x:f>
        <x:v>1164</x:v>
      </x:c>
      <x:c r="I337" s="148">
        <x:v>0.33329999999999999</x:v>
      </x:c>
      <x:c r="J337" s="148" t="n">
        <x:f t="shared" si="26">IFERROR(IF(OR(G337="",G337&lt;=0,I337="",D337="",$F$1=""),0,IF($F$1&lt;D337,0,MIN(MAX(G337-1,0),MAX(0,(G337*I337/365)*H337)))),0)</x:f>
        <x:v>189</x:v>
      </x:c>
      <x:c r="K337" s="148" t="n">
        <x:f t="shared" si="27">IFERROR(IF(OR(G337="",G337&lt;=0),0,MAX(1,G337-J337)),0)</x:f>
        <x:v>1</x:v>
      </x:c>
      <x:c r="L337" s="148" t="n">
        <x:f t="shared" si="28">IFERROR(IF(OR(G337="",G337&lt;=0,I337="",D337="",$F$1=""),0,IF($F$1&lt;D337,0,IF(K337&lt;=1,0,MIN(G337*I337/12,K337-1)))),0)</x:f>
        <x:v>0</x:v>
      </x:c>
      <x:c r="M337" s="58" t="s">
        <x:v>18</x:v>
      </x:c>
    </x:row>
    <x:row r="338" ht="19.899999618530273" customHeight="1">
      <x:c r="A338" s="53">
        <x:f t="shared" si="29"/>
        <x:v>333</x:v>
      </x:c>
      <x:c r="B338" s="54" t="s">
        <x:v>140</x:v>
      </x:c>
      <x:c r="C338" s="54" t="s">
        <x:v>27</x:v>
      </x:c>
      <x:c r="D338" s="55">
        <x:v>45223</x:v>
      </x:c>
      <x:c r="E338" s="54" t="s">
        <x:v>153</x:v>
      </x:c>
      <x:c r="F338" s="54">
        <x:v>1</x:v>
      </x:c>
      <x:c r="G338" s="148">
        <x:v>1200</x:v>
      </x:c>
      <x:c r="H338" s="148" t="n">
        <x:f t="shared" si="25">IFERROR(IF(OR($F$1="",D338=""),0,MAX(0,$F$1-D338)),0)</x:f>
        <x:v>1164</x:v>
      </x:c>
      <x:c r="I338" s="148">
        <x:v>0.33329999999999999</x:v>
      </x:c>
      <x:c r="J338" s="148" t="n">
        <x:f t="shared" si="26">IFERROR(IF(OR(G338="",G338&lt;=0,I338="",D338="",$F$1=""),0,IF($F$1&lt;D338,0,MIN(MAX(G338-1,0),MAX(0,(G338*I338/365)*H338)))),0)</x:f>
        <x:v>1199</x:v>
      </x:c>
      <x:c r="K338" s="148" t="n">
        <x:f t="shared" si="27">IFERROR(IF(OR(G338="",G338&lt;=0),0,MAX(1,G338-J338)),0)</x:f>
        <x:v>1</x:v>
      </x:c>
      <x:c r="L338" s="148" t="n">
        <x:f t="shared" si="28">IFERROR(IF(OR(G338="",G338&lt;=0,I338="",D338="",$F$1=""),0,IF($F$1&lt;D338,0,IF(K338&lt;=1,0,MIN(G338*I338/12,K338-1)))),0)</x:f>
        <x:v>0</x:v>
      </x:c>
      <x:c r="M338" s="58" t="s">
        <x:v>18</x:v>
      </x:c>
    </x:row>
    <x:row r="339" ht="19.899999618530273" customHeight="1">
      <x:c r="A339" s="53">
        <x:f t="shared" si="29"/>
        <x:v>334</x:v>
      </x:c>
      <x:c r="B339" s="54" t="s">
        <x:v>140</x:v>
      </x:c>
      <x:c r="C339" s="54" t="s">
        <x:v>27</x:v>
      </x:c>
      <x:c r="D339" s="55">
        <x:v>45223</x:v>
      </x:c>
      <x:c r="E339" s="54" t="s">
        <x:v>154</x:v>
      </x:c>
      <x:c r="F339" s="54">
        <x:v>1</x:v>
      </x:c>
      <x:c r="G339" s="148">
        <x:v>875</x:v>
      </x:c>
      <x:c r="H339" s="148" t="n">
        <x:f t="shared" si="25">IFERROR(IF(OR($F$1="",D339=""),0,MAX(0,$F$1-D339)),0)</x:f>
        <x:v>1164</x:v>
      </x:c>
      <x:c r="I339" s="148">
        <x:v>0.33329999999999999</x:v>
      </x:c>
      <x:c r="J339" s="148" t="n">
        <x:f t="shared" si="26">IFERROR(IF(OR(G339="",G339&lt;=0,I339="",D339="",$F$1=""),0,IF($F$1&lt;D339,0,MIN(MAX(G339-1,0),MAX(0,(G339*I339/365)*H339)))),0)</x:f>
        <x:v>874</x:v>
      </x:c>
      <x:c r="K339" s="148" t="n">
        <x:f t="shared" si="27">IFERROR(IF(OR(G339="",G339&lt;=0),0,MAX(1,G339-J339)),0)</x:f>
        <x:v>1</x:v>
      </x:c>
      <x:c r="L339" s="148" t="n">
        <x:f t="shared" si="28">IFERROR(IF(OR(G339="",G339&lt;=0,I339="",D339="",$F$1=""),0,IF($F$1&lt;D339,0,IF(K339&lt;=1,0,MIN(G339*I339/12,K339-1)))),0)</x:f>
        <x:v>0</x:v>
      </x:c>
      <x:c r="M339" s="58" t="s">
        <x:v>18</x:v>
      </x:c>
    </x:row>
    <x:row r="340" ht="19.899999618530273" customHeight="1">
      <x:c r="A340" s="53">
        <x:f t="shared" si="29"/>
        <x:v>335</x:v>
      </x:c>
      <x:c r="B340" s="54" t="s">
        <x:v>140</x:v>
      </x:c>
      <x:c r="C340" s="54" t="s">
        <x:v>27</x:v>
      </x:c>
      <x:c r="D340" s="55">
        <x:v>45223</x:v>
      </x:c>
      <x:c r="E340" s="54" t="s">
        <x:v>154</x:v>
      </x:c>
      <x:c r="F340" s="54">
        <x:v>1</x:v>
      </x:c>
      <x:c r="G340" s="148">
        <x:v>875</x:v>
      </x:c>
      <x:c r="H340" s="148" t="n">
        <x:f t="shared" si="25">IFERROR(IF(OR($F$1="",D340=""),0,MAX(0,$F$1-D340)),0)</x:f>
        <x:v>1164</x:v>
      </x:c>
      <x:c r="I340" s="148">
        <x:v>0.33329999999999999</x:v>
      </x:c>
      <x:c r="J340" s="148" t="n">
        <x:f t="shared" si="26">IFERROR(IF(OR(G340="",G340&lt;=0,I340="",D340="",$F$1=""),0,IF($F$1&lt;D340,0,MIN(MAX(G340-1,0),MAX(0,(G340*I340/365)*H340)))),0)</x:f>
        <x:v>874</x:v>
      </x:c>
      <x:c r="K340" s="148" t="n">
        <x:f t="shared" si="27">IFERROR(IF(OR(G340="",G340&lt;=0),0,MAX(1,G340-J340)),0)</x:f>
        <x:v>1</x:v>
      </x:c>
      <x:c r="L340" s="148" t="n">
        <x:f t="shared" si="28">IFERROR(IF(OR(G340="",G340&lt;=0,I340="",D340="",$F$1=""),0,IF($F$1&lt;D340,0,IF(K340&lt;=1,0,MIN(G340*I340/12,K340-1)))),0)</x:f>
        <x:v>0</x:v>
      </x:c>
      <x:c r="M340" s="58" t="s">
        <x:v>18</x:v>
      </x:c>
    </x:row>
    <x:row r="341" ht="19.899999618530273" customHeight="1">
      <x:c r="A341" s="53">
        <x:f t="shared" si="29"/>
        <x:v>336</x:v>
      </x:c>
      <x:c r="B341" s="54" t="s">
        <x:v>140</x:v>
      </x:c>
      <x:c r="C341" s="54" t="s">
        <x:v>27</x:v>
      </x:c>
      <x:c r="D341" s="55">
        <x:v>45223</x:v>
      </x:c>
      <x:c r="E341" s="54" t="s">
        <x:v>155</x:v>
      </x:c>
      <x:c r="F341" s="54">
        <x:v>1</x:v>
      </x:c>
      <x:c r="G341" s="148">
        <x:v>780</x:v>
      </x:c>
      <x:c r="H341" s="148" t="n">
        <x:f t="shared" si="25">IFERROR(IF(OR($F$1="",D341=""),0,MAX(0,$F$1-D341)),0)</x:f>
        <x:v>1164</x:v>
      </x:c>
      <x:c r="I341" s="148">
        <x:v>0.33329999999999999</x:v>
      </x:c>
      <x:c r="J341" s="148" t="n">
        <x:f t="shared" si="26">IFERROR(IF(OR(G341="",G341&lt;=0,I341="",D341="",$F$1=""),0,IF($F$1&lt;D341,0,MIN(MAX(G341-1,0),MAX(0,(G341*I341/365)*H341)))),0)</x:f>
        <x:v>779</x:v>
      </x:c>
      <x:c r="K341" s="148" t="n">
        <x:f t="shared" si="27">IFERROR(IF(OR(G341="",G341&lt;=0),0,MAX(1,G341-J341)),0)</x:f>
        <x:v>1</x:v>
      </x:c>
      <x:c r="L341" s="148" t="n">
        <x:f t="shared" si="28">IFERROR(IF(OR(G341="",G341&lt;=0,I341="",D341="",$F$1=""),0,IF($F$1&lt;D341,0,IF(K341&lt;=1,0,MIN(G341*I341/12,K341-1)))),0)</x:f>
        <x:v>0</x:v>
      </x:c>
      <x:c r="M341" s="58" t="s">
        <x:v>18</x:v>
      </x:c>
    </x:row>
    <x:row r="342" ht="19.899999618530273" customHeight="1">
      <x:c r="A342" s="53">
        <x:f t="shared" si="29"/>
        <x:v>337</x:v>
      </x:c>
      <x:c r="B342" s="54" t="s">
        <x:v>140</x:v>
      </x:c>
      <x:c r="C342" s="54" t="s">
        <x:v>27</x:v>
      </x:c>
      <x:c r="D342" s="55">
        <x:v>45223</x:v>
      </x:c>
      <x:c r="E342" s="54" t="s">
        <x:v>31</x:v>
      </x:c>
      <x:c r="F342" s="54">
        <x:v>1</x:v>
      </x:c>
      <x:c r="G342" s="148">
        <x:v>575</x:v>
      </x:c>
      <x:c r="H342" s="148" t="n">
        <x:f t="shared" si="25">IFERROR(IF(OR($F$1="",D342=""),0,MAX(0,$F$1-D342)),0)</x:f>
        <x:v>1164</x:v>
      </x:c>
      <x:c r="I342" s="148">
        <x:v>0.33329999999999999</x:v>
      </x:c>
      <x:c r="J342" s="148" t="n">
        <x:f t="shared" si="26">IFERROR(IF(OR(G342="",G342&lt;=0,I342="",D342="",$F$1=""),0,IF($F$1&lt;D342,0,MIN(MAX(G342-1,0),MAX(0,(G342*I342/365)*H342)))),0)</x:f>
        <x:v>574</x:v>
      </x:c>
      <x:c r="K342" s="148" t="n">
        <x:f t="shared" si="27">IFERROR(IF(OR(G342="",G342&lt;=0),0,MAX(1,G342-J342)),0)</x:f>
        <x:v>1</x:v>
      </x:c>
      <x:c r="L342" s="148" t="n">
        <x:f t="shared" si="28">IFERROR(IF(OR(G342="",G342&lt;=0,I342="",D342="",$F$1=""),0,IF($F$1&lt;D342,0,IF(K342&lt;=1,0,MIN(G342*I342/12,K342-1)))),0)</x:f>
        <x:v>0</x:v>
      </x:c>
      <x:c r="M342" s="58" t="s">
        <x:v>18</x:v>
      </x:c>
    </x:row>
    <x:row r="343" ht="19.899999618530273" customHeight="1">
      <x:c r="A343" s="53">
        <x:f t="shared" si="29"/>
        <x:v>338</x:v>
      </x:c>
      <x:c r="B343" s="54" t="s">
        <x:v>140</x:v>
      </x:c>
      <x:c r="C343" s="54" t="s">
        <x:v>27</x:v>
      </x:c>
      <x:c r="D343" s="55">
        <x:v>45223</x:v>
      </x:c>
      <x:c r="E343" s="54" t="s">
        <x:v>52</x:v>
      </x:c>
      <x:c r="F343" s="54">
        <x:v>1</x:v>
      </x:c>
      <x:c r="G343" s="148">
        <x:v>950</x:v>
      </x:c>
      <x:c r="H343" s="148" t="n">
        <x:f t="shared" si="25">IFERROR(IF(OR($F$1="",D343=""),0,MAX(0,$F$1-D343)),0)</x:f>
        <x:v>1164</x:v>
      </x:c>
      <x:c r="I343" s="148">
        <x:v>0.33329999999999999</x:v>
      </x:c>
      <x:c r="J343" s="148" t="n">
        <x:f t="shared" si="26">IFERROR(IF(OR(G343="",G343&lt;=0,I343="",D343="",$F$1=""),0,IF($F$1&lt;D343,0,MIN(MAX(G343-1,0),MAX(0,(G343*I343/365)*H343)))),0)</x:f>
        <x:v>949</x:v>
      </x:c>
      <x:c r="K343" s="148" t="n">
        <x:f t="shared" si="27">IFERROR(IF(OR(G343="",G343&lt;=0),0,MAX(1,G343-J343)),0)</x:f>
        <x:v>1</x:v>
      </x:c>
      <x:c r="L343" s="148" t="n">
        <x:f t="shared" si="28">IFERROR(IF(OR(G343="",G343&lt;=0,I343="",D343="",$F$1=""),0,IF($F$1&lt;D343,0,IF(K343&lt;=1,0,MIN(G343*I343/12,K343-1)))),0)</x:f>
        <x:v>0</x:v>
      </x:c>
      <x:c r="M343" s="58" t="s">
        <x:v>18</x:v>
      </x:c>
    </x:row>
    <x:row r="344" ht="19.899999618530273" customHeight="1">
      <x:c r="A344" s="53">
        <x:f t="shared" si="29"/>
        <x:v>339</x:v>
      </x:c>
      <x:c r="B344" s="54" t="s">
        <x:v>140</x:v>
      </x:c>
      <x:c r="C344" s="54" t="s">
        <x:v>27</x:v>
      </x:c>
      <x:c r="D344" s="55">
        <x:v>45223</x:v>
      </x:c>
      <x:c r="E344" s="54" t="s">
        <x:v>156</x:v>
      </x:c>
      <x:c r="F344" s="54">
        <x:v>1</x:v>
      </x:c>
      <x:c r="G344" s="148">
        <x:v>600</x:v>
      </x:c>
      <x:c r="H344" s="148" t="n">
        <x:f t="shared" si="25">IFERROR(IF(OR($F$1="",D344=""),0,MAX(0,$F$1-D344)),0)</x:f>
        <x:v>1164</x:v>
      </x:c>
      <x:c r="I344" s="148">
        <x:v>0.33329999999999999</x:v>
      </x:c>
      <x:c r="J344" s="148" t="n">
        <x:f t="shared" si="26">IFERROR(IF(OR(G344="",G344&lt;=0,I344="",D344="",$F$1=""),0,IF($F$1&lt;D344,0,MIN(MAX(G344-1,0),MAX(0,(G344*I344/365)*H344)))),0)</x:f>
        <x:v>599</x:v>
      </x:c>
      <x:c r="K344" s="148" t="n">
        <x:f t="shared" si="27">IFERROR(IF(OR(G344="",G344&lt;=0),0,MAX(1,G344-J344)),0)</x:f>
        <x:v>1</x:v>
      </x:c>
      <x:c r="L344" s="148" t="n">
        <x:f t="shared" si="28">IFERROR(IF(OR(G344="",G344&lt;=0,I344="",D344="",$F$1=""),0,IF($F$1&lt;D344,0,IF(K344&lt;=1,0,MIN(G344*I344/12,K344-1)))),0)</x:f>
        <x:v>0</x:v>
      </x:c>
      <x:c r="M344" s="58" t="s">
        <x:v>18</x:v>
      </x:c>
    </x:row>
    <x:row r="345" ht="19.899999618530273" customHeight="1">
      <x:c r="A345" s="53">
        <x:f t="shared" si="29"/>
        <x:v>340</x:v>
      </x:c>
      <x:c r="B345" s="54" t="s">
        <x:v>140</x:v>
      </x:c>
      <x:c r="C345" s="54" t="s">
        <x:v>27</x:v>
      </x:c>
      <x:c r="D345" s="55">
        <x:v>45223</x:v>
      </x:c>
      <x:c r="E345" s="54" t="s">
        <x:v>156</x:v>
      </x:c>
      <x:c r="F345" s="54">
        <x:v>1</x:v>
      </x:c>
      <x:c r="G345" s="148">
        <x:v>600</x:v>
      </x:c>
      <x:c r="H345" s="148" t="n">
        <x:f t="shared" si="25">IFERROR(IF(OR($F$1="",D345=""),0,MAX(0,$F$1-D345)),0)</x:f>
        <x:v>1164</x:v>
      </x:c>
      <x:c r="I345" s="148">
        <x:v>0.33329999999999999</x:v>
      </x:c>
      <x:c r="J345" s="148" t="n">
        <x:f t="shared" si="26">IFERROR(IF(OR(G345="",G345&lt;=0,I345="",D345="",$F$1=""),0,IF($F$1&lt;D345,0,MIN(MAX(G345-1,0),MAX(0,(G345*I345/365)*H345)))),0)</x:f>
        <x:v>599</x:v>
      </x:c>
      <x:c r="K345" s="148" t="n">
        <x:f t="shared" si="27">IFERROR(IF(OR(G345="",G345&lt;=0),0,MAX(1,G345-J345)),0)</x:f>
        <x:v>1</x:v>
      </x:c>
      <x:c r="L345" s="148" t="n">
        <x:f t="shared" si="28">IFERROR(IF(OR(G345="",G345&lt;=0,I345="",D345="",$F$1=""),0,IF($F$1&lt;D345,0,IF(K345&lt;=1,0,MIN(G345*I345/12,K345-1)))),0)</x:f>
        <x:v>0</x:v>
      </x:c>
      <x:c r="M345" s="58" t="s">
        <x:v>18</x:v>
      </x:c>
    </x:row>
    <x:row r="346" ht="19.899999618530273" customHeight="1">
      <x:c r="A346" s="53">
        <x:f t="shared" si="29"/>
        <x:v>341</x:v>
      </x:c>
      <x:c r="B346" s="54" t="s">
        <x:v>140</x:v>
      </x:c>
      <x:c r="C346" s="54" t="s">
        <x:v>27</x:v>
      </x:c>
      <x:c r="D346" s="55">
        <x:v>45223</x:v>
      </x:c>
      <x:c r="E346" s="54" t="s">
        <x:v>157</x:v>
      </x:c>
      <x:c r="F346" s="54">
        <x:v>1</x:v>
      </x:c>
      <x:c r="G346" s="148">
        <x:v>205</x:v>
      </x:c>
      <x:c r="H346" s="148" t="n">
        <x:f t="shared" si="25">IFERROR(IF(OR($F$1="",D346=""),0,MAX(0,$F$1-D346)),0)</x:f>
        <x:v>1164</x:v>
      </x:c>
      <x:c r="I346" s="148">
        <x:v>0.33329999999999999</x:v>
      </x:c>
      <x:c r="J346" s="148" t="n">
        <x:f t="shared" si="26">IFERROR(IF(OR(G346="",G346&lt;=0,I346="",D346="",$F$1=""),0,IF($F$1&lt;D346,0,MIN(MAX(G346-1,0),MAX(0,(G346*I346/365)*H346)))),0)</x:f>
        <x:v>204</x:v>
      </x:c>
      <x:c r="K346" s="148" t="n">
        <x:f t="shared" si="27">IFERROR(IF(OR(G346="",G346&lt;=0),0,MAX(1,G346-J346)),0)</x:f>
        <x:v>1</x:v>
      </x:c>
      <x:c r="L346" s="148" t="n">
        <x:f t="shared" si="28">IFERROR(IF(OR(G346="",G346&lt;=0,I346="",D346="",$F$1=""),0,IF($F$1&lt;D346,0,IF(K346&lt;=1,0,MIN(G346*I346/12,K346-1)))),0)</x:f>
        <x:v>0</x:v>
      </x:c>
      <x:c r="M346" s="58" t="s">
        <x:v>18</x:v>
      </x:c>
    </x:row>
    <x:row r="347" ht="19.899999618530273" customHeight="1">
      <x:c r="A347" s="53">
        <x:f t="shared" si="29"/>
        <x:v>342</x:v>
      </x:c>
      <x:c r="B347" s="54" t="s">
        <x:v>140</x:v>
      </x:c>
      <x:c r="C347" s="54" t="s">
        <x:v>27</x:v>
      </x:c>
      <x:c r="D347" s="55">
        <x:v>45223</x:v>
      </x:c>
      <x:c r="E347" s="54" t="s">
        <x:v>157</x:v>
      </x:c>
      <x:c r="F347" s="54">
        <x:v>1</x:v>
      </x:c>
      <x:c r="G347" s="148">
        <x:v>205</x:v>
      </x:c>
      <x:c r="H347" s="148" t="n">
        <x:f t="shared" si="25">IFERROR(IF(OR($F$1="",D347=""),0,MAX(0,$F$1-D347)),0)</x:f>
        <x:v>1164</x:v>
      </x:c>
      <x:c r="I347" s="148">
        <x:v>0.33329999999999999</x:v>
      </x:c>
      <x:c r="J347" s="148" t="n">
        <x:f t="shared" si="26">IFERROR(IF(OR(G347="",G347&lt;=0,I347="",D347="",$F$1=""),0,IF($F$1&lt;D347,0,MIN(MAX(G347-1,0),MAX(0,(G347*I347/365)*H347)))),0)</x:f>
        <x:v>204</x:v>
      </x:c>
      <x:c r="K347" s="148" t="n">
        <x:f t="shared" si="27">IFERROR(IF(OR(G347="",G347&lt;=0),0,MAX(1,G347-J347)),0)</x:f>
        <x:v>1</x:v>
      </x:c>
      <x:c r="L347" s="148" t="n">
        <x:f t="shared" si="28">IFERROR(IF(OR(G347="",G347&lt;=0,I347="",D347="",$F$1=""),0,IF($F$1&lt;D347,0,IF(K347&lt;=1,0,MIN(G347*I347/12,K347-1)))),0)</x:f>
        <x:v>0</x:v>
      </x:c>
      <x:c r="M347" s="58" t="s">
        <x:v>18</x:v>
      </x:c>
    </x:row>
    <x:row r="348" ht="19.899999618530273" customHeight="1">
      <x:c r="A348" s="53">
        <x:f t="shared" si="29"/>
        <x:v>343</x:v>
      </x:c>
      <x:c r="B348" s="54" t="s">
        <x:v>140</x:v>
      </x:c>
      <x:c r="C348" s="54" t="s">
        <x:v>27</x:v>
      </x:c>
      <x:c r="D348" s="55">
        <x:v>45223</x:v>
      </x:c>
      <x:c r="E348" s="54" t="s">
        <x:v>157</x:v>
      </x:c>
      <x:c r="F348" s="54">
        <x:v>1</x:v>
      </x:c>
      <x:c r="G348" s="148">
        <x:v>205</x:v>
      </x:c>
      <x:c r="H348" s="148" t="n">
        <x:f t="shared" si="25">IFERROR(IF(OR($F$1="",D348=""),0,MAX(0,$F$1-D348)),0)</x:f>
        <x:v>1164</x:v>
      </x:c>
      <x:c r="I348" s="148">
        <x:v>0.33329999999999999</x:v>
      </x:c>
      <x:c r="J348" s="148" t="n">
        <x:f t="shared" si="26">IFERROR(IF(OR(G348="",G348&lt;=0,I348="",D348="",$F$1=""),0,IF($F$1&lt;D348,0,MIN(MAX(G348-1,0),MAX(0,(G348*I348/365)*H348)))),0)</x:f>
        <x:v>204</x:v>
      </x:c>
      <x:c r="K348" s="148" t="n">
        <x:f t="shared" si="27">IFERROR(IF(OR(G348="",G348&lt;=0),0,MAX(1,G348-J348)),0)</x:f>
        <x:v>1</x:v>
      </x:c>
      <x:c r="L348" s="148" t="n">
        <x:f t="shared" si="28">IFERROR(IF(OR(G348="",G348&lt;=0,I348="",D348="",$F$1=""),0,IF($F$1&lt;D348,0,IF(K348&lt;=1,0,MIN(G348*I348/12,K348-1)))),0)</x:f>
        <x:v>0</x:v>
      </x:c>
      <x:c r="M348" s="58" t="s">
        <x:v>18</x:v>
      </x:c>
    </x:row>
    <x:row r="349" ht="19.899999618530273" customHeight="1">
      <x:c r="A349" s="53">
        <x:f t="shared" si="29"/>
        <x:v>344</x:v>
      </x:c>
      <x:c r="B349" s="54" t="s">
        <x:v>158</x:v>
      </x:c>
      <x:c r="C349" s="54" t="s">
        <x:v>21</x:v>
      </x:c>
      <x:c r="D349" s="55">
        <x:v>45600</x:v>
      </x:c>
      <x:c r="E349" s="54" t="s">
        <x:v>159</x:v>
      </x:c>
      <x:c r="F349" s="54">
        <x:v>1</x:v>
      </x:c>
      <x:c r="G349" s="148">
        <x:v>10000</x:v>
      </x:c>
      <x:c r="H349" s="148" t="n">
        <x:f t="shared" si="25">IFERROR(IF(OR($F$1="",D349=""),0,MAX(0,$F$1-D349)),0)</x:f>
        <x:v>787</x:v>
      </x:c>
      <x:c r="I349" s="148">
        <x:v>0.33329999999999999</x:v>
      </x:c>
      <x:c r="J349" s="148" t="n">
        <x:f t="shared" si="26">IFERROR(IF(OR(G349="",G349&lt;=0,I349="",D349="",$F$1=""),0,IF($F$1&lt;D349,0,MIN(MAX(G349-1,0),MAX(0,(G349*I349/365)*H349)))),0)</x:f>
        <x:v>7186.495890410958</x:v>
      </x:c>
      <x:c r="K349" s="148" t="n">
        <x:f t="shared" si="27">IFERROR(IF(OR(G349="",G349&lt;=0),0,MAX(1,G349-J349)),0)</x:f>
        <x:v>2813.504109589042</x:v>
      </x:c>
      <x:c r="L349" s="148" t="n">
        <x:f t="shared" si="28">IFERROR(IF(OR(G349="",G349&lt;=0,I349="",D349="",$F$1=""),0,IF($F$1&lt;D349,0,IF(K349&lt;=1,0,MIN(G349*I349/12,K349-1)))),0)</x:f>
        <x:v>277.75</x:v>
      </x:c>
      <x:c r="M349" s="58" t="s">
        <x:v>18</x:v>
      </x:c>
    </x:row>
    <x:row r="350" ht="19.899999618530273" customHeight="1">
      <x:c r="A350" s="53">
        <x:f t="shared" si="29"/>
        <x:v>345</x:v>
      </x:c>
      <x:c r="B350" s="54" t="s">
        <x:v>158</x:v>
      </x:c>
      <x:c r="C350" s="54" t="s">
        <x:v>27</x:v>
      </x:c>
      <x:c r="D350" s="55">
        <x:v>45579</x:v>
      </x:c>
      <x:c r="E350" s="54" t="s">
        <x:v>160</x:v>
      </x:c>
      <x:c r="F350" s="54">
        <x:v>1</x:v>
      </x:c>
      <x:c r="G350" s="148">
        <x:v>253.33330000000001</x:v>
      </x:c>
      <x:c r="H350" s="148" t="n">
        <x:f t="shared" si="25">IFERROR(IF(OR($F$1="",D350=""),0,MAX(0,$F$1-D350)),0)</x:f>
        <x:v>808</x:v>
      </x:c>
      <x:c r="I350" s="148">
        <x:v>0.33329999999999999</x:v>
      </x:c>
      <x:c r="J350" s="148" t="n">
        <x:f t="shared" si="26">IFERROR(IF(OR(G350="",G350&lt;=0,I350="",D350="",$F$1=""),0,IF($F$1&lt;D350,0,MIN(MAX(G350-1,0),MAX(0,(G350*I350/365)*H350)))),0)</x:f>
        <x:v>186.9158329400548</x:v>
      </x:c>
      <x:c r="K350" s="148" t="n">
        <x:f t="shared" si="27">IFERROR(IF(OR(G350="",G350&lt;=0),0,MAX(1,G350-J350)),0)</x:f>
        <x:v>66.41746705994521</x:v>
      </x:c>
      <x:c r="L350" s="148" t="n">
        <x:f t="shared" si="28">IFERROR(IF(OR(G350="",G350&lt;=0,I350="",D350="",$F$1=""),0,IF($F$1&lt;D350,0,IF(K350&lt;=1,0,MIN(G350*I350/12,K350-1)))),0)</x:f>
        <x:v>7.036332407500001</x:v>
      </x:c>
      <x:c r="M350" s="58" t="s">
        <x:v>18</x:v>
      </x:c>
    </x:row>
    <x:row r="351" ht="19.899999618530273" customHeight="1">
      <x:c r="A351" s="53">
        <x:f t="shared" si="29"/>
        <x:v>346</x:v>
      </x:c>
      <x:c r="B351" s="54" t="s">
        <x:v>158</x:v>
      </x:c>
      <x:c r="C351" s="54" t="s">
        <x:v>27</x:v>
      </x:c>
      <x:c r="D351" s="55">
        <x:v>45579</x:v>
      </x:c>
      <x:c r="E351" s="54" t="s">
        <x:v>160</x:v>
      </x:c>
      <x:c r="F351" s="54">
        <x:v>1</x:v>
      </x:c>
      <x:c r="G351" s="148">
        <x:v>253.33330000000001</x:v>
      </x:c>
      <x:c r="H351" s="148" t="n">
        <x:f t="shared" si="25">IFERROR(IF(OR($F$1="",D351=""),0,MAX(0,$F$1-D351)),0)</x:f>
        <x:v>808</x:v>
      </x:c>
      <x:c r="I351" s="148">
        <x:v>0.33329999999999999</x:v>
      </x:c>
      <x:c r="J351" s="148" t="n">
        <x:f t="shared" si="26">IFERROR(IF(OR(G351="",G351&lt;=0,I351="",D351="",$F$1=""),0,IF($F$1&lt;D351,0,MIN(MAX(G351-1,0),MAX(0,(G351*I351/365)*H351)))),0)</x:f>
        <x:v>186.9158329400548</x:v>
      </x:c>
      <x:c r="K351" s="148" t="n">
        <x:f t="shared" si="27">IFERROR(IF(OR(G351="",G351&lt;=0),0,MAX(1,G351-J351)),0)</x:f>
        <x:v>66.41746705994521</x:v>
      </x:c>
      <x:c r="L351" s="148" t="n">
        <x:f t="shared" si="28">IFERROR(IF(OR(G351="",G351&lt;=0,I351="",D351="",$F$1=""),0,IF($F$1&lt;D351,0,IF(K351&lt;=1,0,MIN(G351*I351/12,K351-1)))),0)</x:f>
        <x:v>7.036332407500001</x:v>
      </x:c>
      <x:c r="M351" s="58" t="s">
        <x:v>18</x:v>
      </x:c>
    </x:row>
    <x:row r="352" ht="19.899999618530273" customHeight="1">
      <x:c r="A352" s="53">
        <x:f t="shared" si="29"/>
        <x:v>347</x:v>
      </x:c>
      <x:c r="B352" s="54" t="s">
        <x:v>158</x:v>
      </x:c>
      <x:c r="C352" s="54" t="s">
        <x:v>27</x:v>
      </x:c>
      <x:c r="D352" s="55">
        <x:v>45579</x:v>
      </x:c>
      <x:c r="E352" s="54" t="s">
        <x:v>160</x:v>
      </x:c>
      <x:c r="F352" s="54">
        <x:v>1</x:v>
      </x:c>
      <x:c r="G352" s="148">
        <x:v>253.33330000000001</x:v>
      </x:c>
      <x:c r="H352" s="148" t="n">
        <x:f t="shared" si="25">IFERROR(IF(OR($F$1="",D352=""),0,MAX(0,$F$1-D352)),0)</x:f>
        <x:v>808</x:v>
      </x:c>
      <x:c r="I352" s="148">
        <x:v>0.33329999999999999</x:v>
      </x:c>
      <x:c r="J352" s="148" t="n">
        <x:f t="shared" si="26">IFERROR(IF(OR(G352="",G352&lt;=0,I352="",D352="",$F$1=""),0,IF($F$1&lt;D352,0,MIN(MAX(G352-1,0),MAX(0,(G352*I352/365)*H352)))),0)</x:f>
        <x:v>186.9158329400548</x:v>
      </x:c>
      <x:c r="K352" s="148" t="n">
        <x:f t="shared" si="27">IFERROR(IF(OR(G352="",G352&lt;=0),0,MAX(1,G352-J352)),0)</x:f>
        <x:v>66.41746705994521</x:v>
      </x:c>
      <x:c r="L352" s="148" t="n">
        <x:f t="shared" si="28">IFERROR(IF(OR(G352="",G352&lt;=0,I352="",D352="",$F$1=""),0,IF($F$1&lt;D352,0,IF(K352&lt;=1,0,MIN(G352*I352/12,K352-1)))),0)</x:f>
        <x:v>7.036332407500001</x:v>
      </x:c>
      <x:c r="M352" s="58" t="s">
        <x:v>18</x:v>
      </x:c>
    </x:row>
    <x:row r="353" ht="19.899999618530273" customHeight="1">
      <x:c r="A353" s="53">
        <x:f t="shared" si="29"/>
        <x:v>348</x:v>
      </x:c>
      <x:c r="B353" s="54" t="s">
        <x:v>158</x:v>
      </x:c>
      <x:c r="C353" s="54" t="s">
        <x:v>27</x:v>
      </x:c>
      <x:c r="D353" s="55">
        <x:v>45579</x:v>
      </x:c>
      <x:c r="E353" s="54" t="s">
        <x:v>160</x:v>
      </x:c>
      <x:c r="F353" s="54">
        <x:v>1</x:v>
      </x:c>
      <x:c r="G353" s="148">
        <x:v>253.33330000000001</x:v>
      </x:c>
      <x:c r="H353" s="148" t="n">
        <x:f t="shared" si="25">IFERROR(IF(OR($F$1="",D353=""),0,MAX(0,$F$1-D353)),0)</x:f>
        <x:v>808</x:v>
      </x:c>
      <x:c r="I353" s="148">
        <x:v>0.33329999999999999</x:v>
      </x:c>
      <x:c r="J353" s="148" t="n">
        <x:f t="shared" si="26">IFERROR(IF(OR(G353="",G353&lt;=0,I353="",D353="",$F$1=""),0,IF($F$1&lt;D353,0,MIN(MAX(G353-1,0),MAX(0,(G353*I353/365)*H353)))),0)</x:f>
        <x:v>186.9158329400548</x:v>
      </x:c>
      <x:c r="K353" s="148" t="n">
        <x:f t="shared" si="27">IFERROR(IF(OR(G353="",G353&lt;=0),0,MAX(1,G353-J353)),0)</x:f>
        <x:v>66.41746705994521</x:v>
      </x:c>
      <x:c r="L353" s="148" t="n">
        <x:f t="shared" si="28">IFERROR(IF(OR(G353="",G353&lt;=0,I353="",D353="",$F$1=""),0,IF($F$1&lt;D353,0,IF(K353&lt;=1,0,MIN(G353*I353/12,K353-1)))),0)</x:f>
        <x:v>7.036332407500001</x:v>
      </x:c>
      <x:c r="M353" s="58" t="s">
        <x:v>18</x:v>
      </x:c>
    </x:row>
    <x:row r="354" ht="19.899999618530273" customHeight="1">
      <x:c r="A354" s="53">
        <x:f t="shared" si="29"/>
        <x:v>349</x:v>
      </x:c>
      <x:c r="B354" s="54" t="s">
        <x:v>158</x:v>
      </x:c>
      <x:c r="C354" s="54" t="s">
        <x:v>27</x:v>
      </x:c>
      <x:c r="D354" s="55">
        <x:v>45579</x:v>
      </x:c>
      <x:c r="E354" s="54" t="s">
        <x:v>160</x:v>
      </x:c>
      <x:c r="F354" s="54">
        <x:v>1</x:v>
      </x:c>
      <x:c r="G354" s="148">
        <x:v>253.33330000000001</x:v>
      </x:c>
      <x:c r="H354" s="148" t="n">
        <x:f t="shared" si="25">IFERROR(IF(OR($F$1="",D354=""),0,MAX(0,$F$1-D354)),0)</x:f>
        <x:v>808</x:v>
      </x:c>
      <x:c r="I354" s="148">
        <x:v>0.33329999999999999</x:v>
      </x:c>
      <x:c r="J354" s="148" t="n">
        <x:f t="shared" si="26">IFERROR(IF(OR(G354="",G354&lt;=0,I354="",D354="",$F$1=""),0,IF($F$1&lt;D354,0,MIN(MAX(G354-1,0),MAX(0,(G354*I354/365)*H354)))),0)</x:f>
        <x:v>186.9158329400548</x:v>
      </x:c>
      <x:c r="K354" s="148" t="n">
        <x:f t="shared" si="27">IFERROR(IF(OR(G354="",G354&lt;=0),0,MAX(1,G354-J354)),0)</x:f>
        <x:v>66.41746705994521</x:v>
      </x:c>
      <x:c r="L354" s="148" t="n">
        <x:f t="shared" si="28">IFERROR(IF(OR(G354="",G354&lt;=0,I354="",D354="",$F$1=""),0,IF($F$1&lt;D354,0,IF(K354&lt;=1,0,MIN(G354*I354/12,K354-1)))),0)</x:f>
        <x:v>7.036332407500001</x:v>
      </x:c>
      <x:c r="M354" s="58" t="s">
        <x:v>18</x:v>
      </x:c>
    </x:row>
    <x:row r="355" ht="19.899999618530273" customHeight="1">
      <x:c r="A355" s="53">
        <x:f t="shared" si="29"/>
        <x:v>350</x:v>
      </x:c>
      <x:c r="B355" s="54" t="s">
        <x:v>158</x:v>
      </x:c>
      <x:c r="C355" s="54" t="s">
        <x:v>27</x:v>
      </x:c>
      <x:c r="D355" s="55">
        <x:v>45579</x:v>
      </x:c>
      <x:c r="E355" s="54" t="s">
        <x:v>160</x:v>
      </x:c>
      <x:c r="F355" s="54">
        <x:v>1</x:v>
      </x:c>
      <x:c r="G355" s="148">
        <x:v>253.33330000000001</x:v>
      </x:c>
      <x:c r="H355" s="148" t="n">
        <x:f t="shared" si="25">IFERROR(IF(OR($F$1="",D355=""),0,MAX(0,$F$1-D355)),0)</x:f>
        <x:v>808</x:v>
      </x:c>
      <x:c r="I355" s="148">
        <x:v>0.33329999999999999</x:v>
      </x:c>
      <x:c r="J355" s="148" t="n">
        <x:f t="shared" si="26">IFERROR(IF(OR(G355="",G355&lt;=0,I355="",D355="",$F$1=""),0,IF($F$1&lt;D355,0,MIN(MAX(G355-1,0),MAX(0,(G355*I355/365)*H355)))),0)</x:f>
        <x:v>186.9158329400548</x:v>
      </x:c>
      <x:c r="K355" s="148" t="n">
        <x:f t="shared" si="27">IFERROR(IF(OR(G355="",G355&lt;=0),0,MAX(1,G355-J355)),0)</x:f>
        <x:v>66.41746705994521</x:v>
      </x:c>
      <x:c r="L355" s="148" t="n">
        <x:f t="shared" si="28">IFERROR(IF(OR(G355="",G355&lt;=0,I355="",D355="",$F$1=""),0,IF($F$1&lt;D355,0,IF(K355&lt;=1,0,MIN(G355*I355/12,K355-1)))),0)</x:f>
        <x:v>7.036332407500001</x:v>
      </x:c>
      <x:c r="M355" s="58" t="s">
        <x:v>18</x:v>
      </x:c>
    </x:row>
    <x:row r="356" ht="19.899999618530273" customHeight="1">
      <x:c r="A356" s="53">
        <x:f t="shared" si="29"/>
        <x:v>351</x:v>
      </x:c>
      <x:c r="B356" s="54" t="s">
        <x:v>158</x:v>
      </x:c>
      <x:c r="C356" s="54" t="s">
        <x:v>27</x:v>
      </x:c>
      <x:c r="D356" s="55">
        <x:v>45579</x:v>
      </x:c>
      <x:c r="E356" s="54" t="s">
        <x:v>160</x:v>
      </x:c>
      <x:c r="F356" s="54">
        <x:v>1</x:v>
      </x:c>
      <x:c r="G356" s="148">
        <x:v>253.33330000000001</x:v>
      </x:c>
      <x:c r="H356" s="148" t="n">
        <x:f t="shared" si="25">IFERROR(IF(OR($F$1="",D356=""),0,MAX(0,$F$1-D356)),0)</x:f>
        <x:v>808</x:v>
      </x:c>
      <x:c r="I356" s="148">
        <x:v>0.33329999999999999</x:v>
      </x:c>
      <x:c r="J356" s="148" t="n">
        <x:f t="shared" si="26">IFERROR(IF(OR(G356="",G356&lt;=0,I356="",D356="",$F$1=""),0,IF($F$1&lt;D356,0,MIN(MAX(G356-1,0),MAX(0,(G356*I356/365)*H356)))),0)</x:f>
        <x:v>186.9158329400548</x:v>
      </x:c>
      <x:c r="K356" s="148" t="n">
        <x:f t="shared" si="27">IFERROR(IF(OR(G356="",G356&lt;=0),0,MAX(1,G356-J356)),0)</x:f>
        <x:v>66.41746705994521</x:v>
      </x:c>
      <x:c r="L356" s="148" t="n">
        <x:f t="shared" si="28">IFERROR(IF(OR(G356="",G356&lt;=0,I356="",D356="",$F$1=""),0,IF($F$1&lt;D356,0,IF(K356&lt;=1,0,MIN(G356*I356/12,K356-1)))),0)</x:f>
        <x:v>7.036332407500001</x:v>
      </x:c>
      <x:c r="M356" s="58" t="s">
        <x:v>18</x:v>
      </x:c>
    </x:row>
    <x:row r="357" ht="19.899999618530273" customHeight="1">
      <x:c r="A357" s="53">
        <x:f t="shared" si="29"/>
        <x:v>352</x:v>
      </x:c>
      <x:c r="B357" s="54" t="s">
        <x:v>158</x:v>
      </x:c>
      <x:c r="C357" s="54" t="s">
        <x:v>27</x:v>
      </x:c>
      <x:c r="D357" s="55">
        <x:v>45579</x:v>
      </x:c>
      <x:c r="E357" s="54" t="s">
        <x:v>160</x:v>
      </x:c>
      <x:c r="F357" s="54">
        <x:v>1</x:v>
      </x:c>
      <x:c r="G357" s="148">
        <x:v>253.33330000000001</x:v>
      </x:c>
      <x:c r="H357" s="148" t="n">
        <x:f t="shared" si="25">IFERROR(IF(OR($F$1="",D357=""),0,MAX(0,$F$1-D357)),0)</x:f>
        <x:v>808</x:v>
      </x:c>
      <x:c r="I357" s="148">
        <x:v>0.33329999999999999</x:v>
      </x:c>
      <x:c r="J357" s="148" t="n">
        <x:f t="shared" si="26">IFERROR(IF(OR(G357="",G357&lt;=0,I357="",D357="",$F$1=""),0,IF($F$1&lt;D357,0,MIN(MAX(G357-1,0),MAX(0,(G357*I357/365)*H357)))),0)</x:f>
        <x:v>186.9158329400548</x:v>
      </x:c>
      <x:c r="K357" s="148" t="n">
        <x:f t="shared" si="27">IFERROR(IF(OR(G357="",G357&lt;=0),0,MAX(1,G357-J357)),0)</x:f>
        <x:v>66.41746705994521</x:v>
      </x:c>
      <x:c r="L357" s="148" t="n">
        <x:f t="shared" si="28">IFERROR(IF(OR(G357="",G357&lt;=0,I357="",D357="",$F$1=""),0,IF($F$1&lt;D357,0,IF(K357&lt;=1,0,MIN(G357*I357/12,K357-1)))),0)</x:f>
        <x:v>7.036332407500001</x:v>
      </x:c>
      <x:c r="M357" s="58" t="s">
        <x:v>18</x:v>
      </x:c>
    </x:row>
    <x:row r="358" ht="19.899999618530273" customHeight="1">
      <x:c r="A358" s="53">
        <x:f t="shared" si="29"/>
        <x:v>353</x:v>
      </x:c>
      <x:c r="B358" s="54" t="s">
        <x:v>158</x:v>
      </x:c>
      <x:c r="C358" s="54" t="s">
        <x:v>27</x:v>
      </x:c>
      <x:c r="D358" s="55">
        <x:v>45579</x:v>
      </x:c>
      <x:c r="E358" s="54" t="s">
        <x:v>160</x:v>
      </x:c>
      <x:c r="F358" s="54">
        <x:v>1</x:v>
      </x:c>
      <x:c r="G358" s="148">
        <x:v>253.33330000000001</x:v>
      </x:c>
      <x:c r="H358" s="148" t="n">
        <x:f t="shared" si="25">IFERROR(IF(OR($F$1="",D358=""),0,MAX(0,$F$1-D358)),0)</x:f>
        <x:v>808</x:v>
      </x:c>
      <x:c r="I358" s="148">
        <x:v>0.33329999999999999</x:v>
      </x:c>
      <x:c r="J358" s="148" t="n">
        <x:f t="shared" si="26">IFERROR(IF(OR(G358="",G358&lt;=0,I358="",D358="",$F$1=""),0,IF($F$1&lt;D358,0,MIN(MAX(G358-1,0),MAX(0,(G358*I358/365)*H358)))),0)</x:f>
        <x:v>186.9158329400548</x:v>
      </x:c>
      <x:c r="K358" s="148" t="n">
        <x:f t="shared" si="27">IFERROR(IF(OR(G358="",G358&lt;=0),0,MAX(1,G358-J358)),0)</x:f>
        <x:v>66.41746705994521</x:v>
      </x:c>
      <x:c r="L358" s="148" t="n">
        <x:f t="shared" si="28">IFERROR(IF(OR(G358="",G358&lt;=0,I358="",D358="",$F$1=""),0,IF($F$1&lt;D358,0,IF(K358&lt;=1,0,MIN(G358*I358/12,K358-1)))),0)</x:f>
        <x:v>7.036332407500001</x:v>
      </x:c>
      <x:c r="M358" s="58" t="s">
        <x:v>18</x:v>
      </x:c>
    </x:row>
    <x:row r="359" ht="19.899999618530273" customHeight="1">
      <x:c r="A359" s="53">
        <x:f t="shared" si="29"/>
        <x:v>354</x:v>
      </x:c>
      <x:c r="B359" s="54" t="s">
        <x:v>158</x:v>
      </x:c>
      <x:c r="C359" s="54" t="s">
        <x:v>27</x:v>
      </x:c>
      <x:c r="D359" s="55">
        <x:v>45579</x:v>
      </x:c>
      <x:c r="E359" s="54" t="s">
        <x:v>161</x:v>
      </x:c>
      <x:c r="F359" s="54">
        <x:v>1</x:v>
      </x:c>
      <x:c r="G359" s="148">
        <x:v>1780</x:v>
      </x:c>
      <x:c r="H359" s="148" t="n">
        <x:f t="shared" si="25">IFERROR(IF(OR($F$1="",D359=""),0,MAX(0,$F$1-D359)),0)</x:f>
        <x:v>808</x:v>
      </x:c>
      <x:c r="I359" s="148">
        <x:v>0.33329999999999999</x:v>
      </x:c>
      <x:c r="J359" s="148" t="n">
        <x:f t="shared" si="26">IFERROR(IF(OR(G359="",G359&lt;=0,I359="",D359="",$F$1=""),0,IF($F$1&lt;D359,0,MIN(MAX(G359-1,0),MAX(0,(G359*I359/365)*H359)))),0)</x:f>
        <x:v>1313.3298410958903</x:v>
      </x:c>
      <x:c r="K359" s="148" t="n">
        <x:f t="shared" si="27">IFERROR(IF(OR(G359="",G359&lt;=0),0,MAX(1,G359-J359)),0)</x:f>
        <x:v>466.6701589041097</x:v>
      </x:c>
      <x:c r="L359" s="148" t="n">
        <x:f t="shared" si="28">IFERROR(IF(OR(G359="",G359&lt;=0,I359="",D359="",$F$1=""),0,IF($F$1&lt;D359,0,IF(K359&lt;=1,0,MIN(G359*I359/12,K359-1)))),0)</x:f>
        <x:v>49.4395</x:v>
      </x:c>
      <x:c r="M359" s="58" t="s">
        <x:v>18</x:v>
      </x:c>
    </x:row>
    <x:row r="360" ht="19.899999618530273" customHeight="1">
      <x:c r="A360" s="53">
        <x:f t="shared" si="29"/>
        <x:v>355</x:v>
      </x:c>
      <x:c r="B360" s="54" t="s">
        <x:v>158</x:v>
      </x:c>
      <x:c r="C360" s="54" t="s">
        <x:v>27</x:v>
      </x:c>
      <x:c r="D360" s="55">
        <x:v>45579</x:v>
      </x:c>
      <x:c r="E360" s="54" t="s">
        <x:v>161</x:v>
      </x:c>
      <x:c r="F360" s="54">
        <x:v>1</x:v>
      </x:c>
      <x:c r="G360" s="148">
        <x:v>1780</x:v>
      </x:c>
      <x:c r="H360" s="148" t="n">
        <x:f t="shared" si="25">IFERROR(IF(OR($F$1="",D360=""),0,MAX(0,$F$1-D360)),0)</x:f>
        <x:v>808</x:v>
      </x:c>
      <x:c r="I360" s="148">
        <x:v>0.33329999999999999</x:v>
      </x:c>
      <x:c r="J360" s="148" t="n">
        <x:f t="shared" si="26">IFERROR(IF(OR(G360="",G360&lt;=0,I360="",D360="",$F$1=""),0,IF($F$1&lt;D360,0,MIN(MAX(G360-1,0),MAX(0,(G360*I360/365)*H360)))),0)</x:f>
        <x:v>1313.3298410958903</x:v>
      </x:c>
      <x:c r="K360" s="148" t="n">
        <x:f t="shared" si="27">IFERROR(IF(OR(G360="",G360&lt;=0),0,MAX(1,G360-J360)),0)</x:f>
        <x:v>466.6701589041097</x:v>
      </x:c>
      <x:c r="L360" s="148" t="n">
        <x:f t="shared" si="28">IFERROR(IF(OR(G360="",G360&lt;=0,I360="",D360="",$F$1=""),0,IF($F$1&lt;D360,0,IF(K360&lt;=1,0,MIN(G360*I360/12,K360-1)))),0)</x:f>
        <x:v>49.4395</x:v>
      </x:c>
      <x:c r="M360" s="58" t="s">
        <x:v>18</x:v>
      </x:c>
    </x:row>
    <x:row r="361" ht="19.899999618530273" customHeight="1">
      <x:c r="A361" s="53">
        <x:f t="shared" si="29"/>
        <x:v>356</x:v>
      </x:c>
      <x:c r="B361" s="54" t="s">
        <x:v>158</x:v>
      </x:c>
      <x:c r="C361" s="54" t="s">
        <x:v>27</x:v>
      </x:c>
      <x:c r="D361" s="55">
        <x:v>45579</x:v>
      </x:c>
      <x:c r="E361" s="54" t="s">
        <x:v>30</x:v>
      </x:c>
      <x:c r="F361" s="54">
        <x:v>1</x:v>
      </x:c>
      <x:c r="G361" s="148">
        <x:v>875</x:v>
      </x:c>
      <x:c r="H361" s="148" t="n">
        <x:f t="shared" si="25">IFERROR(IF(OR($F$1="",D361=""),0,MAX(0,$F$1-D361)),0)</x:f>
        <x:v>808</x:v>
      </x:c>
      <x:c r="I361" s="148">
        <x:v>0.33329999999999999</x:v>
      </x:c>
      <x:c r="J361" s="148" t="n">
        <x:f t="shared" si="26">IFERROR(IF(OR(G361="",G361&lt;=0,I361="",D361="",$F$1=""),0,IF($F$1&lt;D361,0,MIN(MAX(G361-1,0),MAX(0,(G361*I361/365)*H361)))),0)</x:f>
        <x:v>645.5975342465754</x:v>
      </x:c>
      <x:c r="K361" s="148" t="n">
        <x:f t="shared" si="27">IFERROR(IF(OR(G361="",G361&lt;=0),0,MAX(1,G361-J361)),0)</x:f>
        <x:v>229.40246575342462</x:v>
      </x:c>
      <x:c r="L361" s="148" t="n">
        <x:f t="shared" si="28">IFERROR(IF(OR(G361="",G361&lt;=0,I361="",D361="",$F$1=""),0,IF($F$1&lt;D361,0,IF(K361&lt;=1,0,MIN(G361*I361/12,K361-1)))),0)</x:f>
        <x:v>24.303124999999998</x:v>
      </x:c>
      <x:c r="M361" s="58" t="s">
        <x:v>18</x:v>
      </x:c>
    </x:row>
    <x:row r="362" ht="19.899999618530273" customHeight="1">
      <x:c r="A362" s="53">
        <x:f t="shared" si="29"/>
        <x:v>357</x:v>
      </x:c>
      <x:c r="B362" s="54" t="s">
        <x:v>158</x:v>
      </x:c>
      <x:c r="C362" s="54" t="s">
        <x:v>27</x:v>
      </x:c>
      <x:c r="D362" s="55">
        <x:v>45579</x:v>
      </x:c>
      <x:c r="E362" s="54" t="s">
        <x:v>30</x:v>
      </x:c>
      <x:c r="F362" s="54">
        <x:v>1</x:v>
      </x:c>
      <x:c r="G362" s="148">
        <x:v>875</x:v>
      </x:c>
      <x:c r="H362" s="148" t="n">
        <x:f t="shared" si="25">IFERROR(IF(OR($F$1="",D362=""),0,MAX(0,$F$1-D362)),0)</x:f>
        <x:v>808</x:v>
      </x:c>
      <x:c r="I362" s="148">
        <x:v>0.33329999999999999</x:v>
      </x:c>
      <x:c r="J362" s="148" t="n">
        <x:f t="shared" si="26">IFERROR(IF(OR(G362="",G362&lt;=0,I362="",D362="",$F$1=""),0,IF($F$1&lt;D362,0,MIN(MAX(G362-1,0),MAX(0,(G362*I362/365)*H362)))),0)</x:f>
        <x:v>645.5975342465754</x:v>
      </x:c>
      <x:c r="K362" s="148" t="n">
        <x:f t="shared" si="27">IFERROR(IF(OR(G362="",G362&lt;=0),0,MAX(1,G362-J362)),0)</x:f>
        <x:v>229.40246575342462</x:v>
      </x:c>
      <x:c r="L362" s="148" t="n">
        <x:f t="shared" si="28">IFERROR(IF(OR(G362="",G362&lt;=0,I362="",D362="",$F$1=""),0,IF($F$1&lt;D362,0,IF(K362&lt;=1,0,MIN(G362*I362/12,K362-1)))),0)</x:f>
        <x:v>24.303124999999998</x:v>
      </x:c>
      <x:c r="M362" s="58" t="s">
        <x:v>18</x:v>
      </x:c>
    </x:row>
    <x:row r="363" ht="19.899999618530273" customHeight="1">
      <x:c r="A363" s="53">
        <x:f t="shared" si="29"/>
        <x:v>358</x:v>
      </x:c>
      <x:c r="B363" s="54" t="s">
        <x:v>158</x:v>
      </x:c>
      <x:c r="C363" s="54" t="s">
        <x:v>27</x:v>
      </x:c>
      <x:c r="D363" s="55">
        <x:v>45601</x:v>
      </x:c>
      <x:c r="E363" s="54" t="s">
        <x:v>162</x:v>
      </x:c>
      <x:c r="F363" s="54">
        <x:v>1</x:v>
      </x:c>
      <x:c r="G363" s="148">
        <x:v>2750</x:v>
      </x:c>
      <x:c r="H363" s="148" t="n">
        <x:f t="shared" si="25">IFERROR(IF(OR($F$1="",D363=""),0,MAX(0,$F$1-D363)),0)</x:f>
        <x:v>786</x:v>
      </x:c>
      <x:c r="I363" s="148">
        <x:v>0.33329999999999999</x:v>
      </x:c>
      <x:c r="J363" s="148" t="n">
        <x:f t="shared" si="26">IFERROR(IF(OR(G363="",G363&lt;=0,I363="",D363="",$F$1=""),0,IF($F$1&lt;D363,0,MIN(MAX(G363-1,0),MAX(0,(G363*I363/365)*H363)))),0)</x:f>
        <x:v>1973.7752054794519</x:v>
      </x:c>
      <x:c r="K363" s="148" t="n">
        <x:f t="shared" si="27">IFERROR(IF(OR(G363="",G363&lt;=0),0,MAX(1,G363-J363)),0)</x:f>
        <x:v>776.2247945205481</x:v>
      </x:c>
      <x:c r="L363" s="148" t="n">
        <x:f t="shared" si="28">IFERROR(IF(OR(G363="",G363&lt;=0,I363="",D363="",$F$1=""),0,IF($F$1&lt;D363,0,IF(K363&lt;=1,0,MIN(G363*I363/12,K363-1)))),0)</x:f>
        <x:v>76.38125</x:v>
      </x:c>
      <x:c r="M363" s="58" t="s">
        <x:v>18</x:v>
      </x:c>
    </x:row>
    <x:row r="364" ht="19.899999618530273" customHeight="1">
      <x:c r="A364" s="53">
        <x:f t="shared" si="29"/>
        <x:v>359</x:v>
      </x:c>
      <x:c r="B364" s="54" t="s">
        <x:v>158</x:v>
      </x:c>
      <x:c r="C364" s="54" t="s">
        <x:v>27</x:v>
      </x:c>
      <x:c r="D364" s="55">
        <x:v>45591</x:v>
      </x:c>
      <x:c r="E364" s="54" t="s">
        <x:v>31</x:v>
      </x:c>
      <x:c r="F364" s="54">
        <x:v>1</x:v>
      </x:c>
      <x:c r="G364" s="148">
        <x:v>575</x:v>
      </x:c>
      <x:c r="H364" s="148" t="n">
        <x:f t="shared" si="25">IFERROR(IF(OR($F$1="",D364=""),0,MAX(0,$F$1-D364)),0)</x:f>
        <x:v>796</x:v>
      </x:c>
      <x:c r="I364" s="148">
        <x:v>0.33329999999999999</x:v>
      </x:c>
      <x:c r="J364" s="148" t="n">
        <x:f t="shared" si="26">IFERROR(IF(OR(G364="",G364&lt;=0,I364="",D364="",$F$1=""),0,IF($F$1&lt;D364,0,MIN(MAX(G364-1,0),MAX(0,(G364*I364/365)*H364)))),0)</x:f>
        <x:v>417.94906849315066</x:v>
      </x:c>
      <x:c r="K364" s="148" t="n">
        <x:f t="shared" si="27">IFERROR(IF(OR(G364="",G364&lt;=0),0,MAX(1,G364-J364)),0)</x:f>
        <x:v>157.05093150684934</x:v>
      </x:c>
      <x:c r="L364" s="148" t="n">
        <x:f t="shared" si="28">IFERROR(IF(OR(G364="",G364&lt;=0,I364="",D364="",$F$1=""),0,IF($F$1&lt;D364,0,IF(K364&lt;=1,0,MIN(G364*I364/12,K364-1)))),0)</x:f>
        <x:v>15.970624999999998</x:v>
      </x:c>
      <x:c r="M364" s="58" t="s">
        <x:v>18</x:v>
      </x:c>
    </x:row>
    <x:row r="365" ht="19.899999618530273" customHeight="1">
      <x:c r="A365" s="53">
        <x:f t="shared" si="29"/>
        <x:v>360</x:v>
      </x:c>
      <x:c r="B365" s="54" t="s">
        <x:v>158</x:v>
      </x:c>
      <x:c r="C365" s="54" t="s">
        <x:v>27</x:v>
      </x:c>
      <x:c r="D365" s="55">
        <x:v>45591</x:v>
      </x:c>
      <x:c r="E365" s="54" t="s">
        <x:v>163</x:v>
      </x:c>
      <x:c r="F365" s="54">
        <x:v>1</x:v>
      </x:c>
      <x:c r="G365" s="148">
        <x:v>1270</x:v>
      </x:c>
      <x:c r="H365" s="148" t="n">
        <x:f t="shared" si="25">IFERROR(IF(OR($F$1="",D365=""),0,MAX(0,$F$1-D365)),0)</x:f>
        <x:v>796</x:v>
      </x:c>
      <x:c r="I365" s="148">
        <x:v>0.33329999999999999</x:v>
      </x:c>
      <x:c r="J365" s="148" t="n">
        <x:f t="shared" si="26">IFERROR(IF(OR(G365="",G365&lt;=0,I365="",D365="",$F$1=""),0,IF($F$1&lt;D365,0,MIN(MAX(G365-1,0),MAX(0,(G365*I365/365)*H365)))),0)</x:f>
        <x:v>923.1222904109588</x:v>
      </x:c>
      <x:c r="K365" s="148" t="n">
        <x:f t="shared" si="27">IFERROR(IF(OR(G365="",G365&lt;=0),0,MAX(1,G365-J365)),0)</x:f>
        <x:v>346.87770958904116</x:v>
      </x:c>
      <x:c r="L365" s="148" t="n">
        <x:f t="shared" si="28">IFERROR(IF(OR(G365="",G365&lt;=0,I365="",D365="",$F$1=""),0,IF($F$1&lt;D365,0,IF(K365&lt;=1,0,MIN(G365*I365/12,K365-1)))),0)</x:f>
        <x:v>35.27425</x:v>
      </x:c>
      <x:c r="M365" s="58" t="s">
        <x:v>18</x:v>
      </x:c>
    </x:row>
    <x:row r="366" ht="19.899999618530273" customHeight="1">
      <x:c r="A366" s="53">
        <x:f t="shared" si="29"/>
        <x:v>361</x:v>
      </x:c>
      <x:c r="B366" s="54" t="s">
        <x:v>158</x:v>
      </x:c>
      <x:c r="C366" s="54" t="s">
        <x:v>27</x:v>
      </x:c>
      <x:c r="D366" s="55">
        <x:v>45591</x:v>
      </x:c>
      <x:c r="E366" s="54" t="s">
        <x:v>164</x:v>
      </x:c>
      <x:c r="F366" s="54">
        <x:v>1</x:v>
      </x:c>
      <x:c r="G366" s="148">
        <x:v>310</x:v>
      </x:c>
      <x:c r="H366" s="148" t="n">
        <x:f t="shared" si="25">IFERROR(IF(OR($F$1="",D366=""),0,MAX(0,$F$1-D366)),0)</x:f>
        <x:v>796</x:v>
      </x:c>
      <x:c r="I366" s="148">
        <x:v>0.33329999999999999</x:v>
      </x:c>
      <x:c r="J366" s="148" t="n">
        <x:f t="shared" si="26">IFERROR(IF(OR(G366="",G366&lt;=0,I366="",D366="",$F$1=""),0,IF($F$1&lt;D366,0,MIN(MAX(G366-1,0),MAX(0,(G366*I366/365)*H366)))),0)</x:f>
        <x:v>225.3290630136986</x:v>
      </x:c>
      <x:c r="K366" s="148" t="n">
        <x:f t="shared" si="27">IFERROR(IF(OR(G366="",G366&lt;=0),0,MAX(1,G366-J366)),0)</x:f>
        <x:v>84.6709369863014</x:v>
      </x:c>
      <x:c r="L366" s="148" t="n">
        <x:f t="shared" si="28">IFERROR(IF(OR(G366="",G366&lt;=0,I366="",D366="",$F$1=""),0,IF($F$1&lt;D366,0,IF(K366&lt;=1,0,MIN(G366*I366/12,K366-1)))),0)</x:f>
        <x:v>8.610249999999999</x:v>
      </x:c>
      <x:c r="M366" s="58" t="s">
        <x:v>18</x:v>
      </x:c>
    </x:row>
    <x:row r="367" ht="19.899999618530273" customHeight="1">
      <x:c r="A367" s="53">
        <x:f t="shared" si="29"/>
        <x:v>362</x:v>
      </x:c>
      <x:c r="B367" s="54" t="s">
        <x:v>158</x:v>
      </x:c>
      <x:c r="C367" s="54" t="s">
        <x:v>27</x:v>
      </x:c>
      <x:c r="D367" s="55">
        <x:v>45591</x:v>
      </x:c>
      <x:c r="E367" s="54" t="s">
        <x:v>52</x:v>
      </x:c>
      <x:c r="F367" s="54">
        <x:v>1</x:v>
      </x:c>
      <x:c r="G367" s="148">
        <x:v>950</x:v>
      </x:c>
      <x:c r="H367" s="148" t="n">
        <x:f t="shared" si="25">IFERROR(IF(OR($F$1="",D367=""),0,MAX(0,$F$1-D367)),0)</x:f>
        <x:v>796</x:v>
      </x:c>
      <x:c r="I367" s="148">
        <x:v>0.33329999999999999</x:v>
      </x:c>
      <x:c r="J367" s="148" t="n">
        <x:f t="shared" si="26">IFERROR(IF(OR(G367="",G367&lt;=0,I367="",D367="",$F$1=""),0,IF($F$1&lt;D367,0,MIN(MAX(G367-1,0),MAX(0,(G367*I367/365)*H367)))),0)</x:f>
        <x:v>690.5245479452054</x:v>
      </x:c>
      <x:c r="K367" s="148" t="n">
        <x:f t="shared" si="27">IFERROR(IF(OR(G367="",G367&lt;=0),0,MAX(1,G367-J367)),0)</x:f>
        <x:v>259.4754520547946</x:v>
      </x:c>
      <x:c r="L367" s="148" t="n">
        <x:f t="shared" si="28">IFERROR(IF(OR(G367="",G367&lt;=0,I367="",D367="",$F$1=""),0,IF($F$1&lt;D367,0,IF(K367&lt;=1,0,MIN(G367*I367/12,K367-1)))),0)</x:f>
        <x:v>26.38625</x:v>
      </x:c>
      <x:c r="M367" s="58" t="s">
        <x:v>18</x:v>
      </x:c>
    </x:row>
    <x:row r="368" ht="19.899999618530273" customHeight="1">
      <x:c r="A368" s="53">
        <x:f t="shared" si="29"/>
        <x:v>363</x:v>
      </x:c>
      <x:c r="B368" s="54" t="s">
        <x:v>158</x:v>
      </x:c>
      <x:c r="C368" s="54" t="s">
        <x:v>27</x:v>
      </x:c>
      <x:c r="D368" s="55">
        <x:v>45591</x:v>
      </x:c>
      <x:c r="E368" s="54" t="s">
        <x:v>96</x:v>
      </x:c>
      <x:c r="F368" s="54">
        <x:v>1</x:v>
      </x:c>
      <x:c r="G368" s="148">
        <x:v>510</x:v>
      </x:c>
      <x:c r="H368" s="148" t="n">
        <x:f t="shared" si="25">IFERROR(IF(OR($F$1="",D368=""),0,MAX(0,$F$1-D368)),0)</x:f>
        <x:v>796</x:v>
      </x:c>
      <x:c r="I368" s="148">
        <x:v>0.33329999999999999</x:v>
      </x:c>
      <x:c r="J368" s="148" t="n">
        <x:f t="shared" si="26">IFERROR(IF(OR(G368="",G368&lt;=0,I368="",D368="",$F$1=""),0,IF($F$1&lt;D368,0,MIN(MAX(G368-1,0),MAX(0,(G368*I368/365)*H368)))),0)</x:f>
        <x:v>370.70265205479456</x:v>
      </x:c>
      <x:c r="K368" s="148" t="n">
        <x:f t="shared" si="27">IFERROR(IF(OR(G368="",G368&lt;=0),0,MAX(1,G368-J368)),0)</x:f>
        <x:v>139.29734794520544</x:v>
      </x:c>
      <x:c r="L368" s="148" t="n">
        <x:f t="shared" si="28">IFERROR(IF(OR(G368="",G368&lt;=0,I368="",D368="",$F$1=""),0,IF($F$1&lt;D368,0,IF(K368&lt;=1,0,MIN(G368*I368/12,K368-1)))),0)</x:f>
        <x:v>14.16525</x:v>
      </x:c>
      <x:c r="M368" s="58" t="s">
        <x:v>18</x:v>
      </x:c>
    </x:row>
    <x:row r="369" ht="19.899999618530273" customHeight="1">
      <x:c r="A369" s="53">
        <x:f t="shared" si="29"/>
        <x:v>364</x:v>
      </x:c>
      <x:c r="B369" s="54" t="s">
        <x:v>158</x:v>
      </x:c>
      <x:c r="C369" s="54" t="s">
        <x:v>27</x:v>
      </x:c>
      <x:c r="D369" s="55">
        <x:v>45591</x:v>
      </x:c>
      <x:c r="E369" s="54" t="s">
        <x:v>96</x:v>
      </x:c>
      <x:c r="F369" s="54">
        <x:v>1</x:v>
      </x:c>
      <x:c r="G369" s="148">
        <x:v>510</x:v>
      </x:c>
      <x:c r="H369" s="148" t="n">
        <x:f t="shared" si="25">IFERROR(IF(OR($F$1="",D369=""),0,MAX(0,$F$1-D369)),0)</x:f>
        <x:v>796</x:v>
      </x:c>
      <x:c r="I369" s="148">
        <x:v>0.33329999999999999</x:v>
      </x:c>
      <x:c r="J369" s="148" t="n">
        <x:f t="shared" si="26">IFERROR(IF(OR(G369="",G369&lt;=0,I369="",D369="",$F$1=""),0,IF($F$1&lt;D369,0,MIN(MAX(G369-1,0),MAX(0,(G369*I369/365)*H369)))),0)</x:f>
        <x:v>370.70265205479456</x:v>
      </x:c>
      <x:c r="K369" s="148" t="n">
        <x:f t="shared" si="27">IFERROR(IF(OR(G369="",G369&lt;=0),0,MAX(1,G369-J369)),0)</x:f>
        <x:v>139.29734794520544</x:v>
      </x:c>
      <x:c r="L369" s="148" t="n">
        <x:f t="shared" si="28">IFERROR(IF(OR(G369="",G369&lt;=0,I369="",D369="",$F$1=""),0,IF($F$1&lt;D369,0,IF(K369&lt;=1,0,MIN(G369*I369/12,K369-1)))),0)</x:f>
        <x:v>14.16525</x:v>
      </x:c>
      <x:c r="M369" s="58" t="s">
        <x:v>18</x:v>
      </x:c>
    </x:row>
    <x:row r="370" ht="19.899999618530273" customHeight="1">
      <x:c r="A370" s="53">
        <x:f t="shared" si="29"/>
        <x:v>365</x:v>
      </x:c>
      <x:c r="B370" s="54" t="s">
        <x:v>158</x:v>
      </x:c>
      <x:c r="C370" s="54" t="s">
        <x:v>27</x:v>
      </x:c>
      <x:c r="D370" s="55">
        <x:v>45591</x:v>
      </x:c>
      <x:c r="E370" s="54" t="s">
        <x:v>165</x:v>
      </x:c>
      <x:c r="F370" s="54">
        <x:v>1</x:v>
      </x:c>
      <x:c r="G370" s="148">
        <x:v>500</x:v>
      </x:c>
      <x:c r="H370" s="148" t="n">
        <x:f t="shared" si="25">IFERROR(IF(OR($F$1="",D370=""),0,MAX(0,$F$1-D370)),0)</x:f>
        <x:v>796</x:v>
      </x:c>
      <x:c r="I370" s="148">
        <x:v>0.33329999999999999</x:v>
      </x:c>
      <x:c r="J370" s="148" t="n">
        <x:f t="shared" si="26">IFERROR(IF(OR(G370="",G370&lt;=0,I370="",D370="",$F$1=""),0,IF($F$1&lt;D370,0,MIN(MAX(G370-1,0),MAX(0,(G370*I370/365)*H370)))),0)</x:f>
        <x:v>363.43397260273974</x:v>
      </x:c>
      <x:c r="K370" s="148" t="n">
        <x:f t="shared" si="27">IFERROR(IF(OR(G370="",G370&lt;=0),0,MAX(1,G370-J370)),0)</x:f>
        <x:v>136.56602739726026</x:v>
      </x:c>
      <x:c r="L370" s="148" t="n">
        <x:f t="shared" si="28">IFERROR(IF(OR(G370="",G370&lt;=0,I370="",D370="",$F$1=""),0,IF($F$1&lt;D370,0,IF(K370&lt;=1,0,MIN(G370*I370/12,K370-1)))),0)</x:f>
        <x:v>13.887500000000001</x:v>
      </x:c>
      <x:c r="M370" s="58" t="s">
        <x:v>18</x:v>
      </x:c>
    </x:row>
    <x:row r="371" ht="19.899999618530273" customHeight="1">
      <x:c r="A371" s="53">
        <x:f t="shared" si="29"/>
        <x:v>366</x:v>
      </x:c>
      <x:c r="B371" s="54" t="s">
        <x:v>158</x:v>
      </x:c>
      <x:c r="C371" s="54" t="s">
        <x:v>27</x:v>
      </x:c>
      <x:c r="D371" s="55">
        <x:v>45591</x:v>
      </x:c>
      <x:c r="E371" s="54" t="s">
        <x:v>165</x:v>
      </x:c>
      <x:c r="F371" s="54">
        <x:v>1</x:v>
      </x:c>
      <x:c r="G371" s="148">
        <x:v>500</x:v>
      </x:c>
      <x:c r="H371" s="148" t="n">
        <x:f t="shared" si="25">IFERROR(IF(OR($F$1="",D371=""),0,MAX(0,$F$1-D371)),0)</x:f>
        <x:v>796</x:v>
      </x:c>
      <x:c r="I371" s="148">
        <x:v>0.33329999999999999</x:v>
      </x:c>
      <x:c r="J371" s="148" t="n">
        <x:f t="shared" si="26">IFERROR(IF(OR(G371="",G371&lt;=0,I371="",D371="",$F$1=""),0,IF($F$1&lt;D371,0,MIN(MAX(G371-1,0),MAX(0,(G371*I371/365)*H371)))),0)</x:f>
        <x:v>363.43397260273974</x:v>
      </x:c>
      <x:c r="K371" s="148" t="n">
        <x:f t="shared" si="27">IFERROR(IF(OR(G371="",G371&lt;=0),0,MAX(1,G371-J371)),0)</x:f>
        <x:v>136.56602739726026</x:v>
      </x:c>
      <x:c r="L371" s="148" t="n">
        <x:f t="shared" si="28">IFERROR(IF(OR(G371="",G371&lt;=0,I371="",D371="",$F$1=""),0,IF($F$1&lt;D371,0,IF(K371&lt;=1,0,MIN(G371*I371/12,K371-1)))),0)</x:f>
        <x:v>13.887500000000001</x:v>
      </x:c>
      <x:c r="M371" s="58" t="s">
        <x:v>18</x:v>
      </x:c>
    </x:row>
    <x:row r="372" ht="19.899999618530273" customHeight="1">
      <x:c r="A372" s="53">
        <x:f t="shared" si="29"/>
        <x:v>367</x:v>
      </x:c>
      <x:c r="B372" s="54" t="s">
        <x:v>158</x:v>
      </x:c>
      <x:c r="C372" s="54" t="s">
        <x:v>27</x:v>
      </x:c>
      <x:c r="D372" s="55">
        <x:v>45591</x:v>
      </x:c>
      <x:c r="E372" s="54" t="s">
        <x:v>166</x:v>
      </x:c>
      <x:c r="F372" s="54">
        <x:v>1</x:v>
      </x:c>
      <x:c r="G372" s="148">
        <x:v>340</x:v>
      </x:c>
      <x:c r="H372" s="148" t="n">
        <x:f t="shared" si="25">IFERROR(IF(OR($F$1="",D372=""),0,MAX(0,$F$1-D372)),0)</x:f>
        <x:v>796</x:v>
      </x:c>
      <x:c r="I372" s="148">
        <x:v>0.33329999999999999</x:v>
      </x:c>
      <x:c r="J372" s="148" t="n">
        <x:f t="shared" si="26">IFERROR(IF(OR(G372="",G372&lt;=0,I372="",D372="",$F$1=""),0,IF($F$1&lt;D372,0,MIN(MAX(G372-1,0),MAX(0,(G372*I372/365)*H372)))),0)</x:f>
        <x:v>247.13510136986298</x:v>
      </x:c>
      <x:c r="K372" s="148" t="n">
        <x:f t="shared" si="27">IFERROR(IF(OR(G372="",G372&lt;=0),0,MAX(1,G372-J372)),0)</x:f>
        <x:v>92.86489863013702</x:v>
      </x:c>
      <x:c r="L372" s="148" t="n">
        <x:f t="shared" si="28">IFERROR(IF(OR(G372="",G372&lt;=0,I372="",D372="",$F$1=""),0,IF($F$1&lt;D372,0,IF(K372&lt;=1,0,MIN(G372*I372/12,K372-1)))),0)</x:f>
        <x:v>9.443499999999998</x:v>
      </x:c>
      <x:c r="M372" s="58" t="s">
        <x:v>18</x:v>
      </x:c>
    </x:row>
    <x:row r="373" ht="19.899999618530273" customHeight="1">
      <x:c r="A373" s="53">
        <x:f t="shared" si="29"/>
        <x:v>368</x:v>
      </x:c>
      <x:c r="B373" s="54" t="s">
        <x:v>158</x:v>
      </x:c>
      <x:c r="C373" s="54" t="s">
        <x:v>27</x:v>
      </x:c>
      <x:c r="D373" s="55">
        <x:v>45591</x:v>
      </x:c>
      <x:c r="E373" s="54" t="s">
        <x:v>166</x:v>
      </x:c>
      <x:c r="F373" s="54">
        <x:v>1</x:v>
      </x:c>
      <x:c r="G373" s="148">
        <x:v>340</x:v>
      </x:c>
      <x:c r="H373" s="148" t="n">
        <x:f t="shared" si="25">IFERROR(IF(OR($F$1="",D373=""),0,MAX(0,$F$1-D373)),0)</x:f>
        <x:v>796</x:v>
      </x:c>
      <x:c r="I373" s="148">
        <x:v>0.33329999999999999</x:v>
      </x:c>
      <x:c r="J373" s="148" t="n">
        <x:f t="shared" si="26">IFERROR(IF(OR(G373="",G373&lt;=0,I373="",D373="",$F$1=""),0,IF($F$1&lt;D373,0,MIN(MAX(G373-1,0),MAX(0,(G373*I373/365)*H373)))),0)</x:f>
        <x:v>247.13510136986298</x:v>
      </x:c>
      <x:c r="K373" s="148" t="n">
        <x:f t="shared" si="27">IFERROR(IF(OR(G373="",G373&lt;=0),0,MAX(1,G373-J373)),0)</x:f>
        <x:v>92.86489863013702</x:v>
      </x:c>
      <x:c r="L373" s="148" t="n">
        <x:f t="shared" si="28">IFERROR(IF(OR(G373="",G373&lt;=0,I373="",D373="",$F$1=""),0,IF($F$1&lt;D373,0,IF(K373&lt;=1,0,MIN(G373*I373/12,K373-1)))),0)</x:f>
        <x:v>9.443499999999998</x:v>
      </x:c>
      <x:c r="M373" s="58" t="s">
        <x:v>18</x:v>
      </x:c>
    </x:row>
    <x:row r="374" ht="19.899999618530273" customHeight="1">
      <x:c r="A374" s="53">
        <x:f t="shared" si="29"/>
        <x:v>369</x:v>
      </x:c>
      <x:c r="B374" s="54" t="s">
        <x:v>158</x:v>
      </x:c>
      <x:c r="C374" s="54" t="s">
        <x:v>27</x:v>
      </x:c>
      <x:c r="D374" s="55">
        <x:v>45591</x:v>
      </x:c>
      <x:c r="E374" s="54" t="s">
        <x:v>167</x:v>
      </x:c>
      <x:c r="F374" s="54">
        <x:v>1</x:v>
      </x:c>
      <x:c r="G374" s="148">
        <x:v>1900</x:v>
      </x:c>
      <x:c r="H374" s="148" t="n">
        <x:f t="shared" si="25">IFERROR(IF(OR($F$1="",D374=""),0,MAX(0,$F$1-D374)),0)</x:f>
        <x:v>796</x:v>
      </x:c>
      <x:c r="I374" s="148">
        <x:v>0.33329999999999999</x:v>
      </x:c>
      <x:c r="J374" s="148" t="n">
        <x:f t="shared" si="26">IFERROR(IF(OR(G374="",G374&lt;=0,I374="",D374="",$F$1=""),0,IF($F$1&lt;D374,0,MIN(MAX(G374-1,0),MAX(0,(G374*I374/365)*H374)))),0)</x:f>
        <x:v>1381.0490958904109</x:v>
      </x:c>
      <x:c r="K374" s="148" t="n">
        <x:f t="shared" si="27">IFERROR(IF(OR(G374="",G374&lt;=0),0,MAX(1,G374-J374)),0)</x:f>
        <x:v>518.9509041095891</x:v>
      </x:c>
      <x:c r="L374" s="148" t="n">
        <x:f t="shared" si="28">IFERROR(IF(OR(G374="",G374&lt;=0,I374="",D374="",$F$1=""),0,IF($F$1&lt;D374,0,IF(K374&lt;=1,0,MIN(G374*I374/12,K374-1)))),0)</x:f>
        <x:v>52.7725</x:v>
      </x:c>
      <x:c r="M374" s="58" t="s">
        <x:v>18</x:v>
      </x:c>
    </x:row>
    <x:row r="375" ht="19.899999618530273" customHeight="1">
      <x:c r="A375" s="53">
        <x:f t="shared" si="29"/>
        <x:v>370</x:v>
      </x:c>
      <x:c r="B375" s="54" t="s">
        <x:v>158</x:v>
      </x:c>
      <x:c r="C375" s="54" t="s">
        <x:v>27</x:v>
      </x:c>
      <x:c r="D375" s="55">
        <x:v>45591</x:v>
      </x:c>
      <x:c r="E375" s="54" t="s">
        <x:v>167</x:v>
      </x:c>
      <x:c r="F375" s="54">
        <x:v>1</x:v>
      </x:c>
      <x:c r="G375" s="148">
        <x:v>1900</x:v>
      </x:c>
      <x:c r="H375" s="148" t="n">
        <x:f t="shared" si="25">IFERROR(IF(OR($F$1="",D375=""),0,MAX(0,$F$1-D375)),0)</x:f>
        <x:v>796</x:v>
      </x:c>
      <x:c r="I375" s="148">
        <x:v>0.33329999999999999</x:v>
      </x:c>
      <x:c r="J375" s="148" t="n">
        <x:f t="shared" si="26">IFERROR(IF(OR(G375="",G375&lt;=0,I375="",D375="",$F$1=""),0,IF($F$1&lt;D375,0,MIN(MAX(G375-1,0),MAX(0,(G375*I375/365)*H375)))),0)</x:f>
        <x:v>1381.0490958904109</x:v>
      </x:c>
      <x:c r="K375" s="148" t="n">
        <x:f t="shared" si="27">IFERROR(IF(OR(G375="",G375&lt;=0),0,MAX(1,G375-J375)),0)</x:f>
        <x:v>518.9509041095891</x:v>
      </x:c>
      <x:c r="L375" s="148" t="n">
        <x:f t="shared" si="28">IFERROR(IF(OR(G375="",G375&lt;=0,I375="",D375="",$F$1=""),0,IF($F$1&lt;D375,0,IF(K375&lt;=1,0,MIN(G375*I375/12,K375-1)))),0)</x:f>
        <x:v>52.7725</x:v>
      </x:c>
      <x:c r="M375" s="58" t="s">
        <x:v>18</x:v>
      </x:c>
    </x:row>
    <x:row r="376" ht="19.899999618530273" customHeight="1">
      <x:c r="A376" s="53">
        <x:f t="shared" si="29"/>
        <x:v>371</x:v>
      </x:c>
      <x:c r="B376" s="54" t="s">
        <x:v>158</x:v>
      </x:c>
      <x:c r="C376" s="54" t="s">
        <x:v>27</x:v>
      </x:c>
      <x:c r="D376" s="55">
        <x:v>45591</x:v>
      </x:c>
      <x:c r="E376" s="54" t="s">
        <x:v>168</x:v>
      </x:c>
      <x:c r="F376" s="54">
        <x:v>1</x:v>
      </x:c>
      <x:c r="G376" s="148">
        <x:v>195</x:v>
      </x:c>
      <x:c r="H376" s="148" t="n">
        <x:f t="shared" si="25">IFERROR(IF(OR($F$1="",D376=""),0,MAX(0,$F$1-D376)),0)</x:f>
        <x:v>796</x:v>
      </x:c>
      <x:c r="I376" s="148">
        <x:v>0.33329999999999999</x:v>
      </x:c>
      <x:c r="J376" s="148" t="n">
        <x:f t="shared" si="26">IFERROR(IF(OR(G376="",G376&lt;=0,I376="",D376="",$F$1=""),0,IF($F$1&lt;D376,0,MIN(MAX(G376-1,0),MAX(0,(G376*I376/365)*H376)))),0)</x:f>
        <x:v>141.7392493150685</x:v>
      </x:c>
      <x:c r="K376" s="148" t="n">
        <x:f t="shared" si="27">IFERROR(IF(OR(G376="",G376&lt;=0),0,MAX(1,G376-J376)),0)</x:f>
        <x:v>53.26075068493151</x:v>
      </x:c>
      <x:c r="L376" s="148" t="n">
        <x:f t="shared" si="28">IFERROR(IF(OR(G376="",G376&lt;=0,I376="",D376="",$F$1=""),0,IF($F$1&lt;D376,0,IF(K376&lt;=1,0,MIN(G376*I376/12,K376-1)))),0)</x:f>
        <x:v>5.416125</x:v>
      </x:c>
      <x:c r="M376" s="58" t="s">
        <x:v>18</x:v>
      </x:c>
    </x:row>
    <x:row r="377" ht="19.899999618530273" customHeight="1">
      <x:c r="A377" s="53">
        <x:f t="shared" si="29"/>
        <x:v>372</x:v>
      </x:c>
      <x:c r="B377" s="54" t="s">
        <x:v>158</x:v>
      </x:c>
      <x:c r="C377" s="54" t="s">
        <x:v>27</x:v>
      </x:c>
      <x:c r="D377" s="55">
        <x:v>45591</x:v>
      </x:c>
      <x:c r="E377" s="54" t="s">
        <x:v>122</x:v>
      </x:c>
      <x:c r="F377" s="54">
        <x:v>1</x:v>
      </x:c>
      <x:c r="G377" s="148">
        <x:v>750</x:v>
      </x:c>
      <x:c r="H377" s="148" t="n">
        <x:f t="shared" si="25">IFERROR(IF(OR($F$1="",D377=""),0,MAX(0,$F$1-D377)),0)</x:f>
        <x:v>796</x:v>
      </x:c>
      <x:c r="I377" s="148">
        <x:v>0.33329999999999999</x:v>
      </x:c>
      <x:c r="J377" s="148" t="n">
        <x:f t="shared" si="26">IFERROR(IF(OR(G377="",G377&lt;=0,I377="",D377="",$F$1=""),0,IF($F$1&lt;D377,0,MIN(MAX(G377-1,0),MAX(0,(G377*I377/365)*H377)))),0)</x:f>
        <x:v>545.1509589041095</x:v>
      </x:c>
      <x:c r="K377" s="148" t="n">
        <x:f t="shared" si="27">IFERROR(IF(OR(G377="",G377&lt;=0),0,MAX(1,G377-J377)),0)</x:f>
        <x:v>204.84904109589047</x:v>
      </x:c>
      <x:c r="L377" s="148" t="n">
        <x:f t="shared" si="28">IFERROR(IF(OR(G377="",G377&lt;=0,I377="",D377="",$F$1=""),0,IF($F$1&lt;D377,0,IF(K377&lt;=1,0,MIN(G377*I377/12,K377-1)))),0)</x:f>
        <x:v>20.83125</x:v>
      </x:c>
      <x:c r="M377" s="58" t="s">
        <x:v>18</x:v>
      </x:c>
    </x:row>
    <x:row r="378" ht="19.899999618530273" customHeight="1">
      <x:c r="A378" s="53">
        <x:f t="shared" si="29"/>
        <x:v>373</x:v>
      </x:c>
      <x:c r="B378" s="54" t="s">
        <x:v>158</x:v>
      </x:c>
      <x:c r="C378" s="54" t="s">
        <x:v>16</x:v>
      </x:c>
      <x:c r="D378" s="55">
        <x:v>45638</x:v>
      </x:c>
      <x:c r="E378" s="54" t="s">
        <x:v>169</x:v>
      </x:c>
      <x:c r="F378" s="54">
        <x:v>1</x:v>
      </x:c>
      <x:c r="G378" s="148">
        <x:v>1692.65</x:v>
      </x:c>
      <x:c r="H378" s="148" t="n">
        <x:f t="shared" si="25">IFERROR(IF(OR($F$1="",D378=""),0,MAX(0,$F$1-D378)),0)</x:f>
        <x:v>749</x:v>
      </x:c>
      <x:c r="I378" s="148">
        <x:v>0.2</x:v>
      </x:c>
      <x:c r="J378" s="148" t="n">
        <x:f t="shared" si="26">IFERROR(IF(OR(G378="",G378&lt;=0,I378="",D378="",$F$1=""),0,IF($F$1&lt;D378,0,MIN(MAX(G378-1,0),MAX(0,(G378*I378/365)*H378)))),0)</x:f>
        <x:v>694.6821095890411</x:v>
      </x:c>
      <x:c r="K378" s="148" t="n">
        <x:f t="shared" si="27">IFERROR(IF(OR(G378="",G378&lt;=0),0,MAX(1,G378-J378)),0)</x:f>
        <x:v>997.967890410959</x:v>
      </x:c>
      <x:c r="L378" s="148" t="n">
        <x:f t="shared" si="28">IFERROR(IF(OR(G378="",G378&lt;=0,I378="",D378="",$F$1=""),0,IF($F$1&lt;D378,0,IF(K378&lt;=1,0,MIN(G378*I378/12,K378-1)))),0)</x:f>
        <x:v>28.210833333333337</x:v>
      </x:c>
      <x:c r="M378" s="58" t="s">
        <x:v>18</x:v>
      </x:c>
    </x:row>
    <x:row r="379" ht="19.899999618530273" customHeight="1">
      <x:c r="A379" s="53">
        <x:f t="shared" si="29"/>
        <x:v>374</x:v>
      </x:c>
      <x:c r="B379" s="54" t="s">
        <x:v>170</x:v>
      </x:c>
      <x:c r="C379" s="54" t="s">
        <x:v>43</x:v>
      </x:c>
      <x:c r="D379" s="55">
        <x:v>45474</x:v>
      </x:c>
      <x:c r="E379" s="54" t="s">
        <x:v>147</x:v>
      </x:c>
      <x:c r="F379" s="54">
        <x:v>1</x:v>
      </x:c>
      <x:c r="G379" s="148">
        <x:v>4763.8</x:v>
      </x:c>
      <x:c r="H379" s="148" t="n">
        <x:f t="shared" si="25">IFERROR(IF(OR($F$1="",D379=""),0,MAX(0,$F$1-D379)),0)</x:f>
        <x:v>913</x:v>
      </x:c>
      <x:c r="I379" s="148">
        <x:v>0.2</x:v>
      </x:c>
      <x:c r="J379" s="148" t="n">
        <x:f t="shared" si="26">IFERROR(IF(OR(G379="",G379&lt;=0,I379="",D379="",$F$1=""),0,IF($F$1&lt;D379,0,MIN(MAX(G379-1,0),MAX(0,(G379*I379/365)*H379)))),0)</x:f>
        <x:v>2383.205150684932</x:v>
      </x:c>
      <x:c r="K379" s="148" t="n">
        <x:f t="shared" si="27">IFERROR(IF(OR(G379="",G379&lt;=0),0,MAX(1,G379-J379)),0)</x:f>
        <x:v>2380.594849315068</x:v>
      </x:c>
      <x:c r="L379" s="148" t="n">
        <x:f t="shared" si="28">IFERROR(IF(OR(G379="",G379&lt;=0,I379="",D379="",$F$1=""),0,IF($F$1&lt;D379,0,IF(K379&lt;=1,0,MIN(G379*I379/12,K379-1)))),0)</x:f>
        <x:v>79.39666666666668</x:v>
      </x:c>
      <x:c r="M379" s="58" t="s">
        <x:v>18</x:v>
      </x:c>
    </x:row>
    <x:row r="380" ht="19.899999618530273" customHeight="1">
      <x:c r="A380" s="53">
        <x:f t="shared" si="29"/>
        <x:v>375</x:v>
      </x:c>
      <x:c r="B380" s="54" t="s">
        <x:v>170</x:v>
      </x:c>
      <x:c r="C380" s="54" t="s">
        <x:v>43</x:v>
      </x:c>
      <x:c r="D380" s="55">
        <x:v>45474</x:v>
      </x:c>
      <x:c r="E380" s="54" t="s">
        <x:v>171</x:v>
      </x:c>
      <x:c r="F380" s="54">
        <x:v>1</x:v>
      </x:c>
      <x:c r="G380" s="148">
        <x:v>3911.63</x:v>
      </x:c>
      <x:c r="H380" s="148" t="n">
        <x:f t="shared" si="25">IFERROR(IF(OR($F$1="",D380=""),0,MAX(0,$F$1-D380)),0)</x:f>
        <x:v>913</x:v>
      </x:c>
      <x:c r="I380" s="148">
        <x:v>0.2</x:v>
      </x:c>
      <x:c r="J380" s="148" t="n">
        <x:f t="shared" si="26">IFERROR(IF(OR(G380="",G380&lt;=0,I380="",D380="",$F$1=""),0,IF($F$1&lt;D380,0,MIN(MAX(G380-1,0),MAX(0,(G380*I380/365)*H380)))),0)</x:f>
        <x:v>1956.8866794520548</x:v>
      </x:c>
      <x:c r="K380" s="148" t="n">
        <x:f t="shared" si="27">IFERROR(IF(OR(G380="",G380&lt;=0),0,MAX(1,G380-J380)),0)</x:f>
        <x:v>1954.7433205479454</x:v>
      </x:c>
      <x:c r="L380" s="148" t="n">
        <x:f t="shared" si="28">IFERROR(IF(OR(G380="",G380&lt;=0,I380="",D380="",$F$1=""),0,IF($F$1&lt;D380,0,IF(K380&lt;=1,0,MIN(G380*I380/12,K380-1)))),0)</x:f>
        <x:v>65.19383333333333</x:v>
      </x:c>
      <x:c r="M380" s="58" t="s">
        <x:v>18</x:v>
      </x:c>
    </x:row>
    <x:row r="381" ht="19.899999618530273" customHeight="1">
      <x:c r="A381" s="53">
        <x:f t="shared" si="29"/>
        <x:v>376</x:v>
      </x:c>
      <x:c r="B381" s="54" t="s">
        <x:v>170</x:v>
      </x:c>
      <x:c r="C381" s="54" t="s">
        <x:v>43</x:v>
      </x:c>
      <x:c r="D381" s="55">
        <x:v>45474</x:v>
      </x:c>
      <x:c r="E381" s="54" t="s">
        <x:v>148</x:v>
      </x:c>
      <x:c r="F381" s="54">
        <x:v>1</x:v>
      </x:c>
      <x:c r="G381" s="148">
        <x:v>7450.7550000000001</x:v>
      </x:c>
      <x:c r="H381" s="148" t="n">
        <x:f t="shared" si="25">IFERROR(IF(OR($F$1="",D381=""),0,MAX(0,$F$1-D381)),0)</x:f>
        <x:v>913</x:v>
      </x:c>
      <x:c r="I381" s="148">
        <x:v>0.2</x:v>
      </x:c>
      <x:c r="J381" s="148" t="n">
        <x:f t="shared" si="26">IFERROR(IF(OR(G381="",G381&lt;=0,I381="",D381="",$F$1=""),0,IF($F$1&lt;D381,0,MIN(MAX(G381-1,0),MAX(0,(G381*I381/365)*H381)))),0)</x:f>
        <x:v>3727.4188027397263</x:v>
      </x:c>
      <x:c r="K381" s="148" t="n">
        <x:f t="shared" si="27">IFERROR(IF(OR(G381="",G381&lt;=0),0,MAX(1,G381-J381)),0)</x:f>
        <x:v>3723.336197260274</x:v>
      </x:c>
      <x:c r="L381" s="148" t="n">
        <x:f t="shared" si="28">IFERROR(IF(OR(G381="",G381&lt;=0,I381="",D381="",$F$1=""),0,IF($F$1&lt;D381,0,IF(K381&lt;=1,0,MIN(G381*I381/12,K381-1)))),0)</x:f>
        <x:v>124.17925000000001</x:v>
      </x:c>
      <x:c r="M381" s="58" t="s">
        <x:v>18</x:v>
      </x:c>
    </x:row>
    <x:row r="382" ht="19.899999618530273" customHeight="1">
      <x:c r="A382" s="53">
        <x:f t="shared" si="29"/>
        <x:v>377</x:v>
      </x:c>
      <x:c r="B382" s="54" t="s">
        <x:v>170</x:v>
      </x:c>
      <x:c r="C382" s="54" t="s">
        <x:v>21</x:v>
      </x:c>
      <x:c r="D382" s="55">
        <x:v>45600</x:v>
      </x:c>
      <x:c r="E382" s="54" t="s">
        <x:v>172</x:v>
      </x:c>
      <x:c r="F382" s="54">
        <x:v>1</x:v>
      </x:c>
      <x:c r="G382" s="148">
        <x:v>10000</x:v>
      </x:c>
      <x:c r="H382" s="148" t="n">
        <x:f t="shared" si="25">IFERROR(IF(OR($F$1="",D382=""),0,MAX(0,$F$1-D382)),0)</x:f>
        <x:v>787</x:v>
      </x:c>
      <x:c r="I382" s="148">
        <x:v>0.33329999999999999</x:v>
      </x:c>
      <x:c r="J382" s="148" t="n">
        <x:f t="shared" si="26">IFERROR(IF(OR(G382="",G382&lt;=0,I382="",D382="",$F$1=""),0,IF($F$1&lt;D382,0,MIN(MAX(G382-1,0),MAX(0,(G382*I382/365)*H382)))),0)</x:f>
        <x:v>7186.495890410958</x:v>
      </x:c>
      <x:c r="K382" s="148" t="n">
        <x:f t="shared" si="27">IFERROR(IF(OR(G382="",G382&lt;=0),0,MAX(1,G382-J382)),0)</x:f>
        <x:v>2813.504109589042</x:v>
      </x:c>
      <x:c r="L382" s="148" t="n">
        <x:f t="shared" si="28">IFERROR(IF(OR(G382="",G382&lt;=0,I382="",D382="",$F$1=""),0,IF($F$1&lt;D382,0,IF(K382&lt;=1,0,MIN(G382*I382/12,K382-1)))),0)</x:f>
        <x:v>277.75</x:v>
      </x:c>
      <x:c r="M382" s="58" t="s">
        <x:v>18</x:v>
      </x:c>
    </x:row>
    <x:row r="383" ht="19.899999618530273" customHeight="1">
      <x:c r="A383" s="53">
        <x:f t="shared" si="29"/>
        <x:v>378</x:v>
      </x:c>
      <x:c r="B383" s="54" t="s">
        <x:v>170</x:v>
      </x:c>
      <x:c r="C383" s="54" t="s">
        <x:v>27</x:v>
      </x:c>
      <x:c r="D383" s="55">
        <x:v>45591</x:v>
      </x:c>
      <x:c r="E383" s="54" t="s">
        <x:v>31</x:v>
      </x:c>
      <x:c r="F383" s="54">
        <x:v>1</x:v>
      </x:c>
      <x:c r="G383" s="148">
        <x:v>575</x:v>
      </x:c>
      <x:c r="H383" s="148" t="n">
        <x:f t="shared" si="25">IFERROR(IF(OR($F$1="",D383=""),0,MAX(0,$F$1-D383)),0)</x:f>
        <x:v>796</x:v>
      </x:c>
      <x:c r="I383" s="148">
        <x:v>0.33329999999999999</x:v>
      </x:c>
      <x:c r="J383" s="148" t="n">
        <x:f t="shared" si="26">IFERROR(IF(OR(G383="",G383&lt;=0,I383="",D383="",$F$1=""),0,IF($F$1&lt;D383,0,MIN(MAX(G383-1,0),MAX(0,(G383*I383/365)*H383)))),0)</x:f>
        <x:v>417.94906849315066</x:v>
      </x:c>
      <x:c r="K383" s="148" t="n">
        <x:f t="shared" si="27">IFERROR(IF(OR(G383="",G383&lt;=0),0,MAX(1,G383-J383)),0)</x:f>
        <x:v>157.05093150684934</x:v>
      </x:c>
      <x:c r="L383" s="148" t="n">
        <x:f t="shared" si="28">IFERROR(IF(OR(G383="",G383&lt;=0,I383="",D383="",$F$1=""),0,IF($F$1&lt;D383,0,IF(K383&lt;=1,0,MIN(G383*I383/12,K383-1)))),0)</x:f>
        <x:v>15.970624999999998</x:v>
      </x:c>
      <x:c r="M383" s="58" t="s">
        <x:v>18</x:v>
      </x:c>
    </x:row>
    <x:row r="384" ht="19.899999618530273" customHeight="1">
      <x:c r="A384" s="53">
        <x:f t="shared" si="29"/>
        <x:v>379</x:v>
      </x:c>
      <x:c r="B384" s="54" t="s">
        <x:v>170</x:v>
      </x:c>
      <x:c r="C384" s="54" t="s">
        <x:v>27</x:v>
      </x:c>
      <x:c r="D384" s="55">
        <x:v>45591</x:v>
      </x:c>
      <x:c r="E384" s="54" t="s">
        <x:v>163</x:v>
      </x:c>
      <x:c r="F384" s="54">
        <x:v>1</x:v>
      </x:c>
      <x:c r="G384" s="148">
        <x:v>1270</x:v>
      </x:c>
      <x:c r="H384" s="148" t="n">
        <x:f t="shared" si="25">IFERROR(IF(OR($F$1="",D384=""),0,MAX(0,$F$1-D384)),0)</x:f>
        <x:v>796</x:v>
      </x:c>
      <x:c r="I384" s="148">
        <x:v>0.33329999999999999</x:v>
      </x:c>
      <x:c r="J384" s="148" t="n">
        <x:f t="shared" si="26">IFERROR(IF(OR(G384="",G384&lt;=0,I384="",D384="",$F$1=""),0,IF($F$1&lt;D384,0,MIN(MAX(G384-1,0),MAX(0,(G384*I384/365)*H384)))),0)</x:f>
        <x:v>923.1222904109588</x:v>
      </x:c>
      <x:c r="K384" s="148" t="n">
        <x:f t="shared" si="27">IFERROR(IF(OR(G384="",G384&lt;=0),0,MAX(1,G384-J384)),0)</x:f>
        <x:v>346.87770958904116</x:v>
      </x:c>
      <x:c r="L384" s="148" t="n">
        <x:f t="shared" si="28">IFERROR(IF(OR(G384="",G384&lt;=0,I384="",D384="",$F$1=""),0,IF($F$1&lt;D384,0,IF(K384&lt;=1,0,MIN(G384*I384/12,K384-1)))),0)</x:f>
        <x:v>35.27425</x:v>
      </x:c>
      <x:c r="M384" s="58" t="s">
        <x:v>18</x:v>
      </x:c>
    </x:row>
    <x:row r="385" ht="19.899999618530273" customHeight="1">
      <x:c r="A385" s="53">
        <x:f t="shared" si="29"/>
        <x:v>380</x:v>
      </x:c>
      <x:c r="B385" s="54" t="s">
        <x:v>170</x:v>
      </x:c>
      <x:c r="C385" s="54" t="s">
        <x:v>27</x:v>
      </x:c>
      <x:c r="D385" s="55">
        <x:v>45591</x:v>
      </x:c>
      <x:c r="E385" s="54" t="s">
        <x:v>164</x:v>
      </x:c>
      <x:c r="F385" s="54">
        <x:v>1</x:v>
      </x:c>
      <x:c r="G385" s="148">
        <x:v>310</x:v>
      </x:c>
      <x:c r="H385" s="148" t="n">
        <x:f t="shared" si="25">IFERROR(IF(OR($F$1="",D385=""),0,MAX(0,$F$1-D385)),0)</x:f>
        <x:v>796</x:v>
      </x:c>
      <x:c r="I385" s="148">
        <x:v>0.33329999999999999</x:v>
      </x:c>
      <x:c r="J385" s="148" t="n">
        <x:f t="shared" si="26">IFERROR(IF(OR(G385="",G385&lt;=0,I385="",D385="",$F$1=""),0,IF($F$1&lt;D385,0,MIN(MAX(G385-1,0),MAX(0,(G385*I385/365)*H385)))),0)</x:f>
        <x:v>225.3290630136986</x:v>
      </x:c>
      <x:c r="K385" s="148" t="n">
        <x:f t="shared" si="27">IFERROR(IF(OR(G385="",G385&lt;=0),0,MAX(1,G385-J385)),0)</x:f>
        <x:v>84.6709369863014</x:v>
      </x:c>
      <x:c r="L385" s="148" t="n">
        <x:f t="shared" si="28">IFERROR(IF(OR(G385="",G385&lt;=0,I385="",D385="",$F$1=""),0,IF($F$1&lt;D385,0,IF(K385&lt;=1,0,MIN(G385*I385/12,K385-1)))),0)</x:f>
        <x:v>8.610249999999999</x:v>
      </x:c>
      <x:c r="M385" s="58" t="s">
        <x:v>18</x:v>
      </x:c>
    </x:row>
    <x:row r="386" ht="19.899999618530273" customHeight="1">
      <x:c r="A386" s="53">
        <x:f t="shared" si="29"/>
        <x:v>381</x:v>
      </x:c>
      <x:c r="B386" s="54" t="s">
        <x:v>170</x:v>
      </x:c>
      <x:c r="C386" s="54" t="s">
        <x:v>27</x:v>
      </x:c>
      <x:c r="D386" s="55">
        <x:v>45591</x:v>
      </x:c>
      <x:c r="E386" s="54" t="s">
        <x:v>52</x:v>
      </x:c>
      <x:c r="F386" s="54">
        <x:v>1</x:v>
      </x:c>
      <x:c r="G386" s="148">
        <x:v>950</x:v>
      </x:c>
      <x:c r="H386" s="148" t="n">
        <x:f t="shared" si="25">IFERROR(IF(OR($F$1="",D386=""),0,MAX(0,$F$1-D386)),0)</x:f>
        <x:v>796</x:v>
      </x:c>
      <x:c r="I386" s="148">
        <x:v>0.33329999999999999</x:v>
      </x:c>
      <x:c r="J386" s="148" t="n">
        <x:f t="shared" si="26">IFERROR(IF(OR(G386="",G386&lt;=0,I386="",D386="",$F$1=""),0,IF($F$1&lt;D386,0,MIN(MAX(G386-1,0),MAX(0,(G386*I386/365)*H386)))),0)</x:f>
        <x:v>690.5245479452054</x:v>
      </x:c>
      <x:c r="K386" s="148" t="n">
        <x:f t="shared" si="27">IFERROR(IF(OR(G386="",G386&lt;=0),0,MAX(1,G386-J386)),0)</x:f>
        <x:v>259.4754520547946</x:v>
      </x:c>
      <x:c r="L386" s="148" t="n">
        <x:f t="shared" si="28">IFERROR(IF(OR(G386="",G386&lt;=0,I386="",D386="",$F$1=""),0,IF($F$1&lt;D386,0,IF(K386&lt;=1,0,MIN(G386*I386/12,K386-1)))),0)</x:f>
        <x:v>26.38625</x:v>
      </x:c>
      <x:c r="M386" s="58" t="s">
        <x:v>18</x:v>
      </x:c>
    </x:row>
    <x:row r="387" ht="19.899999618530273" customHeight="1">
      <x:c r="A387" s="53">
        <x:f t="shared" si="29"/>
        <x:v>382</x:v>
      </x:c>
      <x:c r="B387" s="54" t="s">
        <x:v>170</x:v>
      </x:c>
      <x:c r="C387" s="54" t="s">
        <x:v>27</x:v>
      </x:c>
      <x:c r="D387" s="55">
        <x:v>45591</x:v>
      </x:c>
      <x:c r="E387" s="54" t="s">
        <x:v>96</x:v>
      </x:c>
      <x:c r="F387" s="54">
        <x:v>1</x:v>
      </x:c>
      <x:c r="G387" s="148">
        <x:v>510</x:v>
      </x:c>
      <x:c r="H387" s="148" t="n">
        <x:f t="shared" si="25">IFERROR(IF(OR($F$1="",D387=""),0,MAX(0,$F$1-D387)),0)</x:f>
        <x:v>796</x:v>
      </x:c>
      <x:c r="I387" s="148">
        <x:v>0.33329999999999999</x:v>
      </x:c>
      <x:c r="J387" s="148" t="n">
        <x:f t="shared" si="26">IFERROR(IF(OR(G387="",G387&lt;=0,I387="",D387="",$F$1=""),0,IF($F$1&lt;D387,0,MIN(MAX(G387-1,0),MAX(0,(G387*I387/365)*H387)))),0)</x:f>
        <x:v>370.70265205479456</x:v>
      </x:c>
      <x:c r="K387" s="148" t="n">
        <x:f t="shared" si="27">IFERROR(IF(OR(G387="",G387&lt;=0),0,MAX(1,G387-J387)),0)</x:f>
        <x:v>139.29734794520544</x:v>
      </x:c>
      <x:c r="L387" s="148" t="n">
        <x:f t="shared" si="28">IFERROR(IF(OR(G387="",G387&lt;=0,I387="",D387="",$F$1=""),0,IF($F$1&lt;D387,0,IF(K387&lt;=1,0,MIN(G387*I387/12,K387-1)))),0)</x:f>
        <x:v>14.16525</x:v>
      </x:c>
      <x:c r="M387" s="58" t="s">
        <x:v>18</x:v>
      </x:c>
    </x:row>
    <x:row r="388" ht="19.899999618530273" customHeight="1">
      <x:c r="A388" s="53">
        <x:f t="shared" si="29"/>
        <x:v>383</x:v>
      </x:c>
      <x:c r="B388" s="54" t="s">
        <x:v>170</x:v>
      </x:c>
      <x:c r="C388" s="54" t="s">
        <x:v>27</x:v>
      </x:c>
      <x:c r="D388" s="55">
        <x:v>45591</x:v>
      </x:c>
      <x:c r="E388" s="54" t="s">
        <x:v>96</x:v>
      </x:c>
      <x:c r="F388" s="54">
        <x:v>1</x:v>
      </x:c>
      <x:c r="G388" s="148">
        <x:v>510</x:v>
      </x:c>
      <x:c r="H388" s="148" t="n">
        <x:f t="shared" si="25">IFERROR(IF(OR($F$1="",D388=""),0,MAX(0,$F$1-D388)),0)</x:f>
        <x:v>796</x:v>
      </x:c>
      <x:c r="I388" s="148">
        <x:v>0.33329999999999999</x:v>
      </x:c>
      <x:c r="J388" s="148" t="n">
        <x:f t="shared" si="26">IFERROR(IF(OR(G388="",G388&lt;=0,I388="",D388="",$F$1=""),0,IF($F$1&lt;D388,0,MIN(MAX(G388-1,0),MAX(0,(G388*I388/365)*H388)))),0)</x:f>
        <x:v>370.70265205479456</x:v>
      </x:c>
      <x:c r="K388" s="148" t="n">
        <x:f t="shared" si="27">IFERROR(IF(OR(G388="",G388&lt;=0),0,MAX(1,G388-J388)),0)</x:f>
        <x:v>139.29734794520544</x:v>
      </x:c>
      <x:c r="L388" s="148" t="n">
        <x:f t="shared" si="28">IFERROR(IF(OR(G388="",G388&lt;=0,I388="",D388="",$F$1=""),0,IF($F$1&lt;D388,0,IF(K388&lt;=1,0,MIN(G388*I388/12,K388-1)))),0)</x:f>
        <x:v>14.16525</x:v>
      </x:c>
      <x:c r="M388" s="58" t="s">
        <x:v>18</x:v>
      </x:c>
    </x:row>
    <x:row r="389" ht="19.899999618530273" customHeight="1">
      <x:c r="A389" s="53">
        <x:f t="shared" si="29"/>
        <x:v>384</x:v>
      </x:c>
      <x:c r="B389" s="54" t="s">
        <x:v>170</x:v>
      </x:c>
      <x:c r="C389" s="54" t="s">
        <x:v>27</x:v>
      </x:c>
      <x:c r="D389" s="55">
        <x:v>45591</x:v>
      </x:c>
      <x:c r="E389" s="54" t="s">
        <x:v>165</x:v>
      </x:c>
      <x:c r="F389" s="54">
        <x:v>1</x:v>
      </x:c>
      <x:c r="G389" s="148">
        <x:v>500</x:v>
      </x:c>
      <x:c r="H389" s="148" t="n">
        <x:f t="shared" si="25">IFERROR(IF(OR($F$1="",D389=""),0,MAX(0,$F$1-D389)),0)</x:f>
        <x:v>796</x:v>
      </x:c>
      <x:c r="I389" s="148">
        <x:v>0.33329999999999999</x:v>
      </x:c>
      <x:c r="J389" s="148" t="n">
        <x:f t="shared" si="26">IFERROR(IF(OR(G389="",G389&lt;=0,I389="",D389="",$F$1=""),0,IF($F$1&lt;D389,0,MIN(MAX(G389-1,0),MAX(0,(G389*I389/365)*H389)))),0)</x:f>
        <x:v>363.43397260273974</x:v>
      </x:c>
      <x:c r="K389" s="148" t="n">
        <x:f t="shared" si="27">IFERROR(IF(OR(G389="",G389&lt;=0),0,MAX(1,G389-J389)),0)</x:f>
        <x:v>136.56602739726026</x:v>
      </x:c>
      <x:c r="L389" s="148" t="n">
        <x:f t="shared" si="28">IFERROR(IF(OR(G389="",G389&lt;=0,I389="",D389="",$F$1=""),0,IF($F$1&lt;D389,0,IF(K389&lt;=1,0,MIN(G389*I389/12,K389-1)))),0)</x:f>
        <x:v>13.887500000000001</x:v>
      </x:c>
      <x:c r="M389" s="58" t="s">
        <x:v>18</x:v>
      </x:c>
    </x:row>
    <x:row r="390" ht="19.899999618530273" customHeight="1">
      <x:c r="A390" s="53">
        <x:f t="shared" si="29"/>
        <x:v>385</x:v>
      </x:c>
      <x:c r="B390" s="54" t="s">
        <x:v>170</x:v>
      </x:c>
      <x:c r="C390" s="54" t="s">
        <x:v>27</x:v>
      </x:c>
      <x:c r="D390" s="55">
        <x:v>45591</x:v>
      </x:c>
      <x:c r="E390" s="54" t="s">
        <x:v>165</x:v>
      </x:c>
      <x:c r="F390" s="54">
        <x:v>1</x:v>
      </x:c>
      <x:c r="G390" s="148">
        <x:v>500</x:v>
      </x:c>
      <x:c r="H390" s="148" t="n">
        <x:f t="shared" ref="H390:H453" si="30">IFERROR(IF(OR($F$1="",D390=""),0,MAX(0,$F$1-D390)),0)</x:f>
        <x:v>796</x:v>
      </x:c>
      <x:c r="I390" s="148">
        <x:v>0.33329999999999999</x:v>
      </x:c>
      <x:c r="J390" s="148" t="n">
        <x:f t="shared" ref="J390:J453" si="31">IFERROR(IF(OR(G390="",G390&lt;=0,I390="",D390="",$F$1=""),0,IF($F$1&lt;D390,0,MIN(MAX(G390-1,0),MAX(0,(G390*I390/365)*H390)))),0)</x:f>
        <x:v>363.43397260273974</x:v>
      </x:c>
      <x:c r="K390" s="148" t="n">
        <x:f t="shared" ref="K390:K453" si="32">IFERROR(IF(OR(G390="",G390&lt;=0),0,MAX(1,G390-J390)),0)</x:f>
        <x:v>136.56602739726026</x:v>
      </x:c>
      <x:c r="L390" s="148" t="n">
        <x:f t="shared" ref="L390:L453" si="33">IFERROR(IF(OR(G390="",G390&lt;=0,I390="",D390="",$F$1=""),0,IF($F$1&lt;D390,0,IF(K390&lt;=1,0,MIN(G390*I390/12,K390-1)))),0)</x:f>
        <x:v>13.887500000000001</x:v>
      </x:c>
      <x:c r="M390" s="58" t="s">
        <x:v>18</x:v>
      </x:c>
    </x:row>
    <x:row r="391" ht="19.899999618530273" customHeight="1">
      <x:c r="A391" s="53">
        <x:f t="shared" si="29"/>
        <x:v>386</x:v>
      </x:c>
      <x:c r="B391" s="54" t="s">
        <x:v>170</x:v>
      </x:c>
      <x:c r="C391" s="54" t="s">
        <x:v>27</x:v>
      </x:c>
      <x:c r="D391" s="55">
        <x:v>45591</x:v>
      </x:c>
      <x:c r="E391" s="54" t="s">
        <x:v>173</x:v>
      </x:c>
      <x:c r="F391" s="54">
        <x:v>1</x:v>
      </x:c>
      <x:c r="G391" s="148">
        <x:v>340</x:v>
      </x:c>
      <x:c r="H391" s="148" t="n">
        <x:f t="shared" si="30">IFERROR(IF(OR($F$1="",D391=""),0,MAX(0,$F$1-D391)),0)</x:f>
        <x:v>796</x:v>
      </x:c>
      <x:c r="I391" s="148">
        <x:v>0.33329999999999999</x:v>
      </x:c>
      <x:c r="J391" s="148" t="n">
        <x:f t="shared" si="31">IFERROR(IF(OR(G391="",G391&lt;=0,I391="",D391="",$F$1=""),0,IF($F$1&lt;D391,0,MIN(MAX(G391-1,0),MAX(0,(G391*I391/365)*H391)))),0)</x:f>
        <x:v>247.13510136986298</x:v>
      </x:c>
      <x:c r="K391" s="148" t="n">
        <x:f t="shared" si="32">IFERROR(IF(OR(G391="",G391&lt;=0),0,MAX(1,G391-J391)),0)</x:f>
        <x:v>92.86489863013702</x:v>
      </x:c>
      <x:c r="L391" s="148" t="n">
        <x:f t="shared" si="33">IFERROR(IF(OR(G391="",G391&lt;=0,I391="",D391="",$F$1=""),0,IF($F$1&lt;D391,0,IF(K391&lt;=1,0,MIN(G391*I391/12,K391-1)))),0)</x:f>
        <x:v>9.443499999999998</x:v>
      </x:c>
      <x:c r="M391" s="58" t="s">
        <x:v>18</x:v>
      </x:c>
    </x:row>
    <x:row r="392" ht="19.899999618530273" customHeight="1">
      <x:c r="A392" s="53">
        <x:f t="shared" si="29"/>
        <x:v>387</x:v>
      </x:c>
      <x:c r="B392" s="54" t="s">
        <x:v>170</x:v>
      </x:c>
      <x:c r="C392" s="54" t="s">
        <x:v>27</x:v>
      </x:c>
      <x:c r="D392" s="55">
        <x:v>45591</x:v>
      </x:c>
      <x:c r="E392" s="54" t="s">
        <x:v>173</x:v>
      </x:c>
      <x:c r="F392" s="54">
        <x:v>1</x:v>
      </x:c>
      <x:c r="G392" s="148">
        <x:v>340</x:v>
      </x:c>
      <x:c r="H392" s="148" t="n">
        <x:f t="shared" si="30">IFERROR(IF(OR($F$1="",D392=""),0,MAX(0,$F$1-D392)),0)</x:f>
        <x:v>796</x:v>
      </x:c>
      <x:c r="I392" s="148">
        <x:v>0.33329999999999999</x:v>
      </x:c>
      <x:c r="J392" s="148" t="n">
        <x:f t="shared" si="31">IFERROR(IF(OR(G392="",G392&lt;=0,I392="",D392="",$F$1=""),0,IF($F$1&lt;D392,0,MIN(MAX(G392-1,0),MAX(0,(G392*I392/365)*H392)))),0)</x:f>
        <x:v>247.13510136986298</x:v>
      </x:c>
      <x:c r="K392" s="148" t="n">
        <x:f t="shared" si="32">IFERROR(IF(OR(G392="",G392&lt;=0),0,MAX(1,G392-J392)),0)</x:f>
        <x:v>92.86489863013702</x:v>
      </x:c>
      <x:c r="L392" s="148" t="n">
        <x:f t="shared" si="33">IFERROR(IF(OR(G392="",G392&lt;=0,I392="",D392="",$F$1=""),0,IF($F$1&lt;D392,0,IF(K392&lt;=1,0,MIN(G392*I392/12,K392-1)))),0)</x:f>
        <x:v>9.443499999999998</x:v>
      </x:c>
      <x:c r="M392" s="58" t="s">
        <x:v>18</x:v>
      </x:c>
    </x:row>
    <x:row r="393" ht="19.899999618530273" customHeight="1">
      <x:c r="A393" s="53" t="n">
        <x:f t="shared" ref="A393:A456" si="34">A392+1</x:f>
        <x:v>388</x:v>
      </x:c>
      <x:c r="B393" s="54" t="s">
        <x:v>170</x:v>
      </x:c>
      <x:c r="C393" s="54" t="s">
        <x:v>27</x:v>
      </x:c>
      <x:c r="D393" s="55">
        <x:v>45591</x:v>
      </x:c>
      <x:c r="E393" s="54" t="s">
        <x:v>174</x:v>
      </x:c>
      <x:c r="F393" s="54">
        <x:v>1</x:v>
      </x:c>
      <x:c r="G393" s="148">
        <x:v>1900</x:v>
      </x:c>
      <x:c r="H393" s="148" t="n">
        <x:f t="shared" si="30">IFERROR(IF(OR($F$1="",D393=""),0,MAX(0,$F$1-D393)),0)</x:f>
        <x:v>796</x:v>
      </x:c>
      <x:c r="I393" s="148">
        <x:v>0.33329999999999999</x:v>
      </x:c>
      <x:c r="J393" s="148" t="n">
        <x:f t="shared" si="31">IFERROR(IF(OR(G393="",G393&lt;=0,I393="",D393="",$F$1=""),0,IF($F$1&lt;D393,0,MIN(MAX(G393-1,0),MAX(0,(G393*I393/365)*H393)))),0)</x:f>
        <x:v>1381.0490958904109</x:v>
      </x:c>
      <x:c r="K393" s="148" t="n">
        <x:f t="shared" si="32">IFERROR(IF(OR(G393="",G393&lt;=0),0,MAX(1,G393-J393)),0)</x:f>
        <x:v>518.9509041095891</x:v>
      </x:c>
      <x:c r="L393" s="148" t="n">
        <x:f t="shared" si="33">IFERROR(IF(OR(G393="",G393&lt;=0,I393="",D393="",$F$1=""),0,IF($F$1&lt;D393,0,IF(K393&lt;=1,0,MIN(G393*I393/12,K393-1)))),0)</x:f>
        <x:v>52.7725</x:v>
      </x:c>
      <x:c r="M393" s="58" t="s">
        <x:v>18</x:v>
      </x:c>
    </x:row>
    <x:row r="394" ht="19.899999618530273" customHeight="1">
      <x:c r="A394" s="53">
        <x:f t="shared" si="34"/>
        <x:v>389</x:v>
      </x:c>
      <x:c r="B394" s="54" t="s">
        <x:v>170</x:v>
      </x:c>
      <x:c r="C394" s="54" t="s">
        <x:v>27</x:v>
      </x:c>
      <x:c r="D394" s="55">
        <x:v>45591</x:v>
      </x:c>
      <x:c r="E394" s="54" t="s">
        <x:v>174</x:v>
      </x:c>
      <x:c r="F394" s="54">
        <x:v>1</x:v>
      </x:c>
      <x:c r="G394" s="148">
        <x:v>1900</x:v>
      </x:c>
      <x:c r="H394" s="148" t="n">
        <x:f t="shared" si="30">IFERROR(IF(OR($F$1="",D394=""),0,MAX(0,$F$1-D394)),0)</x:f>
        <x:v>796</x:v>
      </x:c>
      <x:c r="I394" s="148">
        <x:v>0.33329999999999999</x:v>
      </x:c>
      <x:c r="J394" s="148" t="n">
        <x:f t="shared" si="31">IFERROR(IF(OR(G394="",G394&lt;=0,I394="",D394="",$F$1=""),0,IF($F$1&lt;D394,0,MIN(MAX(G394-1,0),MAX(0,(G394*I394/365)*H394)))),0)</x:f>
        <x:v>1381.0490958904109</x:v>
      </x:c>
      <x:c r="K394" s="148" t="n">
        <x:f t="shared" si="32">IFERROR(IF(OR(G394="",G394&lt;=0),0,MAX(1,G394-J394)),0)</x:f>
        <x:v>518.9509041095891</x:v>
      </x:c>
      <x:c r="L394" s="148" t="n">
        <x:f t="shared" si="33">IFERROR(IF(OR(G394="",G394&lt;=0,I394="",D394="",$F$1=""),0,IF($F$1&lt;D394,0,IF(K394&lt;=1,0,MIN(G394*I394/12,K394-1)))),0)</x:f>
        <x:v>52.7725</x:v>
      </x:c>
      <x:c r="M394" s="58" t="s">
        <x:v>18</x:v>
      </x:c>
    </x:row>
    <x:row r="395" ht="19.899999618530273" customHeight="1">
      <x:c r="A395" s="53">
        <x:f t="shared" si="34"/>
        <x:v>390</x:v>
      </x:c>
      <x:c r="B395" s="54" t="s">
        <x:v>170</x:v>
      </x:c>
      <x:c r="C395" s="54" t="s">
        <x:v>27</x:v>
      </x:c>
      <x:c r="D395" s="55">
        <x:v>45591</x:v>
      </x:c>
      <x:c r="E395" s="54" t="s">
        <x:v>168</x:v>
      </x:c>
      <x:c r="F395" s="54">
        <x:v>1</x:v>
      </x:c>
      <x:c r="G395" s="148">
        <x:v>195</x:v>
      </x:c>
      <x:c r="H395" s="148" t="n">
        <x:f t="shared" si="30">IFERROR(IF(OR($F$1="",D395=""),0,MAX(0,$F$1-D395)),0)</x:f>
        <x:v>796</x:v>
      </x:c>
      <x:c r="I395" s="148">
        <x:v>0.33329999999999999</x:v>
      </x:c>
      <x:c r="J395" s="148" t="n">
        <x:f t="shared" si="31">IFERROR(IF(OR(G395="",G395&lt;=0,I395="",D395="",$F$1=""),0,IF($F$1&lt;D395,0,MIN(MAX(G395-1,0),MAX(0,(G395*I395/365)*H395)))),0)</x:f>
        <x:v>141.7392493150685</x:v>
      </x:c>
      <x:c r="K395" s="148" t="n">
        <x:f t="shared" si="32">IFERROR(IF(OR(G395="",G395&lt;=0),0,MAX(1,G395-J395)),0)</x:f>
        <x:v>53.26075068493151</x:v>
      </x:c>
      <x:c r="L395" s="148" t="n">
        <x:f t="shared" si="33">IFERROR(IF(OR(G395="",G395&lt;=0,I395="",D395="",$F$1=""),0,IF($F$1&lt;D395,0,IF(K395&lt;=1,0,MIN(G395*I395/12,K395-1)))),0)</x:f>
        <x:v>5.416125</x:v>
      </x:c>
      <x:c r="M395" s="58" t="s">
        <x:v>18</x:v>
      </x:c>
    </x:row>
    <x:row r="396" ht="19.899999618530273" customHeight="1">
      <x:c r="A396" s="53">
        <x:f t="shared" si="34"/>
        <x:v>391</x:v>
      </x:c>
      <x:c r="B396" s="54" t="s">
        <x:v>170</x:v>
      </x:c>
      <x:c r="C396" s="54" t="s">
        <x:v>27</x:v>
      </x:c>
      <x:c r="D396" s="55">
        <x:v>45591</x:v>
      </x:c>
      <x:c r="E396" s="54" t="s">
        <x:v>122</x:v>
      </x:c>
      <x:c r="F396" s="54">
        <x:v>1</x:v>
      </x:c>
      <x:c r="G396" s="148">
        <x:v>750</x:v>
      </x:c>
      <x:c r="H396" s="148" t="n">
        <x:f t="shared" si="30">IFERROR(IF(OR($F$1="",D396=""),0,MAX(0,$F$1-D396)),0)</x:f>
        <x:v>796</x:v>
      </x:c>
      <x:c r="I396" s="148">
        <x:v>0.33329999999999999</x:v>
      </x:c>
      <x:c r="J396" s="148" t="n">
        <x:f t="shared" si="31">IFERROR(IF(OR(G396="",G396&lt;=0,I396="",D396="",$F$1=""),0,IF($F$1&lt;D396,0,MIN(MAX(G396-1,0),MAX(0,(G396*I396/365)*H396)))),0)</x:f>
        <x:v>545.1509589041095</x:v>
      </x:c>
      <x:c r="K396" s="148" t="n">
        <x:f t="shared" si="32">IFERROR(IF(OR(G396="",G396&lt;=0),0,MAX(1,G396-J396)),0)</x:f>
        <x:v>204.84904109589047</x:v>
      </x:c>
      <x:c r="L396" s="148" t="n">
        <x:f t="shared" si="33">IFERROR(IF(OR(G396="",G396&lt;=0,I396="",D396="",$F$1=""),0,IF($F$1&lt;D396,0,IF(K396&lt;=1,0,MIN(G396*I396/12,K396-1)))),0)</x:f>
        <x:v>20.83125</x:v>
      </x:c>
      <x:c r="M396" s="58" t="s">
        <x:v>18</x:v>
      </x:c>
    </x:row>
    <x:row r="397" ht="19.899999618530273" customHeight="1">
      <x:c r="A397" s="53">
        <x:f t="shared" si="34"/>
        <x:v>392</x:v>
      </x:c>
      <x:c r="B397" s="54" t="s">
        <x:v>19</x:v>
      </x:c>
      <x:c r="C397" s="54" t="s">
        <x:v>150</x:v>
      </x:c>
      <x:c r="D397" s="55">
        <x:v>45250</x:v>
      </x:c>
      <x:c r="E397" s="54" t="s">
        <x:v>175</x:v>
      </x:c>
      <x:c r="F397" s="54">
        <x:v>1</x:v>
      </x:c>
      <x:c r="G397" s="148">
        <x:v>934.79</x:v>
      </x:c>
      <x:c r="H397" s="148" t="n">
        <x:f t="shared" si="30">IFERROR(IF(OR($F$1="",D397=""),0,MAX(0,$F$1-D397)),0)</x:f>
        <x:v>1137</x:v>
      </x:c>
      <x:c r="I397" s="148">
        <x:v>0.2</x:v>
      </x:c>
      <x:c r="J397" s="148" t="n">
        <x:f t="shared" si="31">IFERROR(IF(OR(G397="",G397&lt;=0,I397="",D397="",$F$1=""),0,IF($F$1&lt;D397,0,MIN(MAX(G397-1,0),MAX(0,(G397*I397/365)*H397)))),0)</x:f>
        <x:v>582.3869753424658</x:v>
      </x:c>
      <x:c r="K397" s="148" t="n">
        <x:f t="shared" si="32">IFERROR(IF(OR(G397="",G397&lt;=0),0,MAX(1,G397-J397)),0)</x:f>
        <x:v>352.40302465753416</x:v>
      </x:c>
      <x:c r="L397" s="148" t="n">
        <x:f t="shared" si="33">IFERROR(IF(OR(G397="",G397&lt;=0,I397="",D397="",$F$1=""),0,IF($F$1&lt;D397,0,IF(K397&lt;=1,0,MIN(G397*I397/12,K397-1)))),0)</x:f>
        <x:v>15.579833333333333</x:v>
      </x:c>
      <x:c r="M397" s="58" t="s">
        <x:v>18</x:v>
      </x:c>
    </x:row>
    <x:row r="398" ht="19.899999618530273" customHeight="1">
      <x:c r="A398" s="53">
        <x:f t="shared" si="34"/>
        <x:v>393</x:v>
      </x:c>
      <x:c r="B398" s="54" t="s">
        <x:v>19</x:v>
      </x:c>
      <x:c r="C398" s="54" t="s">
        <x:v>150</x:v>
      </x:c>
      <x:c r="D398" s="55">
        <x:v>45250</x:v>
      </x:c>
      <x:c r="E398" s="54" t="s">
        <x:v>175</x:v>
      </x:c>
      <x:c r="F398" s="54">
        <x:v>1</x:v>
      </x:c>
      <x:c r="G398" s="148">
        <x:v>934.79</x:v>
      </x:c>
      <x:c r="H398" s="148" t="n">
        <x:f t="shared" si="30">IFERROR(IF(OR($F$1="",D398=""),0,MAX(0,$F$1-D398)),0)</x:f>
        <x:v>1137</x:v>
      </x:c>
      <x:c r="I398" s="148">
        <x:v>0.2</x:v>
      </x:c>
      <x:c r="J398" s="148" t="n">
        <x:f t="shared" si="31">IFERROR(IF(OR(G398="",G398&lt;=0,I398="",D398="",$F$1=""),0,IF($F$1&lt;D398,0,MIN(MAX(G398-1,0),MAX(0,(G398*I398/365)*H398)))),0)</x:f>
        <x:v>582.3869753424658</x:v>
      </x:c>
      <x:c r="K398" s="148" t="n">
        <x:f t="shared" si="32">IFERROR(IF(OR(G398="",G398&lt;=0),0,MAX(1,G398-J398)),0)</x:f>
        <x:v>352.40302465753416</x:v>
      </x:c>
      <x:c r="L398" s="148" t="n">
        <x:f t="shared" si="33">IFERROR(IF(OR(G398="",G398&lt;=0,I398="",D398="",$F$1=""),0,IF($F$1&lt;D398,0,IF(K398&lt;=1,0,MIN(G398*I398/12,K398-1)))),0)</x:f>
        <x:v>15.579833333333333</x:v>
      </x:c>
      <x:c r="M398" s="58" t="s">
        <x:v>18</x:v>
      </x:c>
    </x:row>
    <x:row r="399" ht="19.899999618530273" customHeight="1">
      <x:c r="A399" s="53">
        <x:f t="shared" si="34"/>
        <x:v>394</x:v>
      </x:c>
      <x:c r="B399" s="54" t="s">
        <x:v>19</x:v>
      </x:c>
      <x:c r="C399" s="54" t="s">
        <x:v>150</x:v>
      </x:c>
      <x:c r="D399" s="55">
        <x:v>45250</x:v>
      </x:c>
      <x:c r="E399" s="54" t="s">
        <x:v>175</x:v>
      </x:c>
      <x:c r="F399" s="54">
        <x:v>1</x:v>
      </x:c>
      <x:c r="G399" s="148">
        <x:v>934.79</x:v>
      </x:c>
      <x:c r="H399" s="148" t="n">
        <x:f t="shared" si="30">IFERROR(IF(OR($F$1="",D399=""),0,MAX(0,$F$1-D399)),0)</x:f>
        <x:v>1137</x:v>
      </x:c>
      <x:c r="I399" s="148">
        <x:v>0.2</x:v>
      </x:c>
      <x:c r="J399" s="148" t="n">
        <x:f t="shared" si="31">IFERROR(IF(OR(G399="",G399&lt;=0,I399="",D399="",$F$1=""),0,IF($F$1&lt;D399,0,MIN(MAX(G399-1,0),MAX(0,(G399*I399/365)*H399)))),0)</x:f>
        <x:v>582.3869753424658</x:v>
      </x:c>
      <x:c r="K399" s="148" t="n">
        <x:f t="shared" si="32">IFERROR(IF(OR(G399="",G399&lt;=0),0,MAX(1,G399-J399)),0)</x:f>
        <x:v>352.40302465753416</x:v>
      </x:c>
      <x:c r="L399" s="148" t="n">
        <x:f t="shared" si="33">IFERROR(IF(OR(G399="",G399&lt;=0,I399="",D399="",$F$1=""),0,IF($F$1&lt;D399,0,IF(K399&lt;=1,0,MIN(G399*I399/12,K399-1)))),0)</x:f>
        <x:v>15.579833333333333</x:v>
      </x:c>
      <x:c r="M399" s="58" t="s">
        <x:v>18</x:v>
      </x:c>
    </x:row>
    <x:row r="400" ht="19.899999618530273" customHeight="1">
      <x:c r="A400" s="53">
        <x:f t="shared" si="34"/>
        <x:v>395</x:v>
      </x:c>
      <x:c r="B400" s="54" t="s">
        <x:v>19</x:v>
      </x:c>
      <x:c r="C400" s="54" t="s">
        <x:v>150</x:v>
      </x:c>
      <x:c r="D400" s="55">
        <x:v>45250</x:v>
      </x:c>
      <x:c r="E400" s="54" t="s">
        <x:v>175</x:v>
      </x:c>
      <x:c r="F400" s="54">
        <x:v>1</x:v>
      </x:c>
      <x:c r="G400" s="148">
        <x:v>934.79</x:v>
      </x:c>
      <x:c r="H400" s="148" t="n">
        <x:f t="shared" si="30">IFERROR(IF(OR($F$1="",D400=""),0,MAX(0,$F$1-D400)),0)</x:f>
        <x:v>1137</x:v>
      </x:c>
      <x:c r="I400" s="148">
        <x:v>0.2</x:v>
      </x:c>
      <x:c r="J400" s="148" t="n">
        <x:f t="shared" si="31">IFERROR(IF(OR(G400="",G400&lt;=0,I400="",D400="",$F$1=""),0,IF($F$1&lt;D400,0,MIN(MAX(G400-1,0),MAX(0,(G400*I400/365)*H400)))),0)</x:f>
        <x:v>582.3869753424658</x:v>
      </x:c>
      <x:c r="K400" s="148" t="n">
        <x:f t="shared" si="32">IFERROR(IF(OR(G400="",G400&lt;=0),0,MAX(1,G400-J400)),0)</x:f>
        <x:v>352.40302465753416</x:v>
      </x:c>
      <x:c r="L400" s="148" t="n">
        <x:f t="shared" si="33">IFERROR(IF(OR(G400="",G400&lt;=0,I400="",D400="",$F$1=""),0,IF($F$1&lt;D400,0,IF(K400&lt;=1,0,MIN(G400*I400/12,K400-1)))),0)</x:f>
        <x:v>15.579833333333333</x:v>
      </x:c>
      <x:c r="M400" s="58" t="s">
        <x:v>18</x:v>
      </x:c>
    </x:row>
    <x:row r="401" ht="19.899999618530273" customHeight="1">
      <x:c r="A401" s="53">
        <x:f t="shared" si="34"/>
        <x:v>396</x:v>
      </x:c>
      <x:c r="B401" s="54" t="s">
        <x:v>19</x:v>
      </x:c>
      <x:c r="C401" s="54" t="s">
        <x:v>150</x:v>
      </x:c>
      <x:c r="D401" s="55">
        <x:v>45250</x:v>
      </x:c>
      <x:c r="E401" s="54" t="s">
        <x:v>176</x:v>
      </x:c>
      <x:c r="F401" s="54">
        <x:v>1</x:v>
      </x:c>
      <x:c r="G401" s="148">
        <x:v>1043.48</x:v>
      </x:c>
      <x:c r="H401" s="148" t="n">
        <x:f t="shared" si="30">IFERROR(IF(OR($F$1="",D401=""),0,MAX(0,$F$1-D401)),0)</x:f>
        <x:v>1137</x:v>
      </x:c>
      <x:c r="I401" s="148">
        <x:v>0.2</x:v>
      </x:c>
      <x:c r="J401" s="148" t="n">
        <x:f t="shared" si="31">IFERROR(IF(OR(G401="",G401&lt;=0,I401="",D401="",$F$1=""),0,IF($F$1&lt;D401,0,MIN(MAX(G401-1,0),MAX(0,(G401*I401/365)*H401)))),0)</x:f>
        <x:v>650.1023342465754</x:v>
      </x:c>
      <x:c r="K401" s="148" t="n">
        <x:f t="shared" si="32">IFERROR(IF(OR(G401="",G401&lt;=0),0,MAX(1,G401-J401)),0)</x:f>
        <x:v>393.3776657534246</x:v>
      </x:c>
      <x:c r="L401" s="148" t="n">
        <x:f t="shared" si="33">IFERROR(IF(OR(G401="",G401&lt;=0,I401="",D401="",$F$1=""),0,IF($F$1&lt;D401,0,IF(K401&lt;=1,0,MIN(G401*I401/12,K401-1)))),0)</x:f>
        <x:v>17.391333333333336</x:v>
      </x:c>
      <x:c r="M401" s="58" t="s">
        <x:v>18</x:v>
      </x:c>
    </x:row>
    <x:row r="402" ht="19.899999618530273" customHeight="1">
      <x:c r="A402" s="53">
        <x:f t="shared" si="34"/>
        <x:v>397</x:v>
      </x:c>
      <x:c r="B402" s="54" t="s">
        <x:v>19</x:v>
      </x:c>
      <x:c r="C402" s="54" t="s">
        <x:v>150</x:v>
      </x:c>
      <x:c r="D402" s="55">
        <x:v>45250</x:v>
      </x:c>
      <x:c r="E402" s="54" t="s">
        <x:v>177</x:v>
      </x:c>
      <x:c r="F402" s="54">
        <x:v>1</x:v>
      </x:c>
      <x:c r="G402" s="148">
        <x:v>695.66</x:v>
      </x:c>
      <x:c r="H402" s="148" t="n">
        <x:f t="shared" si="30">IFERROR(IF(OR($F$1="",D402=""),0,MAX(0,$F$1-D402)),0)</x:f>
        <x:v>1137</x:v>
      </x:c>
      <x:c r="I402" s="148">
        <x:v>0.2</x:v>
      </x:c>
      <x:c r="J402" s="148" t="n">
        <x:f t="shared" si="31">IFERROR(IF(OR(G402="",G402&lt;=0,I402="",D402="",$F$1=""),0,IF($F$1&lt;D402,0,MIN(MAX(G402-1,0),MAX(0,(G402*I402/365)*H402)))),0)</x:f>
        <x:v>433.4057095890411</x:v>
      </x:c>
      <x:c r="K402" s="148" t="n">
        <x:f t="shared" si="32">IFERROR(IF(OR(G402="",G402&lt;=0),0,MAX(1,G402-J402)),0)</x:f>
        <x:v>262.25429041095884</x:v>
      </x:c>
      <x:c r="L402" s="148" t="n">
        <x:f t="shared" si="33">IFERROR(IF(OR(G402="",G402&lt;=0,I402="",D402="",$F$1=""),0,IF($F$1&lt;D402,0,IF(K402&lt;=1,0,MIN(G402*I402/12,K402-1)))),0)</x:f>
        <x:v>11.594333333333333</x:v>
      </x:c>
      <x:c r="M402" s="58" t="s">
        <x:v>18</x:v>
      </x:c>
    </x:row>
    <x:row r="403" ht="19.899999618530273" customHeight="1">
      <x:c r="A403" s="53">
        <x:f t="shared" si="34"/>
        <x:v>398</x:v>
      </x:c>
      <x:c r="B403" s="54" t="s">
        <x:v>19</x:v>
      </x:c>
      <x:c r="C403" s="54" t="s">
        <x:v>150</x:v>
      </x:c>
      <x:c r="D403" s="55">
        <x:v>45250</x:v>
      </x:c>
      <x:c r="E403" s="54" t="s">
        <x:v>178</x:v>
      </x:c>
      <x:c r="F403" s="54">
        <x:v>1</x:v>
      </x:c>
      <x:c r="G403" s="148">
        <x:v>1113.05</x:v>
      </x:c>
      <x:c r="H403" s="148" t="n">
        <x:f t="shared" si="30">IFERROR(IF(OR($F$1="",D403=""),0,MAX(0,$F$1-D403)),0)</x:f>
        <x:v>1137</x:v>
      </x:c>
      <x:c r="I403" s="148">
        <x:v>0.2</x:v>
      </x:c>
      <x:c r="J403" s="148" t="n">
        <x:f t="shared" si="31">IFERROR(IF(OR(G403="",G403&lt;=0,I403="",D403="",$F$1=""),0,IF($F$1&lt;D403,0,MIN(MAX(G403-1,0),MAX(0,(G403*I403/365)*H403)))),0)</x:f>
        <x:v>693.445397260274</x:v>
      </x:c>
      <x:c r="K403" s="148" t="n">
        <x:f t="shared" si="32">IFERROR(IF(OR(G403="",G403&lt;=0),0,MAX(1,G403-J403)),0)</x:f>
        <x:v>419.6046027397259</x:v>
      </x:c>
      <x:c r="L403" s="148" t="n">
        <x:f t="shared" si="33">IFERROR(IF(OR(G403="",G403&lt;=0,I403="",D403="",$F$1=""),0,IF($F$1&lt;D403,0,IF(K403&lt;=1,0,MIN(G403*I403/12,K403-1)))),0)</x:f>
        <x:v>18.550833333333333</x:v>
      </x:c>
      <x:c r="M403" s="58" t="s">
        <x:v>18</x:v>
      </x:c>
    </x:row>
    <x:row r="404" ht="19.899999618530273" customHeight="1">
      <x:c r="A404" s="53">
        <x:f t="shared" si="34"/>
        <x:v>399</x:v>
      </x:c>
      <x:c r="B404" s="54" t="s">
        <x:v>19</x:v>
      </x:c>
      <x:c r="C404" s="54" t="s">
        <x:v>150</x:v>
      </x:c>
      <x:c r="D404" s="55">
        <x:v>45250</x:v>
      </x:c>
      <x:c r="E404" s="54" t="s">
        <x:v>179</x:v>
      </x:c>
      <x:c r="F404" s="54">
        <x:v>1</x:v>
      </x:c>
      <x:c r="G404" s="148">
        <x:v>582.61</x:v>
      </x:c>
      <x:c r="H404" s="148" t="n">
        <x:f t="shared" si="30">IFERROR(IF(OR($F$1="",D404=""),0,MAX(0,$F$1-D404)),0)</x:f>
        <x:v>1137</x:v>
      </x:c>
      <x:c r="I404" s="148">
        <x:v>0.2</x:v>
      </x:c>
      <x:c r="J404" s="148" t="n">
        <x:f t="shared" si="31">IFERROR(IF(OR(G404="",G404&lt;=0,I404="",D404="",$F$1=""),0,IF($F$1&lt;D404,0,MIN(MAX(G404-1,0),MAX(0,(G404*I404/365)*H404)))),0)</x:f>
        <x:v>362.9740109589041</x:v>
      </x:c>
      <x:c r="K404" s="148" t="n">
        <x:f t="shared" si="32">IFERROR(IF(OR(G404="",G404&lt;=0),0,MAX(1,G404-J404)),0)</x:f>
        <x:v>219.6359890410959</x:v>
      </x:c>
      <x:c r="L404" s="148" t="n">
        <x:f t="shared" si="33">IFERROR(IF(OR(G404="",G404&lt;=0,I404="",D404="",$F$1=""),0,IF($F$1&lt;D404,0,IF(K404&lt;=1,0,MIN(G404*I404/12,K404-1)))),0)</x:f>
        <x:v>9.710166666666668</x:v>
      </x:c>
      <x:c r="M404" s="58" t="s">
        <x:v>18</x:v>
      </x:c>
    </x:row>
    <x:row r="405" ht="19.899999618530273" customHeight="1">
      <x:c r="A405" s="53">
        <x:f t="shared" si="34"/>
        <x:v>400</x:v>
      </x:c>
      <x:c r="B405" s="54" t="s">
        <x:v>19</x:v>
      </x:c>
      <x:c r="C405" s="54" t="s">
        <x:v>180</x:v>
      </x:c>
      <x:c r="D405" s="55">
        <x:v>45283</x:v>
      </x:c>
      <x:c r="E405" s="54" t="s">
        <x:v>181</x:v>
      </x:c>
      <x:c r="F405" s="54">
        <x:v>1</x:v>
      </x:c>
      <x:c r="G405" s="148">
        <x:v>186000</x:v>
      </x:c>
      <x:c r="H405" s="148" t="n">
        <x:f t="shared" si="30">IFERROR(IF(OR($F$1="",D405=""),0,MAX(0,$F$1-D405)),0)</x:f>
        <x:v>1104</x:v>
      </x:c>
      <x:c r="I405" s="148">
        <x:v>0.2</x:v>
      </x:c>
      <x:c r="J405" s="148" t="n">
        <x:f t="shared" si="31">IFERROR(IF(OR(G405="",G405&lt;=0,I405="",D405="",$F$1=""),0,IF($F$1&lt;D405,0,MIN(MAX(G405-1,0),MAX(0,(G405*I405/365)*H405)))),0)</x:f>
        <x:v>112517.2602739726</x:v>
      </x:c>
      <x:c r="K405" s="148" t="n">
        <x:f t="shared" si="32">IFERROR(IF(OR(G405="",G405&lt;=0),0,MAX(1,G405-J405)),0)</x:f>
        <x:v>73482.7397260274</x:v>
      </x:c>
      <x:c r="L405" s="148" t="n">
        <x:f t="shared" si="33">IFERROR(IF(OR(G405="",G405&lt;=0,I405="",D405="",$F$1=""),0,IF($F$1&lt;D405,0,IF(K405&lt;=1,0,MIN(G405*I405/12,K405-1)))),0)</x:f>
        <x:v>3100</x:v>
      </x:c>
      <x:c r="M405" s="58" t="s">
        <x:v>18</x:v>
      </x:c>
    </x:row>
    <x:row r="406" ht="19.899999618530273" customHeight="1">
      <x:c r="A406" s="53">
        <x:f t="shared" si="34"/>
        <x:v>401</x:v>
      </x:c>
      <x:c r="B406" s="54" t="s">
        <x:v>19</x:v>
      </x:c>
      <x:c r="C406" s="54" t="s">
        <x:v>180</x:v>
      </x:c>
      <x:c r="D406" s="55">
        <x:v>45261</x:v>
      </x:c>
      <x:c r="E406" s="54" t="s">
        <x:v>182</x:v>
      </x:c>
      <x:c r="F406" s="54">
        <x:v>1</x:v>
      </x:c>
      <x:c r="G406" s="148">
        <x:v>51260.87</x:v>
      </x:c>
      <x:c r="H406" s="148" t="n">
        <x:f t="shared" si="30">IFERROR(IF(OR($F$1="",D406=""),0,MAX(0,$F$1-D406)),0)</x:f>
        <x:v>1126</x:v>
      </x:c>
      <x:c r="I406" s="148">
        <x:v>0.2</x:v>
      </x:c>
      <x:c r="J406" s="148" t="n">
        <x:f t="shared" si="31">IFERROR(IF(OR(G406="",G406&lt;=0,I406="",D406="",$F$1=""),0,IF($F$1&lt;D406,0,MIN(MAX(G406-1,0),MAX(0,(G406*I406/365)*H406)))),0)</x:f>
        <x:v>31627.254586301373</x:v>
      </x:c>
      <x:c r="K406" s="148" t="n">
        <x:f t="shared" si="32">IFERROR(IF(OR(G406="",G406&lt;=0),0,MAX(1,G406-J406)),0)</x:f>
        <x:v>19633.61541369863</x:v>
      </x:c>
      <x:c r="L406" s="148" t="n">
        <x:f t="shared" si="33">IFERROR(IF(OR(G406="",G406&lt;=0,I406="",D406="",$F$1=""),0,IF($F$1&lt;D406,0,IF(K406&lt;=1,0,MIN(G406*I406/12,K406-1)))),0)</x:f>
        <x:v>854.3478333333334</x:v>
      </x:c>
      <x:c r="M406" s="58" t="s">
        <x:v>18</x:v>
      </x:c>
    </x:row>
    <x:row r="407" ht="19.899999618530273" customHeight="1">
      <x:c r="A407" s="53">
        <x:f t="shared" si="34"/>
        <x:v>402</x:v>
      </x:c>
      <x:c r="B407" s="54" t="s">
        <x:v>19</x:v>
      </x:c>
      <x:c r="C407" s="54" t="s">
        <x:v>180</x:v>
      </x:c>
      <x:c r="D407" s="55">
        <x:v>45261</x:v>
      </x:c>
      <x:c r="E407" s="54" t="s">
        <x:v>183</x:v>
      </x:c>
      <x:c r="F407" s="54">
        <x:v>1</x:v>
      </x:c>
      <x:c r="G407" s="148">
        <x:v>51547.83</x:v>
      </x:c>
      <x:c r="H407" s="148" t="n">
        <x:f t="shared" si="30">IFERROR(IF(OR($F$1="",D407=""),0,MAX(0,$F$1-D407)),0)</x:f>
        <x:v>1126</x:v>
      </x:c>
      <x:c r="I407" s="148">
        <x:v>0.2</x:v>
      </x:c>
      <x:c r="J407" s="148" t="n">
        <x:f t="shared" si="31">IFERROR(IF(OR(G407="",G407&lt;=0,I407="",D407="",$F$1=""),0,IF($F$1&lt;D407,0,MIN(MAX(G407-1,0),MAX(0,(G407*I407/365)*H407)))),0)</x:f>
        <x:v>31804.304975342468</x:v>
      </x:c>
      <x:c r="K407" s="148" t="n">
        <x:f t="shared" si="32">IFERROR(IF(OR(G407="",G407&lt;=0),0,MAX(1,G407-J407)),0)</x:f>
        <x:v>19743.525024657534</x:v>
      </x:c>
      <x:c r="L407" s="148" t="n">
        <x:f t="shared" si="33">IFERROR(IF(OR(G407="",G407&lt;=0,I407="",D407="",$F$1=""),0,IF($F$1&lt;D407,0,IF(K407&lt;=1,0,MIN(G407*I407/12,K407-1)))),0)</x:f>
        <x:v>859.1305000000001</x:v>
      </x:c>
      <x:c r="M407" s="58" t="s">
        <x:v>18</x:v>
      </x:c>
    </x:row>
    <x:row r="408" ht="19.899999618530273" customHeight="1">
      <x:c r="A408" s="53">
        <x:f t="shared" si="34"/>
        <x:v>403</x:v>
      </x:c>
      <x:c r="B408" s="54" t="s">
        <x:v>19</x:v>
      </x:c>
      <x:c r="C408" s="54" t="s">
        <x:v>180</x:v>
      </x:c>
      <x:c r="D408" s="55">
        <x:v>45261</x:v>
      </x:c>
      <x:c r="E408" s="54" t="s">
        <x:v>184</x:v>
      </x:c>
      <x:c r="F408" s="54">
        <x:v>1</x:v>
      </x:c>
      <x:c r="G408" s="148">
        <x:v>53478.26</x:v>
      </x:c>
      <x:c r="H408" s="148" t="n">
        <x:f t="shared" si="30">IFERROR(IF(OR($F$1="",D408=""),0,MAX(0,$F$1-D408)),0)</x:f>
        <x:v>1126</x:v>
      </x:c>
      <x:c r="I408" s="148">
        <x:v>0.2</x:v>
      </x:c>
      <x:c r="J408" s="148" t="n">
        <x:f t="shared" si="31">IFERROR(IF(OR(G408="",G408&lt;=0,I408="",D408="",$F$1=""),0,IF($F$1&lt;D408,0,MIN(MAX(G408-1,0),MAX(0,(G408*I408/365)*H408)))),0)</x:f>
        <x:v>32995.35384109589</x:v>
      </x:c>
      <x:c r="K408" s="148" t="n">
        <x:f t="shared" si="32">IFERROR(IF(OR(G408="",G408&lt;=0),0,MAX(1,G408-J408)),0)</x:f>
        <x:v>20482.90615890411</x:v>
      </x:c>
      <x:c r="L408" s="148" t="n">
        <x:f t="shared" si="33">IFERROR(IF(OR(G408="",G408&lt;=0,I408="",D408="",$F$1=""),0,IF($F$1&lt;D408,0,IF(K408&lt;=1,0,MIN(G408*I408/12,K408-1)))),0)</x:f>
        <x:v>891.3043333333335</x:v>
      </x:c>
      <x:c r="M408" s="58" t="s">
        <x:v>18</x:v>
      </x:c>
    </x:row>
    <x:row r="409" ht="19.899999618530273" customHeight="1">
      <x:c r="A409" s="53">
        <x:f t="shared" si="34"/>
        <x:v>404</x:v>
      </x:c>
      <x:c r="B409" s="54" t="s">
        <x:v>19</x:v>
      </x:c>
      <x:c r="C409" s="54" t="s">
        <x:v>180</x:v>
      </x:c>
      <x:c r="D409" s="55">
        <x:v>45535</x:v>
      </x:c>
      <x:c r="E409" s="54" t="s">
        <x:v>185</x:v>
      </x:c>
      <x:c r="F409" s="54">
        <x:v>1</x:v>
      </x:c>
      <x:c r="G409" s="148">
        <x:v>162608.70000000001</x:v>
      </x:c>
      <x:c r="H409" s="148" t="n">
        <x:f t="shared" si="30">IFERROR(IF(OR($F$1="",D409=""),0,MAX(0,$F$1-D409)),0)</x:f>
        <x:v>852</x:v>
      </x:c>
      <x:c r="I409" s="148">
        <x:v>0.2</x:v>
      </x:c>
      <x:c r="J409" s="148" t="n">
        <x:f t="shared" si="31">IFERROR(IF(OR(G409="",G409&lt;=0,I409="",D409="",$F$1=""),0,IF($F$1&lt;D409,0,MIN(MAX(G409-1,0),MAX(0,(G409*I409/365)*H409)))),0)</x:f>
        <x:v>75913.7602191781</x:v>
      </x:c>
      <x:c r="K409" s="148" t="n">
        <x:f t="shared" si="32">IFERROR(IF(OR(G409="",G409&lt;=0),0,MAX(1,G409-J409)),0)</x:f>
        <x:v>86694.93978082191</x:v>
      </x:c>
      <x:c r="L409" s="148" t="n">
        <x:f t="shared" si="33">IFERROR(IF(OR(G409="",G409&lt;=0,I409="",D409="",$F$1=""),0,IF($F$1&lt;D409,0,IF(K409&lt;=1,0,MIN(G409*I409/12,K409-1)))),0)</x:f>
        <x:v>2710.1450000000004</x:v>
      </x:c>
      <x:c r="M409" s="58" t="s">
        <x:v>18</x:v>
      </x:c>
    </x:row>
    <x:row r="410" ht="19.899999618530273" customHeight="1">
      <x:c r="A410" s="53">
        <x:f t="shared" si="34"/>
        <x:v>405</x:v>
      </x:c>
      <x:c r="B410" s="54" t="s">
        <x:v>19</x:v>
      </x:c>
      <x:c r="C410" s="54" t="s">
        <x:v>180</x:v>
      </x:c>
      <x:c r="D410" s="55">
        <x:v>45748</x:v>
      </x:c>
      <x:c r="E410" s="54" t="s">
        <x:v>186</x:v>
      </x:c>
      <x:c r="F410" s="54">
        <x:v>1</x:v>
      </x:c>
      <x:c r="G410" s="148">
        <x:v>136721.74</x:v>
      </x:c>
      <x:c r="H410" s="148" t="n">
        <x:f t="shared" si="30">IFERROR(IF(OR($F$1="",D410=""),0,MAX(0,$F$1-D410)),0)</x:f>
        <x:v>639</x:v>
      </x:c>
      <x:c r="I410" s="148">
        <x:v>0.2</x:v>
      </x:c>
      <x:c r="J410" s="148" t="n">
        <x:f t="shared" si="31">IFERROR(IF(OR(G410="",G410&lt;=0,I410="",D410="",$F$1=""),0,IF($F$1&lt;D410,0,MIN(MAX(G410-1,0),MAX(0,(G410*I410/365)*H410)))),0)</x:f>
        <x:v>47871.33800547945</x:v>
      </x:c>
      <x:c r="K410" s="148" t="n">
        <x:f t="shared" si="32">IFERROR(IF(OR(G410="",G410&lt;=0),0,MAX(1,G410-J410)),0)</x:f>
        <x:v>88850.40199452054</x:v>
      </x:c>
      <x:c r="L410" s="148" t="n">
        <x:f t="shared" si="33">IFERROR(IF(OR(G410="",G410&lt;=0,I410="",D410="",$F$1=""),0,IF($F$1&lt;D410,0,IF(K410&lt;=1,0,MIN(G410*I410/12,K410-1)))),0)</x:f>
        <x:v>2278.6956666666665</x:v>
      </x:c>
      <x:c r="M410" s="58" t="s">
        <x:v>18</x:v>
      </x:c>
    </x:row>
    <x:row r="411" ht="19.899999618530273" customHeight="1">
      <x:c r="A411" s="53">
        <x:f t="shared" si="34"/>
        <x:v>406</x:v>
      </x:c>
      <x:c r="B411" s="54" t="s">
        <x:v>19</x:v>
      </x:c>
      <x:c r="C411" s="54" t="s">
        <x:v>180</x:v>
      </x:c>
      <x:c r="D411" s="55">
        <x:v>45769</x:v>
      </x:c>
      <x:c r="E411" s="54" t="s">
        <x:v>187</x:v>
      </x:c>
      <x:c r="F411" s="54">
        <x:v>1</x:v>
      </x:c>
      <x:c r="G411" s="148">
        <x:v>42434.78</x:v>
      </x:c>
      <x:c r="H411" s="148" t="n">
        <x:f t="shared" si="30">IFERROR(IF(OR($F$1="",D411=""),0,MAX(0,$F$1-D411)),0)</x:f>
        <x:v>618</x:v>
      </x:c>
      <x:c r="I411" s="148">
        <x:v>0.2</x:v>
      </x:c>
      <x:c r="J411" s="148" t="n">
        <x:f t="shared" si="31">IFERROR(IF(OR(G411="",G411&lt;=0,I411="",D411="",$F$1=""),0,IF($F$1&lt;D411,0,MIN(MAX(G411-1,0),MAX(0,(G411*I411/365)*H411)))),0)</x:f>
        <x:v>14369.69536438356</x:v>
      </x:c>
      <x:c r="K411" s="148" t="n">
        <x:f t="shared" si="32">IFERROR(IF(OR(G411="",G411&lt;=0),0,MAX(1,G411-J411)),0)</x:f>
        <x:v>28065.08463561644</x:v>
      </x:c>
      <x:c r="L411" s="148" t="n">
        <x:f t="shared" si="33">IFERROR(IF(OR(G411="",G411&lt;=0,I411="",D411="",$F$1=""),0,IF($F$1&lt;D411,0,IF(K411&lt;=1,0,MIN(G411*I411/12,K411-1)))),0)</x:f>
        <x:v>707.2463333333334</x:v>
      </x:c>
      <x:c r="M411" s="58" t="s">
        <x:v>18</x:v>
      </x:c>
    </x:row>
    <x:row r="412" ht="19.899999618530273" customHeight="1">
      <x:c r="A412" s="53">
        <x:f t="shared" si="34"/>
        <x:v>407</x:v>
      </x:c>
      <x:c r="B412" s="54" t="s">
        <x:v>19</x:v>
      </x:c>
      <x:c r="C412" s="54" t="s">
        <x:v>180</x:v>
      </x:c>
      <x:c r="D412" s="55">
        <x:v>45788</x:v>
      </x:c>
      <x:c r="E412" s="54" t="s">
        <x:v>188</x:v>
      </x:c>
      <x:c r="F412" s="54">
        <x:v>1</x:v>
      </x:c>
      <x:c r="G412" s="148">
        <x:v>42434.78</x:v>
      </x:c>
      <x:c r="H412" s="148" t="n">
        <x:f t="shared" si="30">IFERROR(IF(OR($F$1="",D412=""),0,MAX(0,$F$1-D412)),0)</x:f>
        <x:v>599</x:v>
      </x:c>
      <x:c r="I412" s="148">
        <x:v>0.2</x:v>
      </x:c>
      <x:c r="J412" s="148" t="n">
        <x:f t="shared" si="31">IFERROR(IF(OR(G412="",G412&lt;=0,I412="",D412="",$F$1=""),0,IF($F$1&lt;D412,0,MIN(MAX(G412-1,0),MAX(0,(G412*I412/365)*H412)))),0)</x:f>
        <x:v>13927.90861369863</x:v>
      </x:c>
      <x:c r="K412" s="148" t="n">
        <x:f t="shared" si="32">IFERROR(IF(OR(G412="",G412&lt;=0),0,MAX(1,G412-J412)),0)</x:f>
        <x:v>28506.87138630137</x:v>
      </x:c>
      <x:c r="L412" s="148" t="n">
        <x:f t="shared" si="33">IFERROR(IF(OR(G412="",G412&lt;=0,I412="",D412="",$F$1=""),0,IF($F$1&lt;D412,0,IF(K412&lt;=1,0,MIN(G412*I412/12,K412-1)))),0)</x:f>
        <x:v>707.2463333333334</x:v>
      </x:c>
      <x:c r="M412" s="58" t="s">
        <x:v>18</x:v>
      </x:c>
    </x:row>
    <x:row r="413" ht="19.899999618530273" customHeight="1">
      <x:c r="A413" s="53">
        <x:f t="shared" si="34"/>
        <x:v>408</x:v>
      </x:c>
      <x:c r="B413" s="54" t="s">
        <x:v>19</x:v>
      </x:c>
      <x:c r="C413" s="54" t="s">
        <x:v>189</x:v>
      </x:c>
      <x:c r="D413" s="55">
        <x:v>45865</x:v>
      </x:c>
      <x:c r="E413" s="54" t="s">
        <x:v>190</x:v>
      </x:c>
      <x:c r="F413" s="54">
        <x:v>1</x:v>
      </x:c>
      <x:c r="G413" s="148">
        <x:v>450</x:v>
      </x:c>
      <x:c r="H413" s="148" t="n">
        <x:f t="shared" si="30">IFERROR(IF(OR($F$1="",D413=""),0,MAX(0,$F$1-D413)),0)</x:f>
        <x:v>522</x:v>
      </x:c>
      <x:c r="I413" s="148">
        <x:v>0.2</x:v>
      </x:c>
      <x:c r="J413" s="148" t="n">
        <x:f t="shared" si="31">IFERROR(IF(OR(G413="",G413&lt;=0,I413="",D413="",$F$1=""),0,IF($F$1&lt;D413,0,MIN(MAX(G413-1,0),MAX(0,(G413*I413/365)*H413)))),0)</x:f>
        <x:v>128.71232876712327</x:v>
      </x:c>
      <x:c r="K413" s="148" t="n">
        <x:f t="shared" si="32">IFERROR(IF(OR(G413="",G413&lt;=0),0,MAX(1,G413-J413)),0)</x:f>
        <x:v>321.28767123287673</x:v>
      </x:c>
      <x:c r="L413" s="148" t="n">
        <x:f t="shared" si="33">IFERROR(IF(OR(G413="",G413&lt;=0,I413="",D413="",$F$1=""),0,IF($F$1&lt;D413,0,IF(K413&lt;=1,0,MIN(G413*I413/12,K413-1)))),0)</x:f>
        <x:v>7.5</x:v>
      </x:c>
      <x:c r="M413" s="58" t="s">
        <x:v>18</x:v>
      </x:c>
    </x:row>
    <x:row r="414" ht="19.899999618530273" customHeight="1">
      <x:c r="A414" s="53">
        <x:f t="shared" si="34"/>
        <x:v>409</x:v>
      </x:c>
      <x:c r="B414" s="54" t="s">
        <x:v>19</x:v>
      </x:c>
      <x:c r="C414" s="54" t="s">
        <x:v>189</x:v>
      </x:c>
      <x:c r="D414" s="55">
        <x:v>45865</x:v>
      </x:c>
      <x:c r="E414" s="54" t="s">
        <x:v>190</x:v>
      </x:c>
      <x:c r="F414" s="54">
        <x:v>1</x:v>
      </x:c>
      <x:c r="G414" s="148">
        <x:v>450</x:v>
      </x:c>
      <x:c r="H414" s="148" t="n">
        <x:f t="shared" si="30">IFERROR(IF(OR($F$1="",D414=""),0,MAX(0,$F$1-D414)),0)</x:f>
        <x:v>522</x:v>
      </x:c>
      <x:c r="I414" s="148">
        <x:v>0.2</x:v>
      </x:c>
      <x:c r="J414" s="148" t="n">
        <x:f t="shared" si="31">IFERROR(IF(OR(G414="",G414&lt;=0,I414="",D414="",$F$1=""),0,IF($F$1&lt;D414,0,MIN(MAX(G414-1,0),MAX(0,(G414*I414/365)*H414)))),0)</x:f>
        <x:v>128.71232876712327</x:v>
      </x:c>
      <x:c r="K414" s="148" t="n">
        <x:f t="shared" si="32">IFERROR(IF(OR(G414="",G414&lt;=0),0,MAX(1,G414-J414)),0)</x:f>
        <x:v>321.28767123287673</x:v>
      </x:c>
      <x:c r="L414" s="148" t="n">
        <x:f t="shared" si="33">IFERROR(IF(OR(G414="",G414&lt;=0,I414="",D414="",$F$1=""),0,IF($F$1&lt;D414,0,IF(K414&lt;=1,0,MIN(G414*I414/12,K414-1)))),0)</x:f>
        <x:v>7.5</x:v>
      </x:c>
      <x:c r="M414" s="58" t="s">
        <x:v>18</x:v>
      </x:c>
    </x:row>
    <x:row r="415" ht="19.899999618530273" customHeight="1">
      <x:c r="A415" s="53">
        <x:f t="shared" si="34"/>
        <x:v>410</x:v>
      </x:c>
      <x:c r="B415" s="54" t="s">
        <x:v>19</x:v>
      </x:c>
      <x:c r="C415" s="54" t="s">
        <x:v>189</x:v>
      </x:c>
      <x:c r="D415" s="55">
        <x:v>45865</x:v>
      </x:c>
      <x:c r="E415" s="54" t="s">
        <x:v>190</x:v>
      </x:c>
      <x:c r="F415" s="54">
        <x:v>1</x:v>
      </x:c>
      <x:c r="G415" s="148">
        <x:v>450</x:v>
      </x:c>
      <x:c r="H415" s="148" t="n">
        <x:f t="shared" si="30">IFERROR(IF(OR($F$1="",D415=""),0,MAX(0,$F$1-D415)),0)</x:f>
        <x:v>522</x:v>
      </x:c>
      <x:c r="I415" s="148">
        <x:v>0.2</x:v>
      </x:c>
      <x:c r="J415" s="148" t="n">
        <x:f t="shared" si="31">IFERROR(IF(OR(G415="",G415&lt;=0,I415="",D415="",$F$1=""),0,IF($F$1&lt;D415,0,MIN(MAX(G415-1,0),MAX(0,(G415*I415/365)*H415)))),0)</x:f>
        <x:v>128.71232876712327</x:v>
      </x:c>
      <x:c r="K415" s="148" t="n">
        <x:f t="shared" si="32">IFERROR(IF(OR(G415="",G415&lt;=0),0,MAX(1,G415-J415)),0)</x:f>
        <x:v>321.28767123287673</x:v>
      </x:c>
      <x:c r="L415" s="148" t="n">
        <x:f t="shared" si="33">IFERROR(IF(OR(G415="",G415&lt;=0,I415="",D415="",$F$1=""),0,IF($F$1&lt;D415,0,IF(K415&lt;=1,0,MIN(G415*I415/12,K415-1)))),0)</x:f>
        <x:v>7.5</x:v>
      </x:c>
      <x:c r="M415" s="58" t="s">
        <x:v>18</x:v>
      </x:c>
    </x:row>
    <x:row r="416" ht="19.899999618530273" customHeight="1">
      <x:c r="A416" s="53">
        <x:f t="shared" si="34"/>
        <x:v>411</x:v>
      </x:c>
      <x:c r="B416" s="54" t="s">
        <x:v>19</x:v>
      </x:c>
      <x:c r="C416" s="54" t="s">
        <x:v>189</x:v>
      </x:c>
      <x:c r="D416" s="55">
        <x:v>45865</x:v>
      </x:c>
      <x:c r="E416" s="54" t="s">
        <x:v>190</x:v>
      </x:c>
      <x:c r="F416" s="54">
        <x:v>1</x:v>
      </x:c>
      <x:c r="G416" s="148">
        <x:v>450</x:v>
      </x:c>
      <x:c r="H416" s="148" t="n">
        <x:f t="shared" si="30">IFERROR(IF(OR($F$1="",D416=""),0,MAX(0,$F$1-D416)),0)</x:f>
        <x:v>522</x:v>
      </x:c>
      <x:c r="I416" s="148">
        <x:v>0.2</x:v>
      </x:c>
      <x:c r="J416" s="148" t="n">
        <x:f t="shared" si="31">IFERROR(IF(OR(G416="",G416&lt;=0,I416="",D416="",$F$1=""),0,IF($F$1&lt;D416,0,MIN(MAX(G416-1,0),MAX(0,(G416*I416/365)*H416)))),0)</x:f>
        <x:v>128.71232876712327</x:v>
      </x:c>
      <x:c r="K416" s="148" t="n">
        <x:f t="shared" si="32">IFERROR(IF(OR(G416="",G416&lt;=0),0,MAX(1,G416-J416)),0)</x:f>
        <x:v>321.28767123287673</x:v>
      </x:c>
      <x:c r="L416" s="148" t="n">
        <x:f t="shared" si="33">IFERROR(IF(OR(G416="",G416&lt;=0,I416="",D416="",$F$1=""),0,IF($F$1&lt;D416,0,IF(K416&lt;=1,0,MIN(G416*I416/12,K416-1)))),0)</x:f>
        <x:v>7.5</x:v>
      </x:c>
      <x:c r="M416" s="58" t="s">
        <x:v>18</x:v>
      </x:c>
    </x:row>
    <x:row r="417" ht="19.899999618530273" customHeight="1">
      <x:c r="A417" s="53">
        <x:f t="shared" si="34"/>
        <x:v>412</x:v>
      </x:c>
      <x:c r="B417" s="54" t="s">
        <x:v>19</x:v>
      </x:c>
      <x:c r="C417" s="54" t="s">
        <x:v>189</x:v>
      </x:c>
      <x:c r="D417" s="55">
        <x:v>45865</x:v>
      </x:c>
      <x:c r="E417" s="54" t="s">
        <x:v>190</x:v>
      </x:c>
      <x:c r="F417" s="54">
        <x:v>1</x:v>
      </x:c>
      <x:c r="G417" s="148">
        <x:v>450</x:v>
      </x:c>
      <x:c r="H417" s="148" t="n">
        <x:f t="shared" si="30">IFERROR(IF(OR($F$1="",D417=""),0,MAX(0,$F$1-D417)),0)</x:f>
        <x:v>522</x:v>
      </x:c>
      <x:c r="I417" s="148">
        <x:v>0.2</x:v>
      </x:c>
      <x:c r="J417" s="148" t="n">
        <x:f t="shared" si="31">IFERROR(IF(OR(G417="",G417&lt;=0,I417="",D417="",$F$1=""),0,IF($F$1&lt;D417,0,MIN(MAX(G417-1,0),MAX(0,(G417*I417/365)*H417)))),0)</x:f>
        <x:v>128.71232876712327</x:v>
      </x:c>
      <x:c r="K417" s="148" t="n">
        <x:f t="shared" si="32">IFERROR(IF(OR(G417="",G417&lt;=0),0,MAX(1,G417-J417)),0)</x:f>
        <x:v>321.28767123287673</x:v>
      </x:c>
      <x:c r="L417" s="148" t="n">
        <x:f t="shared" si="33">IFERROR(IF(OR(G417="",G417&lt;=0,I417="",D417="",$F$1=""),0,IF($F$1&lt;D417,0,IF(K417&lt;=1,0,MIN(G417*I417/12,K417-1)))),0)</x:f>
        <x:v>7.5</x:v>
      </x:c>
      <x:c r="M417" s="58" t="s">
        <x:v>18</x:v>
      </x:c>
    </x:row>
    <x:row r="418" ht="19.899999618530273" customHeight="1">
      <x:c r="A418" s="53">
        <x:f t="shared" si="34"/>
        <x:v>413</x:v>
      </x:c>
      <x:c r="B418" s="54" t="s">
        <x:v>19</x:v>
      </x:c>
      <x:c r="C418" s="54" t="s">
        <x:v>189</x:v>
      </x:c>
      <x:c r="D418" s="55">
        <x:v>45865</x:v>
      </x:c>
      <x:c r="E418" s="54" t="s">
        <x:v>190</x:v>
      </x:c>
      <x:c r="F418" s="54">
        <x:v>1</x:v>
      </x:c>
      <x:c r="G418" s="148">
        <x:v>450</x:v>
      </x:c>
      <x:c r="H418" s="148" t="n">
        <x:f t="shared" si="30">IFERROR(IF(OR($F$1="",D418=""),0,MAX(0,$F$1-D418)),0)</x:f>
        <x:v>522</x:v>
      </x:c>
      <x:c r="I418" s="148">
        <x:v>0.2</x:v>
      </x:c>
      <x:c r="J418" s="148" t="n">
        <x:f t="shared" si="31">IFERROR(IF(OR(G418="",G418&lt;=0,I418="",D418="",$F$1=""),0,IF($F$1&lt;D418,0,MIN(MAX(G418-1,0),MAX(0,(G418*I418/365)*H418)))),0)</x:f>
        <x:v>128.71232876712327</x:v>
      </x:c>
      <x:c r="K418" s="148" t="n">
        <x:f t="shared" si="32">IFERROR(IF(OR(G418="",G418&lt;=0),0,MAX(1,G418-J418)),0)</x:f>
        <x:v>321.28767123287673</x:v>
      </x:c>
      <x:c r="L418" s="148" t="n">
        <x:f t="shared" si="33">IFERROR(IF(OR(G418="",G418&lt;=0,I418="",D418="",$F$1=""),0,IF($F$1&lt;D418,0,IF(K418&lt;=1,0,MIN(G418*I418/12,K418-1)))),0)</x:f>
        <x:v>7.5</x:v>
      </x:c>
      <x:c r="M418" s="58" t="s">
        <x:v>18</x:v>
      </x:c>
    </x:row>
    <x:row r="419" ht="19.899999618530273" customHeight="1">
      <x:c r="A419" s="53">
        <x:f t="shared" si="34"/>
        <x:v>414</x:v>
      </x:c>
      <x:c r="B419" s="54" t="s">
        <x:v>19</x:v>
      </x:c>
      <x:c r="C419" s="54" t="s">
        <x:v>150</x:v>
      </x:c>
      <x:c r="D419" s="55">
        <x:v>45594</x:v>
      </x:c>
      <x:c r="E419" s="54" t="s">
        <x:v>191</x:v>
      </x:c>
      <x:c r="F419" s="54">
        <x:v>1</x:v>
      </x:c>
      <x:c r="G419" s="148">
        <x:v>850</x:v>
      </x:c>
      <x:c r="H419" s="148" t="n">
        <x:f t="shared" si="30">IFERROR(IF(OR($F$1="",D419=""),0,MAX(0,$F$1-D419)),0)</x:f>
        <x:v>793</x:v>
      </x:c>
      <x:c r="I419" s="148">
        <x:v>0.2</x:v>
      </x:c>
      <x:c r="J419" s="148" t="n">
        <x:f t="shared" si="31">IFERROR(IF(OR(G419="",G419&lt;=0,I419="",D419="",$F$1=""),0,IF($F$1&lt;D419,0,MIN(MAX(G419-1,0),MAX(0,(G419*I419/365)*H419)))),0)</x:f>
        <x:v>369.3424657534246</x:v>
      </x:c>
      <x:c r="K419" s="148" t="n">
        <x:f t="shared" si="32">IFERROR(IF(OR(G419="",G419&lt;=0),0,MAX(1,G419-J419)),0)</x:f>
        <x:v>480.6575342465754</x:v>
      </x:c>
      <x:c r="L419" s="148" t="n">
        <x:f t="shared" si="33">IFERROR(IF(OR(G419="",G419&lt;=0,I419="",D419="",$F$1=""),0,IF($F$1&lt;D419,0,IF(K419&lt;=1,0,MIN(G419*I419/12,K419-1)))),0)</x:f>
        <x:v>14.166666666666666</x:v>
      </x:c>
      <x:c r="M419" s="58" t="s">
        <x:v>18</x:v>
      </x:c>
    </x:row>
    <x:row r="420" ht="19.899999618530273" customHeight="1">
      <x:c r="A420" s="53">
        <x:f t="shared" si="34"/>
        <x:v>415</x:v>
      </x:c>
      <x:c r="B420" s="54" t="s">
        <x:v>19</x:v>
      </x:c>
      <x:c r="C420" s="54" t="s">
        <x:v>150</x:v>
      </x:c>
      <x:c r="D420" s="55">
        <x:v>45594</x:v>
      </x:c>
      <x:c r="E420" s="54" t="s">
        <x:v>192</x:v>
      </x:c>
      <x:c r="F420" s="54">
        <x:v>1</x:v>
      </x:c>
      <x:c r="G420" s="148">
        <x:v>830</x:v>
      </x:c>
      <x:c r="H420" s="148" t="n">
        <x:f t="shared" si="30">IFERROR(IF(OR($F$1="",D420=""),0,MAX(0,$F$1-D420)),0)</x:f>
        <x:v>793</x:v>
      </x:c>
      <x:c r="I420" s="148">
        <x:v>0.2</x:v>
      </x:c>
      <x:c r="J420" s="148" t="n">
        <x:f t="shared" si="31">IFERROR(IF(OR(G420="",G420&lt;=0,I420="",D420="",$F$1=""),0,IF($F$1&lt;D420,0,MIN(MAX(G420-1,0),MAX(0,(G420*I420/365)*H420)))),0)</x:f>
        <x:v>360.65205479452055</x:v>
      </x:c>
      <x:c r="K420" s="148" t="n">
        <x:f t="shared" si="32">IFERROR(IF(OR(G420="",G420&lt;=0),0,MAX(1,G420-J420)),0)</x:f>
        <x:v>469.34794520547945</x:v>
      </x:c>
      <x:c r="L420" s="148" t="n">
        <x:f t="shared" si="33">IFERROR(IF(OR(G420="",G420&lt;=0,I420="",D420="",$F$1=""),0,IF($F$1&lt;D420,0,IF(K420&lt;=1,0,MIN(G420*I420/12,K420-1)))),0)</x:f>
        <x:v>13.833333333333334</x:v>
      </x:c>
      <x:c r="M420" s="58" t="s">
        <x:v>18</x:v>
      </x:c>
    </x:row>
    <x:row r="421" ht="19.899999618530273" customHeight="1">
      <x:c r="A421" s="53">
        <x:f t="shared" si="34"/>
        <x:v>416</x:v>
      </x:c>
      <x:c r="B421" s="54" t="s">
        <x:v>19</x:v>
      </x:c>
      <x:c r="C421" s="54" t="s">
        <x:v>150</x:v>
      </x:c>
      <x:c r="D421" s="55">
        <x:v>45594</x:v>
      </x:c>
      <x:c r="E421" s="54" t="s">
        <x:v>193</x:v>
      </x:c>
      <x:c r="F421" s="54">
        <x:v>1</x:v>
      </x:c>
      <x:c r="G421" s="148">
        <x:v>739.14</x:v>
      </x:c>
      <x:c r="H421" s="148" t="n">
        <x:f t="shared" si="30">IFERROR(IF(OR($F$1="",D421=""),0,MAX(0,$F$1-D421)),0)</x:f>
        <x:v>793</x:v>
      </x:c>
      <x:c r="I421" s="148">
        <x:v>0.2</x:v>
      </x:c>
      <x:c r="J421" s="148" t="n">
        <x:f t="shared" si="31">IFERROR(IF(OR(G421="",G421&lt;=0,I421="",D421="",$F$1=""),0,IF($F$1&lt;D421,0,MIN(MAX(G421-1,0),MAX(0,(G421*I421/365)*H421)))),0)</x:f>
        <x:v>321.1715178082192</x:v>
      </x:c>
      <x:c r="K421" s="148" t="n">
        <x:f t="shared" si="32">IFERROR(IF(OR(G421="",G421&lt;=0),0,MAX(1,G421-J421)),0)</x:f>
        <x:v>417.96848219178077</x:v>
      </x:c>
      <x:c r="L421" s="148" t="n">
        <x:f t="shared" si="33">IFERROR(IF(OR(G421="",G421&lt;=0,I421="",D421="",$F$1=""),0,IF($F$1&lt;D421,0,IF(K421&lt;=1,0,MIN(G421*I421/12,K421-1)))),0)</x:f>
        <x:v>12.319</x:v>
      </x:c>
      <x:c r="M421" s="58" t="s">
        <x:v>18</x:v>
      </x:c>
    </x:row>
    <x:row r="422" ht="19.899999618530273" customHeight="1">
      <x:c r="A422" s="53">
        <x:f t="shared" si="34"/>
        <x:v>417</x:v>
      </x:c>
      <x:c r="B422" s="54" t="s">
        <x:v>19</x:v>
      </x:c>
      <x:c r="C422" s="54" t="s">
        <x:v>150</x:v>
      </x:c>
      <x:c r="D422" s="55">
        <x:v>45606</x:v>
      </x:c>
      <x:c r="E422" s="54" t="s">
        <x:v>191</x:v>
      </x:c>
      <x:c r="F422" s="54">
        <x:v>1</x:v>
      </x:c>
      <x:c r="G422" s="148">
        <x:v>1100</x:v>
      </x:c>
      <x:c r="H422" s="148" t="n">
        <x:f t="shared" si="30">IFERROR(IF(OR($F$1="",D422=""),0,MAX(0,$F$1-D422)),0)</x:f>
        <x:v>781</x:v>
      </x:c>
      <x:c r="I422" s="148">
        <x:v>0.2</x:v>
      </x:c>
      <x:c r="J422" s="148" t="n">
        <x:f t="shared" si="31">IFERROR(IF(OR(G422="",G422&lt;=0,I422="",D422="",$F$1=""),0,IF($F$1&lt;D422,0,MIN(MAX(G422-1,0),MAX(0,(G422*I422/365)*H422)))),0)</x:f>
        <x:v>470.73972602739724</x:v>
      </x:c>
      <x:c r="K422" s="148" t="n">
        <x:f t="shared" si="32">IFERROR(IF(OR(G422="",G422&lt;=0),0,MAX(1,G422-J422)),0)</x:f>
        <x:v>629.2602739726028</x:v>
      </x:c>
      <x:c r="L422" s="148" t="n">
        <x:f t="shared" si="33">IFERROR(IF(OR(G422="",G422&lt;=0,I422="",D422="",$F$1=""),0,IF($F$1&lt;D422,0,IF(K422&lt;=1,0,MIN(G422*I422/12,K422-1)))),0)</x:f>
        <x:v>18.333333333333332</x:v>
      </x:c>
      <x:c r="M422" s="58" t="s">
        <x:v>18</x:v>
      </x:c>
    </x:row>
    <x:row r="423" ht="19.899999618530273" customHeight="1">
      <x:c r="A423" s="53">
        <x:f t="shared" si="34"/>
        <x:v>418</x:v>
      </x:c>
      <x:c r="B423" s="54" t="s">
        <x:v>19</x:v>
      </x:c>
      <x:c r="C423" s="54" t="s">
        <x:v>150</x:v>
      </x:c>
      <x:c r="D423" s="55">
        <x:v>45606</x:v>
      </x:c>
      <x:c r="E423" s="54" t="s">
        <x:v>194</x:v>
      </x:c>
      <x:c r="F423" s="54">
        <x:v>1</x:v>
      </x:c>
      <x:c r="G423" s="148">
        <x:v>750</x:v>
      </x:c>
      <x:c r="H423" s="148" t="n">
        <x:f t="shared" si="30">IFERROR(IF(OR($F$1="",D423=""),0,MAX(0,$F$1-D423)),0)</x:f>
        <x:v>781</x:v>
      </x:c>
      <x:c r="I423" s="148">
        <x:v>0.2</x:v>
      </x:c>
      <x:c r="J423" s="148" t="n">
        <x:f t="shared" si="31">IFERROR(IF(OR(G423="",G423&lt;=0,I423="",D423="",$F$1=""),0,IF($F$1&lt;D423,0,MIN(MAX(G423-1,0),MAX(0,(G423*I423/365)*H423)))),0)</x:f>
        <x:v>320.958904109589</x:v>
      </x:c>
      <x:c r="K423" s="148" t="n">
        <x:f t="shared" si="32">IFERROR(IF(OR(G423="",G423&lt;=0),0,MAX(1,G423-J423)),0)</x:f>
        <x:v>429.041095890411</x:v>
      </x:c>
      <x:c r="L423" s="148" t="n">
        <x:f t="shared" si="33">IFERROR(IF(OR(G423="",G423&lt;=0,I423="",D423="",$F$1=""),0,IF($F$1&lt;D423,0,IF(K423&lt;=1,0,MIN(G423*I423/12,K423-1)))),0)</x:f>
        <x:v>12.5</x:v>
      </x:c>
      <x:c r="M423" s="58" t="s">
        <x:v>18</x:v>
      </x:c>
    </x:row>
    <x:row r="424" ht="19.899999618530273" customHeight="1">
      <x:c r="A424" s="53">
        <x:f t="shared" si="34"/>
        <x:v>419</x:v>
      </x:c>
      <x:c r="B424" s="54" t="s">
        <x:v>19</x:v>
      </x:c>
      <x:c r="C424" s="54" t="s">
        <x:v>150</x:v>
      </x:c>
      <x:c r="D424" s="55">
        <x:v>45607</x:v>
      </x:c>
      <x:c r="E424" s="54" t="s">
        <x:v>195</x:v>
      </x:c>
      <x:c r="F424" s="54">
        <x:v>1</x:v>
      </x:c>
      <x:c r="G424" s="148">
        <x:v>650</x:v>
      </x:c>
      <x:c r="H424" s="148" t="n">
        <x:f t="shared" si="30">IFERROR(IF(OR($F$1="",D424=""),0,MAX(0,$F$1-D424)),0)</x:f>
        <x:v>780</x:v>
      </x:c>
      <x:c r="I424" s="148">
        <x:v>0.2</x:v>
      </x:c>
      <x:c r="J424" s="148" t="n">
        <x:f t="shared" si="31">IFERROR(IF(OR(G424="",G424&lt;=0,I424="",D424="",$F$1=""),0,IF($F$1&lt;D424,0,MIN(MAX(G424-1,0),MAX(0,(G424*I424/365)*H424)))),0)</x:f>
        <x:v>277.8082191780822</x:v>
      </x:c>
      <x:c r="K424" s="148" t="n">
        <x:f t="shared" si="32">IFERROR(IF(OR(G424="",G424&lt;=0),0,MAX(1,G424-J424)),0)</x:f>
        <x:v>372.1917808219178</x:v>
      </x:c>
      <x:c r="L424" s="148" t="n">
        <x:f t="shared" si="33">IFERROR(IF(OR(G424="",G424&lt;=0,I424="",D424="",$F$1=""),0,IF($F$1&lt;D424,0,IF(K424&lt;=1,0,MIN(G424*I424/12,K424-1)))),0)</x:f>
        <x:v>10.833333333333334</x:v>
      </x:c>
      <x:c r="M424" s="58" t="s">
        <x:v>18</x:v>
      </x:c>
    </x:row>
    <x:row r="425" ht="19.899999618530273" customHeight="1">
      <x:c r="A425" s="53">
        <x:f t="shared" si="34"/>
        <x:v>420</x:v>
      </x:c>
      <x:c r="B425" s="54" t="s">
        <x:v>19</x:v>
      </x:c>
      <x:c r="C425" s="54" t="s">
        <x:v>150</x:v>
      </x:c>
      <x:c r="D425" s="55">
        <x:v>45610</x:v>
      </x:c>
      <x:c r="E425" s="54" t="s">
        <x:v>196</x:v>
      </x:c>
      <x:c r="F425" s="54">
        <x:v>1</x:v>
      </x:c>
      <x:c r="G425" s="148">
        <x:v>1150</x:v>
      </x:c>
      <x:c r="H425" s="148" t="n">
        <x:f t="shared" si="30">IFERROR(IF(OR($F$1="",D425=""),0,MAX(0,$F$1-D425)),0)</x:f>
        <x:v>777</x:v>
      </x:c>
      <x:c r="I425" s="148">
        <x:v>0.2</x:v>
      </x:c>
      <x:c r="J425" s="148" t="n">
        <x:f t="shared" si="31">IFERROR(IF(OR(G425="",G425&lt;=0,I425="",D425="",$F$1=""),0,IF($F$1&lt;D425,0,MIN(MAX(G425-1,0),MAX(0,(G425*I425/365)*H425)))),0)</x:f>
        <x:v>489.61643835616434</x:v>
      </x:c>
      <x:c r="K425" s="148" t="n">
        <x:f t="shared" si="32">IFERROR(IF(OR(G425="",G425&lt;=0),0,MAX(1,G425-J425)),0)</x:f>
        <x:v>660.3835616438357</x:v>
      </x:c>
      <x:c r="L425" s="148" t="n">
        <x:f t="shared" si="33">IFERROR(IF(OR(G425="",G425&lt;=0,I425="",D425="",$F$1=""),0,IF($F$1&lt;D425,0,IF(K425&lt;=1,0,MIN(G425*I425/12,K425-1)))),0)</x:f>
        <x:v>19.166666666666668</x:v>
      </x:c>
      <x:c r="M425" s="58" t="s">
        <x:v>18</x:v>
      </x:c>
    </x:row>
    <x:row r="426" ht="19.899999618530273" customHeight="1">
      <x:c r="A426" s="53">
        <x:f t="shared" si="34"/>
        <x:v>421</x:v>
      </x:c>
      <x:c r="B426" s="54" t="s">
        <x:v>19</x:v>
      </x:c>
      <x:c r="C426" s="54" t="s">
        <x:v>150</x:v>
      </x:c>
      <x:c r="D426" s="55">
        <x:v>45610</x:v>
      </x:c>
      <x:c r="E426" s="54" t="s">
        <x:v>197</x:v>
      </x:c>
      <x:c r="F426" s="54">
        <x:v>1</x:v>
      </x:c>
      <x:c r="G426" s="148">
        <x:v>650</x:v>
      </x:c>
      <x:c r="H426" s="148" t="n">
        <x:f t="shared" si="30">IFERROR(IF(OR($F$1="",D426=""),0,MAX(0,$F$1-D426)),0)</x:f>
        <x:v>777</x:v>
      </x:c>
      <x:c r="I426" s="148">
        <x:v>0.2</x:v>
      </x:c>
      <x:c r="J426" s="148" t="n">
        <x:f t="shared" si="31">IFERROR(IF(OR(G426="",G426&lt;=0,I426="",D426="",$F$1=""),0,IF($F$1&lt;D426,0,MIN(MAX(G426-1,0),MAX(0,(G426*I426/365)*H426)))),0)</x:f>
        <x:v>276.73972602739724</x:v>
      </x:c>
      <x:c r="K426" s="148" t="n">
        <x:f t="shared" si="32">IFERROR(IF(OR(G426="",G426&lt;=0),0,MAX(1,G426-J426)),0)</x:f>
        <x:v>373.26027397260276</x:v>
      </x:c>
      <x:c r="L426" s="148" t="n">
        <x:f t="shared" si="33">IFERROR(IF(OR(G426="",G426&lt;=0,I426="",D426="",$F$1=""),0,IF($F$1&lt;D426,0,IF(K426&lt;=1,0,MIN(G426*I426/12,K426-1)))),0)</x:f>
        <x:v>10.833333333333334</x:v>
      </x:c>
      <x:c r="M426" s="58" t="s">
        <x:v>18</x:v>
      </x:c>
    </x:row>
    <x:row r="427" ht="19.899999618530273" customHeight="1">
      <x:c r="A427" s="53">
        <x:f t="shared" si="34"/>
        <x:v>422</x:v>
      </x:c>
      <x:c r="B427" s="54" t="s">
        <x:v>19</x:v>
      </x:c>
      <x:c r="C427" s="54" t="s">
        <x:v>150</x:v>
      </x:c>
      <x:c r="D427" s="55">
        <x:v>45610</x:v>
      </x:c>
      <x:c r="E427" s="54" t="s">
        <x:v>198</x:v>
      </x:c>
      <x:c r="F427" s="54">
        <x:v>1</x:v>
      </x:c>
      <x:c r="G427" s="148">
        <x:v>990</x:v>
      </x:c>
      <x:c r="H427" s="148" t="n">
        <x:f t="shared" si="30">IFERROR(IF(OR($F$1="",D427=""),0,MAX(0,$F$1-D427)),0)</x:f>
        <x:v>777</x:v>
      </x:c>
      <x:c r="I427" s="148">
        <x:v>0.2</x:v>
      </x:c>
      <x:c r="J427" s="148" t="n">
        <x:f t="shared" si="31">IFERROR(IF(OR(G427="",G427&lt;=0,I427="",D427="",$F$1=""),0,IF($F$1&lt;D427,0,MIN(MAX(G427-1,0),MAX(0,(G427*I427/365)*H427)))),0)</x:f>
        <x:v>421.4958904109589</x:v>
      </x:c>
      <x:c r="K427" s="148" t="n">
        <x:f t="shared" si="32">IFERROR(IF(OR(G427="",G427&lt;=0),0,MAX(1,G427-J427)),0)</x:f>
        <x:v>568.504109589041</x:v>
      </x:c>
      <x:c r="L427" s="148" t="n">
        <x:f t="shared" si="33">IFERROR(IF(OR(G427="",G427&lt;=0,I427="",D427="",$F$1=""),0,IF($F$1&lt;D427,0,IF(K427&lt;=1,0,MIN(G427*I427/12,K427-1)))),0)</x:f>
        <x:v>16.5</x:v>
      </x:c>
      <x:c r="M427" s="58" t="s">
        <x:v>18</x:v>
      </x:c>
    </x:row>
    <x:row r="428" ht="19.899999618530273" customHeight="1">
      <x:c r="A428" s="53">
        <x:f t="shared" si="34"/>
        <x:v>423</x:v>
      </x:c>
      <x:c r="B428" s="54" t="s">
        <x:v>19</x:v>
      </x:c>
      <x:c r="C428" s="54" t="s">
        <x:v>27</x:v>
      </x:c>
      <x:c r="D428" s="55">
        <x:v>45298</x:v>
      </x:c>
      <x:c r="E428" s="54" t="s">
        <x:v>199</x:v>
      </x:c>
      <x:c r="F428" s="54">
        <x:v>1</x:v>
      </x:c>
      <x:c r="G428" s="148">
        <x:v>955.65</x:v>
      </x:c>
      <x:c r="H428" s="148" t="n">
        <x:f t="shared" si="30">IFERROR(IF(OR($F$1="",D428=""),0,MAX(0,$F$1-D428)),0)</x:f>
        <x:v>1089</x:v>
      </x:c>
      <x:c r="I428" s="148">
        <x:v>0.33329999999999999</x:v>
      </x:c>
      <x:c r="J428" s="148" t="n">
        <x:f t="shared" si="31">IFERROR(IF(OR(G428="",G428&lt;=0,I428="",D428="",$F$1=""),0,IF($F$1&lt;D428,0,MIN(MAX(G428-1,0),MAX(0,(G428*I428/365)*H428)))),0)</x:f>
        <x:v>950.3185202876713</x:v>
      </x:c>
      <x:c r="K428" s="148" t="n">
        <x:f t="shared" si="32">IFERROR(IF(OR(G428="",G428&lt;=0),0,MAX(1,G428-J428)),0)</x:f>
        <x:v>5.331479712328701</x:v>
      </x:c>
      <x:c r="L428" s="148" t="n">
        <x:f t="shared" si="33">IFERROR(IF(OR(G428="",G428&lt;=0,I428="",D428="",$F$1=""),0,IF($F$1&lt;D428,0,IF(K428&lt;=1,0,MIN(G428*I428/12,K428-1)))),0)</x:f>
        <x:v>4.331479712328701</x:v>
      </x:c>
      <x:c r="M428" s="58" t="s">
        <x:v>18</x:v>
      </x:c>
    </x:row>
    <x:row r="429" ht="19.899999618530273" customHeight="1">
      <x:c r="A429" s="53">
        <x:f t="shared" si="34"/>
        <x:v>424</x:v>
      </x:c>
      <x:c r="B429" s="54" t="s">
        <x:v>19</x:v>
      </x:c>
      <x:c r="C429" s="54" t="s">
        <x:v>27</x:v>
      </x:c>
      <x:c r="D429" s="55">
        <x:v>45301</x:v>
      </x:c>
      <x:c r="E429" s="54" t="s">
        <x:v>200</x:v>
      </x:c>
      <x:c r="F429" s="54">
        <x:v>1</x:v>
      </x:c>
      <x:c r="G429" s="148">
        <x:v>1975</x:v>
      </x:c>
      <x:c r="H429" s="148" t="n">
        <x:f t="shared" si="30">IFERROR(IF(OR($F$1="",D429=""),0,MAX(0,$F$1-D429)),0)</x:f>
        <x:v>1086</x:v>
      </x:c>
      <x:c r="I429" s="148">
        <x:v>0.33329999999999999</x:v>
      </x:c>
      <x:c r="J429" s="148" t="n">
        <x:f t="shared" si="31">IFERROR(IF(OR(G429="",G429&lt;=0,I429="",D429="",$F$1=""),0,IF($F$1&lt;D429,0,MIN(MAX(G429-1,0),MAX(0,(G429*I429/365)*H429)))),0)</x:f>
        <x:v>1958.5712465753422</x:v>
      </x:c>
      <x:c r="K429" s="148" t="n">
        <x:f t="shared" si="32">IFERROR(IF(OR(G429="",G429&lt;=0),0,MAX(1,G429-J429)),0)</x:f>
        <x:v>16.42875342465777</x:v>
      </x:c>
      <x:c r="L429" s="148" t="n">
        <x:f t="shared" si="33">IFERROR(IF(OR(G429="",G429&lt;=0,I429="",D429="",$F$1=""),0,IF($F$1&lt;D429,0,IF(K429&lt;=1,0,MIN(G429*I429/12,K429-1)))),0)</x:f>
        <x:v>15.42875342465777</x:v>
      </x:c>
      <x:c r="M429" s="58" t="s">
        <x:v>18</x:v>
      </x:c>
    </x:row>
    <x:row r="430" ht="19.899999618530273" customHeight="1">
      <x:c r="A430" s="53">
        <x:f t="shared" si="34"/>
        <x:v>425</x:v>
      </x:c>
      <x:c r="B430" s="54" t="s">
        <x:v>19</x:v>
      </x:c>
      <x:c r="C430" s="54" t="s">
        <x:v>27</x:v>
      </x:c>
      <x:c r="D430" s="55">
        <x:v>45301</x:v>
      </x:c>
      <x:c r="E430" s="54" t="s">
        <x:v>201</x:v>
      </x:c>
      <x:c r="F430" s="54">
        <x:v>1</x:v>
      </x:c>
      <x:c r="G430" s="148">
        <x:v>550</x:v>
      </x:c>
      <x:c r="H430" s="148" t="n">
        <x:f t="shared" si="30">IFERROR(IF(OR($F$1="",D430=""),0,MAX(0,$F$1-D430)),0)</x:f>
        <x:v>1086</x:v>
      </x:c>
      <x:c r="I430" s="148">
        <x:v>0.33329999999999999</x:v>
      </x:c>
      <x:c r="J430" s="148" t="n">
        <x:f t="shared" si="31">IFERROR(IF(OR(G430="",G430&lt;=0,I430="",D430="",$F$1=""),0,IF($F$1&lt;D430,0,MIN(MAX(G430-1,0),MAX(0,(G430*I430/365)*H430)))),0)</x:f>
        <x:v>545.424904109589</x:v>
      </x:c>
      <x:c r="K430" s="148" t="n">
        <x:f t="shared" si="32">IFERROR(IF(OR(G430="",G430&lt;=0),0,MAX(1,G430-J430)),0)</x:f>
        <x:v>4.575095890411035</x:v>
      </x:c>
      <x:c r="L430" s="148" t="n">
        <x:f t="shared" si="33">IFERROR(IF(OR(G430="",G430&lt;=0,I430="",D430="",$F$1=""),0,IF($F$1&lt;D430,0,IF(K430&lt;=1,0,MIN(G430*I430/12,K430-1)))),0)</x:f>
        <x:v>3.575095890411035</x:v>
      </x:c>
      <x:c r="M430" s="58" t="s">
        <x:v>18</x:v>
      </x:c>
    </x:row>
    <x:row r="431" ht="19.899999618530273" customHeight="1">
      <x:c r="A431" s="53">
        <x:f t="shared" si="34"/>
        <x:v>426</x:v>
      </x:c>
      <x:c r="B431" s="54" t="s">
        <x:v>19</x:v>
      </x:c>
      <x:c r="C431" s="54" t="s">
        <x:v>27</x:v>
      </x:c>
      <x:c r="D431" s="55">
        <x:v>45301</x:v>
      </x:c>
      <x:c r="E431" s="54" t="s">
        <x:v>202</x:v>
      </x:c>
      <x:c r="F431" s="54">
        <x:v>1</x:v>
      </x:c>
      <x:c r="G431" s="148">
        <x:v>75</x:v>
      </x:c>
      <x:c r="H431" s="148" t="n">
        <x:f t="shared" si="30">IFERROR(IF(OR($F$1="",D431=""),0,MAX(0,$F$1-D431)),0)</x:f>
        <x:v>1086</x:v>
      </x:c>
      <x:c r="I431" s="148">
        <x:v>0.33329999999999999</x:v>
      </x:c>
      <x:c r="J431" s="148" t="n">
        <x:f t="shared" si="31">IFERROR(IF(OR(G431="",G431&lt;=0,I431="",D431="",$F$1=""),0,IF($F$1&lt;D431,0,MIN(MAX(G431-1,0),MAX(0,(G431*I431/365)*H431)))),0)</x:f>
        <x:v>74</x:v>
      </x:c>
      <x:c r="K431" s="148" t="n">
        <x:f t="shared" si="32">IFERROR(IF(OR(G431="",G431&lt;=0),0,MAX(1,G431-J431)),0)</x:f>
        <x:v>1</x:v>
      </x:c>
      <x:c r="L431" s="148" t="n">
        <x:f t="shared" si="33">IFERROR(IF(OR(G431="",G431&lt;=0,I431="",D431="",$F$1=""),0,IF($F$1&lt;D431,0,IF(K431&lt;=1,0,MIN(G431*I431/12,K431-1)))),0)</x:f>
        <x:v>0</x:v>
      </x:c>
      <x:c r="M431" s="58" t="s">
        <x:v>18</x:v>
      </x:c>
    </x:row>
    <x:row r="432" ht="19.899999618530273" customHeight="1">
      <x:c r="A432" s="53">
        <x:f t="shared" si="34"/>
        <x:v>427</x:v>
      </x:c>
      <x:c r="B432" s="54" t="s">
        <x:v>19</x:v>
      </x:c>
      <x:c r="C432" s="54" t="s">
        <x:v>27</x:v>
      </x:c>
      <x:c r="D432" s="55">
        <x:v>45301</x:v>
      </x:c>
      <x:c r="E432" s="54" t="s">
        <x:v>203</x:v>
      </x:c>
      <x:c r="F432" s="54">
        <x:v>1</x:v>
      </x:c>
      <x:c r="G432" s="148">
        <x:v>340</x:v>
      </x:c>
      <x:c r="H432" s="148" t="n">
        <x:f t="shared" si="30">IFERROR(IF(OR($F$1="",D432=""),0,MAX(0,$F$1-D432)),0)</x:f>
        <x:v>1086</x:v>
      </x:c>
      <x:c r="I432" s="148">
        <x:v>0.33329999999999999</x:v>
      </x:c>
      <x:c r="J432" s="148" t="n">
        <x:f t="shared" si="31">IFERROR(IF(OR(G432="",G432&lt;=0,I432="",D432="",$F$1=""),0,IF($F$1&lt;D432,0,MIN(MAX(G432-1,0),MAX(0,(G432*I432/365)*H432)))),0)</x:f>
        <x:v>337.17175890410954</x:v>
      </x:c>
      <x:c r="K432" s="148" t="n">
        <x:f t="shared" si="32">IFERROR(IF(OR(G432="",G432&lt;=0),0,MAX(1,G432-J432)),0)</x:f>
        <x:v>2.828241095890462</x:v>
      </x:c>
      <x:c r="L432" s="148" t="n">
        <x:f t="shared" si="33">IFERROR(IF(OR(G432="",G432&lt;=0,I432="",D432="",$F$1=""),0,IF($F$1&lt;D432,0,IF(K432&lt;=1,0,MIN(G432*I432/12,K432-1)))),0)</x:f>
        <x:v>1.828241095890462</x:v>
      </x:c>
      <x:c r="M432" s="58" t="s">
        <x:v>18</x:v>
      </x:c>
    </x:row>
    <x:row r="433" ht="19.899999618530273" customHeight="1">
      <x:c r="A433" s="53">
        <x:f t="shared" si="34"/>
        <x:v>428</x:v>
      </x:c>
      <x:c r="B433" s="54" t="s">
        <x:v>19</x:v>
      </x:c>
      <x:c r="C433" s="54" t="s">
        <x:v>27</x:v>
      </x:c>
      <x:c r="D433" s="55">
        <x:v>45313</x:v>
      </x:c>
      <x:c r="E433" s="54" t="s">
        <x:v>204</x:v>
      </x:c>
      <x:c r="F433" s="54">
        <x:v>1</x:v>
      </x:c>
      <x:c r="G433" s="148">
        <x:v>2500</x:v>
      </x:c>
      <x:c r="H433" s="148" t="n">
        <x:f t="shared" si="30">IFERROR(IF(OR($F$1="",D433=""),0,MAX(0,$F$1-D433)),0)</x:f>
        <x:v>1074</x:v>
      </x:c>
      <x:c r="I433" s="148">
        <x:v>0.33329999999999999</x:v>
      </x:c>
      <x:c r="J433" s="148" t="n">
        <x:f t="shared" si="31">IFERROR(IF(OR(G433="",G433&lt;=0,I433="",D433="",$F$1=""),0,IF($F$1&lt;D433,0,MIN(MAX(G433-1,0),MAX(0,(G433*I433/365)*H433)))),0)</x:f>
        <x:v>2451.809589041096</x:v>
      </x:c>
      <x:c r="K433" s="148" t="n">
        <x:f t="shared" si="32">IFERROR(IF(OR(G433="",G433&lt;=0),0,MAX(1,G433-J433)),0)</x:f>
        <x:v>48.19041095890407</x:v>
      </x:c>
      <x:c r="L433" s="148" t="n">
        <x:f t="shared" si="33">IFERROR(IF(OR(G433="",G433&lt;=0,I433="",D433="",$F$1=""),0,IF($F$1&lt;D433,0,IF(K433&lt;=1,0,MIN(G433*I433/12,K433-1)))),0)</x:f>
        <x:v>47.19041095890407</x:v>
      </x:c>
      <x:c r="M433" s="58" t="s">
        <x:v>18</x:v>
      </x:c>
    </x:row>
    <x:row r="434" ht="19.899999618530273" customHeight="1">
      <x:c r="A434" s="53">
        <x:f t="shared" si="34"/>
        <x:v>429</x:v>
      </x:c>
      <x:c r="B434" s="54" t="s">
        <x:v>19</x:v>
      </x:c>
      <x:c r="C434" s="54" t="s">
        <x:v>27</x:v>
      </x:c>
      <x:c r="D434" s="55">
        <x:v>45339</x:v>
      </x:c>
      <x:c r="E434" s="54" t="s">
        <x:v>205</x:v>
      </x:c>
      <x:c r="F434" s="54">
        <x:v>1</x:v>
      </x:c>
      <x:c r="G434" s="148">
        <x:v>2525.58</x:v>
      </x:c>
      <x:c r="H434" s="148" t="n">
        <x:f t="shared" si="30">IFERROR(IF(OR($F$1="",D434=""),0,MAX(0,$F$1-D434)),0)</x:f>
        <x:v>1048</x:v>
      </x:c>
      <x:c r="I434" s="148">
        <x:v>0.33329999999999999</x:v>
      </x:c>
      <x:c r="J434" s="148" t="n">
        <x:f t="shared" si="31">IFERROR(IF(OR(G434="",G434&lt;=0,I434="",D434="",$F$1=""),0,IF($F$1&lt;D434,0,MIN(MAX(G434-1,0),MAX(0,(G434*I434/365)*H434)))),0)</x:f>
        <x:v>2416.9343919780817</x:v>
      </x:c>
      <x:c r="K434" s="148" t="n">
        <x:f t="shared" si="32">IFERROR(IF(OR(G434="",G434&lt;=0),0,MAX(1,G434-J434)),0)</x:f>
        <x:v>108.64560802191818</x:v>
      </x:c>
      <x:c r="L434" s="148" t="n">
        <x:f t="shared" si="33">IFERROR(IF(OR(G434="",G434&lt;=0,I434="",D434="",$F$1=""),0,IF($F$1&lt;D434,0,IF(K434&lt;=1,0,MIN(G434*I434/12,K434-1)))),0)</x:f>
        <x:v>70.14798449999999</x:v>
      </x:c>
      <x:c r="M434" s="58" t="s">
        <x:v>18</x:v>
      </x:c>
    </x:row>
    <x:row r="435" ht="19.899999618530273" customHeight="1">
      <x:c r="A435" s="53">
        <x:f t="shared" si="34"/>
        <x:v>430</x:v>
      </x:c>
      <x:c r="B435" s="54" t="s">
        <x:v>19</x:v>
      </x:c>
      <x:c r="C435" s="54" t="s">
        <x:v>27</x:v>
      </x:c>
      <x:c r="D435" s="55">
        <x:v>45350</x:v>
      </x:c>
      <x:c r="E435" s="54" t="s">
        <x:v>206</x:v>
      </x:c>
      <x:c r="F435" s="54">
        <x:v>1</x:v>
      </x:c>
      <x:c r="G435" s="148">
        <x:v>1739.14</x:v>
      </x:c>
      <x:c r="H435" s="148" t="n">
        <x:f t="shared" si="30">IFERROR(IF(OR($F$1="",D435=""),0,MAX(0,$F$1-D435)),0)</x:f>
        <x:v>1037</x:v>
      </x:c>
      <x:c r="I435" s="148">
        <x:v>0.33329999999999999</x:v>
      </x:c>
      <x:c r="J435" s="148" t="n">
        <x:f t="shared" si="31">IFERROR(IF(OR(G435="",G435&lt;=0,I435="",D435="",$F$1=""),0,IF($F$1&lt;D435,0,MIN(MAX(G435-1,0),MAX(0,(G435*I435/365)*H435)))),0)</x:f>
        <x:v>1646.8564668328765</x:v>
      </x:c>
      <x:c r="K435" s="148" t="n">
        <x:f t="shared" si="32">IFERROR(IF(OR(G435="",G435&lt;=0),0,MAX(1,G435-J435)),0)</x:f>
        <x:v>92.28353316712355</x:v>
      </x:c>
      <x:c r="L435" s="148" t="n">
        <x:f t="shared" si="33">IFERROR(IF(OR(G435="",G435&lt;=0,I435="",D435="",$F$1=""),0,IF($F$1&lt;D435,0,IF(K435&lt;=1,0,MIN(G435*I435/12,K435-1)))),0)</x:f>
        <x:v>48.304613499999995</x:v>
      </x:c>
      <x:c r="M435" s="58" t="s">
        <x:v>18</x:v>
      </x:c>
    </x:row>
    <x:row r="436" ht="19.899999618530273" customHeight="1">
      <x:c r="A436" s="53">
        <x:f t="shared" si="34"/>
        <x:v>431</x:v>
      </x:c>
      <x:c r="B436" s="54" t="s">
        <x:v>19</x:v>
      </x:c>
      <x:c r="C436" s="54" t="s">
        <x:v>27</x:v>
      </x:c>
      <x:c r="D436" s="55">
        <x:v>45326</x:v>
      </x:c>
      <x:c r="E436" s="54" t="s">
        <x:v>207</x:v>
      </x:c>
      <x:c r="F436" s="54">
        <x:v>1</x:v>
      </x:c>
      <x:c r="G436" s="148">
        <x:v>32580</x:v>
      </x:c>
      <x:c r="H436" s="148" t="n">
        <x:f t="shared" si="30">IFERROR(IF(OR($F$1="",D436=""),0,MAX(0,$F$1-D436)),0)</x:f>
        <x:v>1061</x:v>
      </x:c>
      <x:c r="I436" s="148">
        <x:v>0.33329999999999999</x:v>
      </x:c>
      <x:c r="J436" s="148" t="n">
        <x:f t="shared" si="31">IFERROR(IF(OR(G436="",G436&lt;=0,I436="",D436="",$F$1=""),0,IF($F$1&lt;D436,0,MIN(MAX(G436-1,0),MAX(0,(G436*I436/365)*H436)))),0)</x:f>
        <x:v>31565.22672328767</x:v>
      </x:c>
      <x:c r="K436" s="148" t="n">
        <x:f t="shared" si="32">IFERROR(IF(OR(G436="",G436&lt;=0),0,MAX(1,G436-J436)),0)</x:f>
        <x:v>1014.7732767123307</x:v>
      </x:c>
      <x:c r="L436" s="148" t="n">
        <x:f t="shared" si="33">IFERROR(IF(OR(G436="",G436&lt;=0,I436="",D436="",$F$1=""),0,IF($F$1&lt;D436,0,IF(K436&lt;=1,0,MIN(G436*I436/12,K436-1)))),0)</x:f>
        <x:v>904.9094999999999</x:v>
      </x:c>
      <x:c r="M436" s="58" t="s">
        <x:v>18</x:v>
      </x:c>
    </x:row>
    <x:row r="437" ht="19.899999618530273" customHeight="1">
      <x:c r="A437" s="53">
        <x:f t="shared" si="34"/>
        <x:v>432</x:v>
      </x:c>
      <x:c r="B437" s="54" t="s">
        <x:v>19</x:v>
      </x:c>
      <x:c r="C437" s="54" t="s">
        <x:v>27</x:v>
      </x:c>
      <x:c r="D437" s="55">
        <x:v>45185</x:v>
      </x:c>
      <x:c r="E437" s="54" t="s">
        <x:v>208</x:v>
      </x:c>
      <x:c r="F437" s="54">
        <x:v>1</x:v>
      </x:c>
      <x:c r="G437" s="148">
        <x:v>1129.57</x:v>
      </x:c>
      <x:c r="H437" s="148" t="n">
        <x:f t="shared" si="30">IFERROR(IF(OR($F$1="",D437=""),0,MAX(0,$F$1-D437)),0)</x:f>
        <x:v>1202</x:v>
      </x:c>
      <x:c r="I437" s="148">
        <x:v>0.33329999999999999</x:v>
      </x:c>
      <x:c r="J437" s="148" t="n">
        <x:f t="shared" si="31">IFERROR(IF(OR(G437="",G437&lt;=0,I437="",D437="",$F$1=""),0,IF($F$1&lt;D437,0,MIN(MAX(G437-1,0),MAX(0,(G437*I437/365)*H437)))),0)</x:f>
        <x:v>1128.57</x:v>
      </x:c>
      <x:c r="K437" s="148" t="n">
        <x:f t="shared" si="32">IFERROR(IF(OR(G437="",G437&lt;=0),0,MAX(1,G437-J437)),0)</x:f>
        <x:v>1</x:v>
      </x:c>
      <x:c r="L437" s="148" t="n">
        <x:f t="shared" si="33">IFERROR(IF(OR(G437="",G437&lt;=0,I437="",D437="",$F$1=""),0,IF($F$1&lt;D437,0,IF(K437&lt;=1,0,MIN(G437*I437/12,K437-1)))),0)</x:f>
        <x:v>0</x:v>
      </x:c>
      <x:c r="M437" s="58" t="s">
        <x:v>18</x:v>
      </x:c>
    </x:row>
    <x:row r="438" ht="19.899999618530273" customHeight="1">
      <x:c r="A438" s="53">
        <x:f t="shared" si="34"/>
        <x:v>433</x:v>
      </x:c>
      <x:c r="B438" s="54" t="s">
        <x:v>19</x:v>
      </x:c>
      <x:c r="C438" s="54" t="s">
        <x:v>27</x:v>
      </x:c>
      <x:c r="D438" s="55">
        <x:v>45787</x:v>
      </x:c>
      <x:c r="E438" s="54" t="s">
        <x:v>209</x:v>
      </x:c>
      <x:c r="F438" s="54">
        <x:v>1</x:v>
      </x:c>
      <x:c r="G438" s="148">
        <x:v>2868.7</x:v>
      </x:c>
      <x:c r="H438" s="148" t="n">
        <x:f t="shared" si="30">IFERROR(IF(OR($F$1="",D438=""),0,MAX(0,$F$1-D438)),0)</x:f>
        <x:v>600</x:v>
      </x:c>
      <x:c r="I438" s="148">
        <x:v>0.33329999999999999</x:v>
      </x:c>
      <x:c r="J438" s="148" t="n">
        <x:f t="shared" si="31">IFERROR(IF(OR(G438="",G438&lt;=0,I438="",D438="",$F$1=""),0,IF($F$1&lt;D438,0,MIN(MAX(G438-1,0),MAX(0,(G438*I438/365)*H438)))),0)</x:f>
        <x:v>1571.733221917808</x:v>
      </x:c>
      <x:c r="K438" s="148" t="n">
        <x:f t="shared" si="32">IFERROR(IF(OR(G438="",G438&lt;=0),0,MAX(1,G438-J438)),0)</x:f>
        <x:v>1296.966778082192</x:v>
      </x:c>
      <x:c r="L438" s="148" t="n">
        <x:f t="shared" si="33">IFERROR(IF(OR(G438="",G438&lt;=0,I438="",D438="",$F$1=""),0,IF($F$1&lt;D438,0,IF(K438&lt;=1,0,MIN(G438*I438/12,K438-1)))),0)</x:f>
        <x:v>79.67814249999999</x:v>
      </x:c>
      <x:c r="M438" s="58" t="s">
        <x:v>18</x:v>
      </x:c>
    </x:row>
    <x:row r="439" ht="19.899999618530273" customHeight="1">
      <x:c r="A439" s="53">
        <x:f t="shared" si="34"/>
        <x:v>434</x:v>
      </x:c>
      <x:c r="B439" s="54" t="s">
        <x:v>19</x:v>
      </x:c>
      <x:c r="C439" s="54" t="s">
        <x:v>27</x:v>
      </x:c>
      <x:c r="D439" s="55">
        <x:v>45823</x:v>
      </x:c>
      <x:c r="E439" s="54" t="s">
        <x:v>210</x:v>
      </x:c>
      <x:c r="F439" s="54">
        <x:v>1</x:v>
      </x:c>
      <x:c r="G439" s="148">
        <x:v>2260</x:v>
      </x:c>
      <x:c r="H439" s="148" t="n">
        <x:f t="shared" si="30">IFERROR(IF(OR($F$1="",D439=""),0,MAX(0,$F$1-D439)),0)</x:f>
        <x:v>564</x:v>
      </x:c>
      <x:c r="I439" s="148">
        <x:v>0.33329999999999999</x:v>
      </x:c>
      <x:c r="J439" s="148" t="n">
        <x:f t="shared" si="31">IFERROR(IF(OR(G439="",G439&lt;=0,I439="",D439="",$F$1=""),0,IF($F$1&lt;D439,0,MIN(MAX(G439-1,0),MAX(0,(G439*I439/365)*H439)))),0)</x:f>
        <x:v>1163.9383890410957</x:v>
      </x:c>
      <x:c r="K439" s="148" t="n">
        <x:f t="shared" si="32">IFERROR(IF(OR(G439="",G439&lt;=0),0,MAX(1,G439-J439)),0)</x:f>
        <x:v>1096.0616109589043</x:v>
      </x:c>
      <x:c r="L439" s="148" t="n">
        <x:f t="shared" si="33">IFERROR(IF(OR(G439="",G439&lt;=0,I439="",D439="",$F$1=""),0,IF($F$1&lt;D439,0,IF(K439&lt;=1,0,MIN(G439*I439/12,K439-1)))),0)</x:f>
        <x:v>62.771499999999996</x:v>
      </x:c>
      <x:c r="M439" s="58" t="s">
        <x:v>18</x:v>
      </x:c>
    </x:row>
    <x:row r="440" ht="19.899999618530273" customHeight="1">
      <x:c r="A440" s="53">
        <x:f t="shared" si="34"/>
        <x:v>435</x:v>
      </x:c>
      <x:c r="B440" s="54" t="s">
        <x:v>19</x:v>
      </x:c>
      <x:c r="C440" s="54" t="s">
        <x:v>27</x:v>
      </x:c>
      <x:c r="D440" s="55">
        <x:v>45870</x:v>
      </x:c>
      <x:c r="E440" s="54" t="s">
        <x:v>211</x:v>
      </x:c>
      <x:c r="F440" s="54">
        <x:v>1</x:v>
      </x:c>
      <x:c r="G440" s="148">
        <x:v>2805</x:v>
      </x:c>
      <x:c r="H440" s="148" t="n">
        <x:f t="shared" si="30">IFERROR(IF(OR($F$1="",D440=""),0,MAX(0,$F$1-D440)),0)</x:f>
        <x:v>517</x:v>
      </x:c>
      <x:c r="I440" s="148">
        <x:v>0.33329999999999999</x:v>
      </x:c>
      <x:c r="J440" s="148" t="n">
        <x:f t="shared" si="31">IFERROR(IF(OR(G440="",G440&lt;=0,I440="",D440="",$F$1=""),0,IF($F$1&lt;D440,0,MIN(MAX(G440-1,0),MAX(0,(G440*I440/365)*H440)))),0)</x:f>
        <x:v>1324.2374260273973</x:v>
      </x:c>
      <x:c r="K440" s="148" t="n">
        <x:f t="shared" si="32">IFERROR(IF(OR(G440="",G440&lt;=0),0,MAX(1,G440-J440)),0)</x:f>
        <x:v>1480.7625739726027</x:v>
      </x:c>
      <x:c r="L440" s="148" t="n">
        <x:f t="shared" si="33">IFERROR(IF(OR(G440="",G440&lt;=0,I440="",D440="",$F$1=""),0,IF($F$1&lt;D440,0,IF(K440&lt;=1,0,MIN(G440*I440/12,K440-1)))),0)</x:f>
        <x:v>77.908875</x:v>
      </x:c>
      <x:c r="M440" s="58" t="s">
        <x:v>18</x:v>
      </x:c>
    </x:row>
    <x:row r="441" ht="19.899999618530273" customHeight="1">
      <x:c r="A441" s="53">
        <x:f t="shared" si="34"/>
        <x:v>436</x:v>
      </x:c>
      <x:c r="B441" s="54" t="s">
        <x:v>19</x:v>
      </x:c>
      <x:c r="C441" s="54" t="s">
        <x:v>27</x:v>
      </x:c>
      <x:c r="D441" s="55">
        <x:v>45158</x:v>
      </x:c>
      <x:c r="E441" s="54" t="s">
        <x:v>212</x:v>
      </x:c>
      <x:c r="F441" s="54">
        <x:v>1</x:v>
      </x:c>
      <x:c r="G441" s="148">
        <x:v>2460</x:v>
      </x:c>
      <x:c r="H441" s="148" t="n">
        <x:f t="shared" si="30">IFERROR(IF(OR($F$1="",D441=""),0,MAX(0,$F$1-D441)),0)</x:f>
        <x:v>1229</x:v>
      </x:c>
      <x:c r="I441" s="148">
        <x:v>0.33329999999999999</x:v>
      </x:c>
      <x:c r="J441" s="148" t="n">
        <x:f t="shared" si="31">IFERROR(IF(OR(G441="",G441&lt;=0,I441="",D441="",$F$1=""),0,IF($F$1&lt;D441,0,MIN(MAX(G441-1,0),MAX(0,(G441*I441/365)*H441)))),0)</x:f>
        <x:v>2459</x:v>
      </x:c>
      <x:c r="K441" s="148" t="n">
        <x:f t="shared" si="32">IFERROR(IF(OR(G441="",G441&lt;=0),0,MAX(1,G441-J441)),0)</x:f>
        <x:v>1</x:v>
      </x:c>
      <x:c r="L441" s="148" t="n">
        <x:f t="shared" si="33">IFERROR(IF(OR(G441="",G441&lt;=0,I441="",D441="",$F$1=""),0,IF($F$1&lt;D441,0,IF(K441&lt;=1,0,MIN(G441*I441/12,K441-1)))),0)</x:f>
        <x:v>0</x:v>
      </x:c>
      <x:c r="M441" s="58" t="s">
        <x:v>18</x:v>
      </x:c>
    </x:row>
    <x:row r="442" ht="19.899999618530273" customHeight="1">
      <x:c r="A442" s="53">
        <x:f t="shared" si="34"/>
        <x:v>437</x:v>
      </x:c>
      <x:c r="B442" s="54" t="s">
        <x:v>19</x:v>
      </x:c>
      <x:c r="C442" s="54" t="s">
        <x:v>27</x:v>
      </x:c>
      <x:c r="D442" s="55">
        <x:v>45158</x:v>
      </x:c>
      <x:c r="E442" s="54" t="s">
        <x:v>212</x:v>
      </x:c>
      <x:c r="F442" s="54">
        <x:v>1</x:v>
      </x:c>
      <x:c r="G442" s="148">
        <x:v>2460</x:v>
      </x:c>
      <x:c r="H442" s="148" t="n">
        <x:f t="shared" si="30">IFERROR(IF(OR($F$1="",D442=""),0,MAX(0,$F$1-D442)),0)</x:f>
        <x:v>1229</x:v>
      </x:c>
      <x:c r="I442" s="148">
        <x:v>0.33329999999999999</x:v>
      </x:c>
      <x:c r="J442" s="148" t="n">
        <x:f t="shared" si="31">IFERROR(IF(OR(G442="",G442&lt;=0,I442="",D442="",$F$1=""),0,IF($F$1&lt;D442,0,MIN(MAX(G442-1,0),MAX(0,(G442*I442/365)*H442)))),0)</x:f>
        <x:v>2459</x:v>
      </x:c>
      <x:c r="K442" s="148" t="n">
        <x:f t="shared" si="32">IFERROR(IF(OR(G442="",G442&lt;=0),0,MAX(1,G442-J442)),0)</x:f>
        <x:v>1</x:v>
      </x:c>
      <x:c r="L442" s="148" t="n">
        <x:f t="shared" si="33">IFERROR(IF(OR(G442="",G442&lt;=0,I442="",D442="",$F$1=""),0,IF($F$1&lt;D442,0,IF(K442&lt;=1,0,MIN(G442*I442/12,K442-1)))),0)</x:f>
        <x:v>0</x:v>
      </x:c>
      <x:c r="M442" s="58" t="s">
        <x:v>18</x:v>
      </x:c>
    </x:row>
    <x:row r="443" ht="19.899999618530273" customHeight="1">
      <x:c r="A443" s="53">
        <x:f t="shared" si="34"/>
        <x:v>438</x:v>
      </x:c>
      <x:c r="B443" s="54" t="s">
        <x:v>19</x:v>
      </x:c>
      <x:c r="C443" s="54" t="s">
        <x:v>27</x:v>
      </x:c>
      <x:c r="D443" s="55">
        <x:v>45158</x:v>
      </x:c>
      <x:c r="E443" s="54" t="s">
        <x:v>212</x:v>
      </x:c>
      <x:c r="F443" s="54">
        <x:v>1</x:v>
      </x:c>
      <x:c r="G443" s="148">
        <x:v>2460</x:v>
      </x:c>
      <x:c r="H443" s="148" t="n">
        <x:f t="shared" si="30">IFERROR(IF(OR($F$1="",D443=""),0,MAX(0,$F$1-D443)),0)</x:f>
        <x:v>1229</x:v>
      </x:c>
      <x:c r="I443" s="148">
        <x:v>0.33329999999999999</x:v>
      </x:c>
      <x:c r="J443" s="148" t="n">
        <x:f t="shared" si="31">IFERROR(IF(OR(G443="",G443&lt;=0,I443="",D443="",$F$1=""),0,IF($F$1&lt;D443,0,MIN(MAX(G443-1,0),MAX(0,(G443*I443/365)*H443)))),0)</x:f>
        <x:v>2459</x:v>
      </x:c>
      <x:c r="K443" s="148" t="n">
        <x:f t="shared" si="32">IFERROR(IF(OR(G443="",G443&lt;=0),0,MAX(1,G443-J443)),0)</x:f>
        <x:v>1</x:v>
      </x:c>
      <x:c r="L443" s="148" t="n">
        <x:f t="shared" si="33">IFERROR(IF(OR(G443="",G443&lt;=0,I443="",D443="",$F$1=""),0,IF($F$1&lt;D443,0,IF(K443&lt;=1,0,MIN(G443*I443/12,K443-1)))),0)</x:f>
        <x:v>0</x:v>
      </x:c>
      <x:c r="M443" s="58" t="s">
        <x:v>18</x:v>
      </x:c>
    </x:row>
    <x:row r="444" ht="19.899999618530273" customHeight="1">
      <x:c r="A444" s="53">
        <x:f t="shared" si="34"/>
        <x:v>439</x:v>
      </x:c>
      <x:c r="B444" s="54" t="s">
        <x:v>46</x:v>
      </x:c>
      <x:c r="C444" s="54" t="s">
        <x:v>27</x:v>
      </x:c>
      <x:c r="D444" s="55">
        <x:v>45158</x:v>
      </x:c>
      <x:c r="E444" s="54" t="s">
        <x:v>212</x:v>
      </x:c>
      <x:c r="F444" s="54">
        <x:v>1</x:v>
      </x:c>
      <x:c r="G444" s="148">
        <x:v>2460</x:v>
      </x:c>
      <x:c r="H444" s="148" t="n">
        <x:f t="shared" si="30">IFERROR(IF(OR($F$1="",D444=""),0,MAX(0,$F$1-D444)),0)</x:f>
        <x:v>1229</x:v>
      </x:c>
      <x:c r="I444" s="148">
        <x:v>0.33329999999999999</x:v>
      </x:c>
      <x:c r="J444" s="148" t="n">
        <x:f t="shared" si="31">IFERROR(IF(OR(G444="",G444&lt;=0,I444="",D444="",$F$1=""),0,IF($F$1&lt;D444,0,MIN(MAX(G444-1,0),MAX(0,(G444*I444/365)*H444)))),0)</x:f>
        <x:v>2459</x:v>
      </x:c>
      <x:c r="K444" s="148" t="n">
        <x:f t="shared" si="32">IFERROR(IF(OR(G444="",G444&lt;=0),0,MAX(1,G444-J444)),0)</x:f>
        <x:v>1</x:v>
      </x:c>
      <x:c r="L444" s="148" t="n">
        <x:f t="shared" si="33">IFERROR(IF(OR(G444="",G444&lt;=0,I444="",D444="",$F$1=""),0,IF($F$1&lt;D444,0,IF(K444&lt;=1,0,MIN(G444*I444/12,K444-1)))),0)</x:f>
        <x:v>0</x:v>
      </x:c>
      <x:c r="M444" s="58" t="s">
        <x:v>18</x:v>
      </x:c>
    </x:row>
    <x:row r="445" ht="19.899999618530273" customHeight="1">
      <x:c r="A445" s="53">
        <x:f t="shared" si="34"/>
        <x:v>440</x:v>
      </x:c>
      <x:c r="B445" s="54" t="s">
        <x:v>19</x:v>
      </x:c>
      <x:c r="C445" s="54" t="s">
        <x:v>27</x:v>
      </x:c>
      <x:c r="D445" s="55">
        <x:v>45158</x:v>
      </x:c>
      <x:c r="E445" s="54" t="s">
        <x:v>213</x:v>
      </x:c>
      <x:c r="F445" s="54">
        <x:v>1</x:v>
      </x:c>
      <x:c r="G445" s="148">
        <x:v>500</x:v>
      </x:c>
      <x:c r="H445" s="148" t="n">
        <x:f t="shared" si="30">IFERROR(IF(OR($F$1="",D445=""),0,MAX(0,$F$1-D445)),0)</x:f>
        <x:v>1229</x:v>
      </x:c>
      <x:c r="I445" s="148">
        <x:v>0.33329999999999999</x:v>
      </x:c>
      <x:c r="J445" s="148" t="n">
        <x:f t="shared" si="31">IFERROR(IF(OR(G445="",G445&lt;=0,I445="",D445="",$F$1=""),0,IF($F$1&lt;D445,0,MIN(MAX(G445-1,0),MAX(0,(G445*I445/365)*H445)))),0)</x:f>
        <x:v>499</x:v>
      </x:c>
      <x:c r="K445" s="148" t="n">
        <x:f t="shared" si="32">IFERROR(IF(OR(G445="",G445&lt;=0),0,MAX(1,G445-J445)),0)</x:f>
        <x:v>1</x:v>
      </x:c>
      <x:c r="L445" s="148" t="n">
        <x:f t="shared" si="33">IFERROR(IF(OR(G445="",G445&lt;=0,I445="",D445="",$F$1=""),0,IF($F$1&lt;D445,0,IF(K445&lt;=1,0,MIN(G445*I445/12,K445-1)))),0)</x:f>
        <x:v>0</x:v>
      </x:c>
      <x:c r="M445" s="58" t="s">
        <x:v>18</x:v>
      </x:c>
    </x:row>
    <x:row r="446" ht="19.899999618530273" customHeight="1">
      <x:c r="A446" s="53">
        <x:f t="shared" si="34"/>
        <x:v>441</x:v>
      </x:c>
      <x:c r="B446" s="54" t="s">
        <x:v>19</x:v>
      </x:c>
      <x:c r="C446" s="54" t="s">
        <x:v>27</x:v>
      </x:c>
      <x:c r="D446" s="55">
        <x:v>45158</x:v>
      </x:c>
      <x:c r="E446" s="54" t="s">
        <x:v>213</x:v>
      </x:c>
      <x:c r="F446" s="54">
        <x:v>1</x:v>
      </x:c>
      <x:c r="G446" s="148">
        <x:v>500</x:v>
      </x:c>
      <x:c r="H446" s="148" t="n">
        <x:f t="shared" si="30">IFERROR(IF(OR($F$1="",D446=""),0,MAX(0,$F$1-D446)),0)</x:f>
        <x:v>1229</x:v>
      </x:c>
      <x:c r="I446" s="148">
        <x:v>0.33329999999999999</x:v>
      </x:c>
      <x:c r="J446" s="148" t="n">
        <x:f t="shared" si="31">IFERROR(IF(OR(G446="",G446&lt;=0,I446="",D446="",$F$1=""),0,IF($F$1&lt;D446,0,MIN(MAX(G446-1,0),MAX(0,(G446*I446/365)*H446)))),0)</x:f>
        <x:v>499</x:v>
      </x:c>
      <x:c r="K446" s="148" t="n">
        <x:f t="shared" si="32">IFERROR(IF(OR(G446="",G446&lt;=0),0,MAX(1,G446-J446)),0)</x:f>
        <x:v>1</x:v>
      </x:c>
      <x:c r="L446" s="148" t="n">
        <x:f t="shared" si="33">IFERROR(IF(OR(G446="",G446&lt;=0,I446="",D446="",$F$1=""),0,IF($F$1&lt;D446,0,IF(K446&lt;=1,0,MIN(G446*I446/12,K446-1)))),0)</x:f>
        <x:v>0</x:v>
      </x:c>
      <x:c r="M446" s="58" t="s">
        <x:v>18</x:v>
      </x:c>
    </x:row>
    <x:row r="447" ht="19.899999618530273" customHeight="1">
      <x:c r="A447" s="53">
        <x:f t="shared" si="34"/>
        <x:v>442</x:v>
      </x:c>
      <x:c r="B447" s="54" t="s">
        <x:v>19</x:v>
      </x:c>
      <x:c r="C447" s="54" t="s">
        <x:v>27</x:v>
      </x:c>
      <x:c r="D447" s="55">
        <x:v>45158</x:v>
      </x:c>
      <x:c r="E447" s="54" t="s">
        <x:v>213</x:v>
      </x:c>
      <x:c r="F447" s="54">
        <x:v>1</x:v>
      </x:c>
      <x:c r="G447" s="148">
        <x:v>500</x:v>
      </x:c>
      <x:c r="H447" s="148" t="n">
        <x:f t="shared" si="30">IFERROR(IF(OR($F$1="",D447=""),0,MAX(0,$F$1-D447)),0)</x:f>
        <x:v>1229</x:v>
      </x:c>
      <x:c r="I447" s="148">
        <x:v>0.33329999999999999</x:v>
      </x:c>
      <x:c r="J447" s="148" t="n">
        <x:f t="shared" si="31">IFERROR(IF(OR(G447="",G447&lt;=0,I447="",D447="",$F$1=""),0,IF($F$1&lt;D447,0,MIN(MAX(G447-1,0),MAX(0,(G447*I447/365)*H447)))),0)</x:f>
        <x:v>499</x:v>
      </x:c>
      <x:c r="K447" s="148" t="n">
        <x:f t="shared" si="32">IFERROR(IF(OR(G447="",G447&lt;=0),0,MAX(1,G447-J447)),0)</x:f>
        <x:v>1</x:v>
      </x:c>
      <x:c r="L447" s="148" t="n">
        <x:f t="shared" si="33">IFERROR(IF(OR(G447="",G447&lt;=0,I447="",D447="",$F$1=""),0,IF($F$1&lt;D447,0,IF(K447&lt;=1,0,MIN(G447*I447/12,K447-1)))),0)</x:f>
        <x:v>0</x:v>
      </x:c>
      <x:c r="M447" s="58" t="s">
        <x:v>18</x:v>
      </x:c>
    </x:row>
    <x:row r="448" ht="19.899999618530273" customHeight="1">
      <x:c r="A448" s="53">
        <x:f t="shared" si="34"/>
        <x:v>443</x:v>
      </x:c>
      <x:c r="B448" s="54" t="s">
        <x:v>19</x:v>
      </x:c>
      <x:c r="C448" s="54" t="s">
        <x:v>27</x:v>
      </x:c>
      <x:c r="D448" s="55">
        <x:v>45158</x:v>
      </x:c>
      <x:c r="E448" s="54" t="s">
        <x:v>213</x:v>
      </x:c>
      <x:c r="F448" s="54">
        <x:v>1</x:v>
      </x:c>
      <x:c r="G448" s="148">
        <x:v>500</x:v>
      </x:c>
      <x:c r="H448" s="148" t="n">
        <x:f t="shared" si="30">IFERROR(IF(OR($F$1="",D448=""),0,MAX(0,$F$1-D448)),0)</x:f>
        <x:v>1229</x:v>
      </x:c>
      <x:c r="I448" s="148">
        <x:v>0.33329999999999999</x:v>
      </x:c>
      <x:c r="J448" s="148" t="n">
        <x:f t="shared" si="31">IFERROR(IF(OR(G448="",G448&lt;=0,I448="",D448="",$F$1=""),0,IF($F$1&lt;D448,0,MIN(MAX(G448-1,0),MAX(0,(G448*I448/365)*H448)))),0)</x:f>
        <x:v>499</x:v>
      </x:c>
      <x:c r="K448" s="148" t="n">
        <x:f t="shared" si="32">IFERROR(IF(OR(G448="",G448&lt;=0),0,MAX(1,G448-J448)),0)</x:f>
        <x:v>1</x:v>
      </x:c>
      <x:c r="L448" s="148" t="n">
        <x:f t="shared" si="33">IFERROR(IF(OR(G448="",G448&lt;=0,I448="",D448="",$F$1=""),0,IF($F$1&lt;D448,0,IF(K448&lt;=1,0,MIN(G448*I448/12,K448-1)))),0)</x:f>
        <x:v>0</x:v>
      </x:c>
      <x:c r="M448" s="58" t="s">
        <x:v>18</x:v>
      </x:c>
    </x:row>
    <x:row r="449" ht="19.899999618530273" customHeight="1">
      <x:c r="A449" s="53">
        <x:f t="shared" si="34"/>
        <x:v>444</x:v>
      </x:c>
      <x:c r="B449" s="54" t="s">
        <x:v>19</x:v>
      </x:c>
      <x:c r="C449" s="54" t="s">
        <x:v>27</x:v>
      </x:c>
      <x:c r="D449" s="55">
        <x:v>45158</x:v>
      </x:c>
      <x:c r="E449" s="54" t="s">
        <x:v>214</x:v>
      </x:c>
      <x:c r="F449" s="54">
        <x:v>1</x:v>
      </x:c>
      <x:c r="G449" s="148">
        <x:v>615</x:v>
      </x:c>
      <x:c r="H449" s="148" t="n">
        <x:f t="shared" si="30">IFERROR(IF(OR($F$1="",D449=""),0,MAX(0,$F$1-D449)),0)</x:f>
        <x:v>1229</x:v>
      </x:c>
      <x:c r="I449" s="148">
        <x:v>0.33329999999999999</x:v>
      </x:c>
      <x:c r="J449" s="148" t="n">
        <x:f t="shared" si="31">IFERROR(IF(OR(G449="",G449&lt;=0,I449="",D449="",$F$1=""),0,IF($F$1&lt;D449,0,MIN(MAX(G449-1,0),MAX(0,(G449*I449/365)*H449)))),0)</x:f>
        <x:v>614</x:v>
      </x:c>
      <x:c r="K449" s="148" t="n">
        <x:f t="shared" si="32">IFERROR(IF(OR(G449="",G449&lt;=0),0,MAX(1,G449-J449)),0)</x:f>
        <x:v>1</x:v>
      </x:c>
      <x:c r="L449" s="148" t="n">
        <x:f t="shared" si="33">IFERROR(IF(OR(G449="",G449&lt;=0,I449="",D449="",$F$1=""),0,IF($F$1&lt;D449,0,IF(K449&lt;=1,0,MIN(G449*I449/12,K449-1)))),0)</x:f>
        <x:v>0</x:v>
      </x:c>
      <x:c r="M449" s="58" t="s">
        <x:v>18</x:v>
      </x:c>
    </x:row>
    <x:row r="450" ht="19.899999618530273" customHeight="1">
      <x:c r="A450" s="53">
        <x:f t="shared" si="34"/>
        <x:v>445</x:v>
      </x:c>
      <x:c r="B450" s="54" t="s">
        <x:v>19</x:v>
      </x:c>
      <x:c r="C450" s="54" t="s">
        <x:v>27</x:v>
      </x:c>
      <x:c r="D450" s="55">
        <x:v>45158</x:v>
      </x:c>
      <x:c r="E450" s="54" t="s">
        <x:v>214</x:v>
      </x:c>
      <x:c r="F450" s="54">
        <x:v>1</x:v>
      </x:c>
      <x:c r="G450" s="148">
        <x:v>615</x:v>
      </x:c>
      <x:c r="H450" s="148" t="n">
        <x:f t="shared" si="30">IFERROR(IF(OR($F$1="",D450=""),0,MAX(0,$F$1-D450)),0)</x:f>
        <x:v>1229</x:v>
      </x:c>
      <x:c r="I450" s="148">
        <x:v>0.33329999999999999</x:v>
      </x:c>
      <x:c r="J450" s="148" t="n">
        <x:f t="shared" si="31">IFERROR(IF(OR(G450="",G450&lt;=0,I450="",D450="",$F$1=""),0,IF($F$1&lt;D450,0,MIN(MAX(G450-1,0),MAX(0,(G450*I450/365)*H450)))),0)</x:f>
        <x:v>614</x:v>
      </x:c>
      <x:c r="K450" s="148" t="n">
        <x:f t="shared" si="32">IFERROR(IF(OR(G450="",G450&lt;=0),0,MAX(1,G450-J450)),0)</x:f>
        <x:v>1</x:v>
      </x:c>
      <x:c r="L450" s="148" t="n">
        <x:f t="shared" si="33">IFERROR(IF(OR(G450="",G450&lt;=0,I450="",D450="",$F$1=""),0,IF($F$1&lt;D450,0,IF(K450&lt;=1,0,MIN(G450*I450/12,K450-1)))),0)</x:f>
        <x:v>0</x:v>
      </x:c>
      <x:c r="M450" s="58" t="s">
        <x:v>18</x:v>
      </x:c>
    </x:row>
    <x:row r="451" ht="19.899999618530273" customHeight="1">
      <x:c r="A451" s="53">
        <x:f t="shared" si="34"/>
        <x:v>446</x:v>
      </x:c>
      <x:c r="B451" s="54" t="s">
        <x:v>19</x:v>
      </x:c>
      <x:c r="C451" s="54" t="s">
        <x:v>27</x:v>
      </x:c>
      <x:c r="D451" s="55">
        <x:v>45158</x:v>
      </x:c>
      <x:c r="E451" s="54" t="s">
        <x:v>215</x:v>
      </x:c>
      <x:c r="F451" s="54">
        <x:v>1</x:v>
      </x:c>
      <x:c r="G451" s="148">
        <x:v>380</x:v>
      </x:c>
      <x:c r="H451" s="148" t="n">
        <x:f t="shared" si="30">IFERROR(IF(OR($F$1="",D451=""),0,MAX(0,$F$1-D451)),0)</x:f>
        <x:v>1229</x:v>
      </x:c>
      <x:c r="I451" s="148">
        <x:v>0.33329999999999999</x:v>
      </x:c>
      <x:c r="J451" s="148" t="n">
        <x:f t="shared" si="31">IFERROR(IF(OR(G451="",G451&lt;=0,I451="",D451="",$F$1=""),0,IF($F$1&lt;D451,0,MIN(MAX(G451-1,0),MAX(0,(G451*I451/365)*H451)))),0)</x:f>
        <x:v>379</x:v>
      </x:c>
      <x:c r="K451" s="148" t="n">
        <x:f t="shared" si="32">IFERROR(IF(OR(G451="",G451&lt;=0),0,MAX(1,G451-J451)),0)</x:f>
        <x:v>1</x:v>
      </x:c>
      <x:c r="L451" s="148" t="n">
        <x:f t="shared" si="33">IFERROR(IF(OR(G451="",G451&lt;=0,I451="",D451="",$F$1=""),0,IF($F$1&lt;D451,0,IF(K451&lt;=1,0,MIN(G451*I451/12,K451-1)))),0)</x:f>
        <x:v>0</x:v>
      </x:c>
      <x:c r="M451" s="58" t="s">
        <x:v>18</x:v>
      </x:c>
    </x:row>
    <x:row r="452" ht="19.899999618530273" customHeight="1">
      <x:c r="A452" s="53">
        <x:f t="shared" si="34"/>
        <x:v>447</x:v>
      </x:c>
      <x:c r="B452" s="54" t="s">
        <x:v>19</x:v>
      </x:c>
      <x:c r="C452" s="54" t="s">
        <x:v>27</x:v>
      </x:c>
      <x:c r="D452" s="55">
        <x:v>45158</x:v>
      </x:c>
      <x:c r="E452" s="54" t="s">
        <x:v>215</x:v>
      </x:c>
      <x:c r="F452" s="54">
        <x:v>1</x:v>
      </x:c>
      <x:c r="G452" s="148">
        <x:v>380</x:v>
      </x:c>
      <x:c r="H452" s="148" t="n">
        <x:f t="shared" si="30">IFERROR(IF(OR($F$1="",D452=""),0,MAX(0,$F$1-D452)),0)</x:f>
        <x:v>1229</x:v>
      </x:c>
      <x:c r="I452" s="148">
        <x:v>0.33329999999999999</x:v>
      </x:c>
      <x:c r="J452" s="148" t="n">
        <x:f t="shared" si="31">IFERROR(IF(OR(G452="",G452&lt;=0,I452="",D452="",$F$1=""),0,IF($F$1&lt;D452,0,MIN(MAX(G452-1,0),MAX(0,(G452*I452/365)*H452)))),0)</x:f>
        <x:v>379</x:v>
      </x:c>
      <x:c r="K452" s="148" t="n">
        <x:f t="shared" si="32">IFERROR(IF(OR(G452="",G452&lt;=0),0,MAX(1,G452-J452)),0)</x:f>
        <x:v>1</x:v>
      </x:c>
      <x:c r="L452" s="148" t="n">
        <x:f t="shared" si="33">IFERROR(IF(OR(G452="",G452&lt;=0,I452="",D452="",$F$1=""),0,IF($F$1&lt;D452,0,IF(K452&lt;=1,0,MIN(G452*I452/12,K452-1)))),0)</x:f>
        <x:v>0</x:v>
      </x:c>
      <x:c r="M452" s="58" t="s">
        <x:v>18</x:v>
      </x:c>
    </x:row>
    <x:row r="453" ht="19.899999618530273" customHeight="1">
      <x:c r="A453" s="53">
        <x:f t="shared" si="34"/>
        <x:v>448</x:v>
      </x:c>
      <x:c r="B453" s="54" t="s">
        <x:v>19</x:v>
      </x:c>
      <x:c r="C453" s="54" t="s">
        <x:v>27</x:v>
      </x:c>
      <x:c r="D453" s="55">
        <x:v>45166</x:v>
      </x:c>
      <x:c r="E453" s="54" t="s">
        <x:v>216</x:v>
      </x:c>
      <x:c r="F453" s="54">
        <x:v>1</x:v>
      </x:c>
      <x:c r="G453" s="148">
        <x:v>247.83</x:v>
      </x:c>
      <x:c r="H453" s="148" t="n">
        <x:f t="shared" si="30">IFERROR(IF(OR($F$1="",D453=""),0,MAX(0,$F$1-D453)),0)</x:f>
        <x:v>1221</x:v>
      </x:c>
      <x:c r="I453" s="148">
        <x:v>0.33329999999999999</x:v>
      </x:c>
      <x:c r="J453" s="148" t="n">
        <x:f t="shared" si="31">IFERROR(IF(OR(G453="",G453&lt;=0,I453="",D453="",$F$1=""),0,IF($F$1&lt;D453,0,MIN(MAX(G453-1,0),MAX(0,(G453*I453/365)*H453)))),0)</x:f>
        <x:v>246.83</x:v>
      </x:c>
      <x:c r="K453" s="148" t="n">
        <x:f t="shared" si="32">IFERROR(IF(OR(G453="",G453&lt;=0),0,MAX(1,G453-J453)),0)</x:f>
        <x:v>1</x:v>
      </x:c>
      <x:c r="L453" s="148" t="n">
        <x:f t="shared" si="33">IFERROR(IF(OR(G453="",G453&lt;=0,I453="",D453="",$F$1=""),0,IF($F$1&lt;D453,0,IF(K453&lt;=1,0,MIN(G453*I453/12,K453-1)))),0)</x:f>
        <x:v>0</x:v>
      </x:c>
      <x:c r="M453" s="58" t="s">
        <x:v>18</x:v>
      </x:c>
    </x:row>
    <x:row r="454" ht="19.899999618530273" customHeight="1">
      <x:c r="A454" s="53">
        <x:f t="shared" si="34"/>
        <x:v>449</x:v>
      </x:c>
      <x:c r="B454" s="54" t="s">
        <x:v>19</x:v>
      </x:c>
      <x:c r="C454" s="54" t="s">
        <x:v>27</x:v>
      </x:c>
      <x:c r="D454" s="55">
        <x:v>45166</x:v>
      </x:c>
      <x:c r="E454" s="54" t="s">
        <x:v>216</x:v>
      </x:c>
      <x:c r="F454" s="54">
        <x:v>1</x:v>
      </x:c>
      <x:c r="G454" s="148">
        <x:v>247.83</x:v>
      </x:c>
      <x:c r="H454" s="148" t="n">
        <x:f t="shared" ref="H454:H517" si="35">IFERROR(IF(OR($F$1="",D454=""),0,MAX(0,$F$1-D454)),0)</x:f>
        <x:v>1221</x:v>
      </x:c>
      <x:c r="I454" s="148">
        <x:v>0.33329999999999999</x:v>
      </x:c>
      <x:c r="J454" s="148" t="n">
        <x:f t="shared" ref="J454:J517" si="36">IFERROR(IF(OR(G454="",G454&lt;=0,I454="",D454="",$F$1=""),0,IF($F$1&lt;D454,0,MIN(MAX(G454-1,0),MAX(0,(G454*I454/365)*H454)))),0)</x:f>
        <x:v>246.83</x:v>
      </x:c>
      <x:c r="K454" s="148" t="n">
        <x:f t="shared" ref="K454:K500" si="37">IFERROR(IF(OR(G454="",G454&lt;=0),0,MAX(1,G454-J454)),0)</x:f>
        <x:v>1</x:v>
      </x:c>
      <x:c r="L454" s="148" t="n">
        <x:f t="shared" ref="L454:L517" si="38">IFERROR(IF(OR(G454="",G454&lt;=0,I454="",D454="",$F$1=""),0,IF($F$1&lt;D454,0,IF(K454&lt;=1,0,MIN(G454*I454/12,K454-1)))),0)</x:f>
        <x:v>0</x:v>
      </x:c>
      <x:c r="M454" s="58" t="s">
        <x:v>18</x:v>
      </x:c>
    </x:row>
    <x:row r="455" ht="19.899999618530273" customHeight="1">
      <x:c r="A455" s="53">
        <x:f t="shared" si="34"/>
        <x:v>450</x:v>
      </x:c>
      <x:c r="B455" s="54" t="s">
        <x:v>19</x:v>
      </x:c>
      <x:c r="C455" s="54" t="s">
        <x:v>27</x:v>
      </x:c>
      <x:c r="D455" s="55">
        <x:v>45162</x:v>
      </x:c>
      <x:c r="E455" s="54" t="s">
        <x:v>217</x:v>
      </x:c>
      <x:c r="F455" s="54">
        <x:v>1</x:v>
      </x:c>
      <x:c r="G455" s="148">
        <x:v>1500</x:v>
      </x:c>
      <x:c r="H455" s="148" t="n">
        <x:f t="shared" si="35">IFERROR(IF(OR($F$1="",D455=""),0,MAX(0,$F$1-D455)),0)</x:f>
        <x:v>1225</x:v>
      </x:c>
      <x:c r="I455" s="148">
        <x:v>0.33329999999999999</x:v>
      </x:c>
      <x:c r="J455" s="148" t="n">
        <x:f t="shared" si="36">IFERROR(IF(OR(G455="",G455&lt;=0,I455="",D455="",$F$1=""),0,IF($F$1&lt;D455,0,MIN(MAX(G455-1,0),MAX(0,(G455*I455/365)*H455)))),0)</x:f>
        <x:v>1499</x:v>
      </x:c>
      <x:c r="K455" s="148" t="n">
        <x:f t="shared" si="37">IFERROR(IF(OR(G455="",G455&lt;=0),0,MAX(1,G455-J455)),0)</x:f>
        <x:v>1</x:v>
      </x:c>
      <x:c r="L455" s="148" t="n">
        <x:f t="shared" si="38">IFERROR(IF(OR(G455="",G455&lt;=0,I455="",D455="",$F$1=""),0,IF($F$1&lt;D455,0,IF(K455&lt;=1,0,MIN(G455*I455/12,K455-1)))),0)</x:f>
        <x:v>0</x:v>
      </x:c>
      <x:c r="M455" s="58" t="s">
        <x:v>18</x:v>
      </x:c>
    </x:row>
    <x:row r="456" ht="19.899999618530273" customHeight="1">
      <x:c r="A456" s="53">
        <x:f t="shared" si="34"/>
        <x:v>451</x:v>
      </x:c>
      <x:c r="B456" s="54" t="s">
        <x:v>19</x:v>
      </x:c>
      <x:c r="C456" s="54" t="s">
        <x:v>27</x:v>
      </x:c>
      <x:c r="D456" s="55">
        <x:v>45162</x:v>
      </x:c>
      <x:c r="E456" s="54" t="s">
        <x:v>218</x:v>
      </x:c>
      <x:c r="F456" s="54">
        <x:v>1</x:v>
      </x:c>
      <x:c r="G456" s="148">
        <x:v>2460</x:v>
      </x:c>
      <x:c r="H456" s="148" t="n">
        <x:f t="shared" si="35">IFERROR(IF(OR($F$1="",D456=""),0,MAX(0,$F$1-D456)),0)</x:f>
        <x:v>1225</x:v>
      </x:c>
      <x:c r="I456" s="148">
        <x:v>0.33329999999999999</x:v>
      </x:c>
      <x:c r="J456" s="148" t="n">
        <x:f t="shared" si="36">IFERROR(IF(OR(G456="",G456&lt;=0,I456="",D456="",$F$1=""),0,IF($F$1&lt;D456,0,MIN(MAX(G456-1,0),MAX(0,(G456*I456/365)*H456)))),0)</x:f>
        <x:v>2459</x:v>
      </x:c>
      <x:c r="K456" s="148" t="n">
        <x:f t="shared" si="37">IFERROR(IF(OR(G456="",G456&lt;=0),0,MAX(1,G456-J456)),0)</x:f>
        <x:v>1</x:v>
      </x:c>
      <x:c r="L456" s="148" t="n">
        <x:f t="shared" si="38">IFERROR(IF(OR(G456="",G456&lt;=0,I456="",D456="",$F$1=""),0,IF($F$1&lt;D456,0,IF(K456&lt;=1,0,MIN(G456*I456/12,K456-1)))),0)</x:f>
        <x:v>0</x:v>
      </x:c>
      <x:c r="M456" s="58" t="s">
        <x:v>18</x:v>
      </x:c>
    </x:row>
    <x:row r="457" ht="19.899999618530273" customHeight="1">
      <x:c r="A457" s="53" t="n">
        <x:f t="shared" ref="A457:A506" si="39">A456+1</x:f>
        <x:v>452</x:v>
      </x:c>
      <x:c r="B457" s="54" t="s">
        <x:v>19</x:v>
      </x:c>
      <x:c r="C457" s="54" t="s">
        <x:v>27</x:v>
      </x:c>
      <x:c r="D457" s="55">
        <x:v>45162</x:v>
      </x:c>
      <x:c r="E457" s="54" t="s">
        <x:v>218</x:v>
      </x:c>
      <x:c r="F457" s="54">
        <x:v>1</x:v>
      </x:c>
      <x:c r="G457" s="148">
        <x:v>2460</x:v>
      </x:c>
      <x:c r="H457" s="148" t="n">
        <x:f t="shared" si="35">IFERROR(IF(OR($F$1="",D457=""),0,MAX(0,$F$1-D457)),0)</x:f>
        <x:v>1225</x:v>
      </x:c>
      <x:c r="I457" s="148">
        <x:v>0.33329999999999999</x:v>
      </x:c>
      <x:c r="J457" s="148" t="n">
        <x:f t="shared" si="36">IFERROR(IF(OR(G457="",G457&lt;=0,I457="",D457="",$F$1=""),0,IF($F$1&lt;D457,0,MIN(MAX(G457-1,0),MAX(0,(G457*I457/365)*H457)))),0)</x:f>
        <x:v>2459</x:v>
      </x:c>
      <x:c r="K457" s="148" t="n">
        <x:f t="shared" si="37">IFERROR(IF(OR(G457="",G457&lt;=0),0,MAX(1,G457-J457)),0)</x:f>
        <x:v>1</x:v>
      </x:c>
      <x:c r="L457" s="148" t="n">
        <x:f t="shared" si="38">IFERROR(IF(OR(G457="",G457&lt;=0,I457="",D457="",$F$1=""),0,IF($F$1&lt;D457,0,IF(K457&lt;=1,0,MIN(G457*I457/12,K457-1)))),0)</x:f>
        <x:v>0</x:v>
      </x:c>
      <x:c r="M457" s="58" t="s">
        <x:v>18</x:v>
      </x:c>
    </x:row>
    <x:row r="458" ht="19.899999618530273" customHeight="1">
      <x:c r="A458" s="53">
        <x:f t="shared" si="39"/>
        <x:v>453</x:v>
      </x:c>
      <x:c r="B458" s="54" t="s">
        <x:v>19</x:v>
      </x:c>
      <x:c r="C458" s="54" t="s">
        <x:v>27</x:v>
      </x:c>
      <x:c r="D458" s="55">
        <x:v>45162</x:v>
      </x:c>
      <x:c r="E458" s="54" t="s">
        <x:v>218</x:v>
      </x:c>
      <x:c r="F458" s="54">
        <x:v>1</x:v>
      </x:c>
      <x:c r="G458" s="148">
        <x:v>2460</x:v>
      </x:c>
      <x:c r="H458" s="148" t="n">
        <x:f t="shared" si="35">IFERROR(IF(OR($F$1="",D458=""),0,MAX(0,$F$1-D458)),0)</x:f>
        <x:v>1225</x:v>
      </x:c>
      <x:c r="I458" s="148">
        <x:v>0.33329999999999999</x:v>
      </x:c>
      <x:c r="J458" s="148" t="n">
        <x:f t="shared" si="36">IFERROR(IF(OR(G458="",G458&lt;=0,I458="",D458="",$F$1=""),0,IF($F$1&lt;D458,0,MIN(MAX(G458-1,0),MAX(0,(G458*I458/365)*H458)))),0)</x:f>
        <x:v>2459</x:v>
      </x:c>
      <x:c r="K458" s="148" t="n">
        <x:f t="shared" si="37">IFERROR(IF(OR(G458="",G458&lt;=0),0,MAX(1,G458-J458)),0)</x:f>
        <x:v>1</x:v>
      </x:c>
      <x:c r="L458" s="148" t="n">
        <x:f t="shared" si="38">IFERROR(IF(OR(G458="",G458&lt;=0,I458="",D458="",$F$1=""),0,IF($F$1&lt;D458,0,IF(K458&lt;=1,0,MIN(G458*I458/12,K458-1)))),0)</x:f>
        <x:v>0</x:v>
      </x:c>
      <x:c r="M458" s="58" t="s">
        <x:v>18</x:v>
      </x:c>
    </x:row>
    <x:row r="459" ht="19.899999618530273" customHeight="1">
      <x:c r="A459" s="53">
        <x:f t="shared" si="39"/>
        <x:v>454</x:v>
      </x:c>
      <x:c r="B459" s="54" t="s">
        <x:v>19</x:v>
      </x:c>
      <x:c r="C459" s="54" t="s">
        <x:v>27</x:v>
      </x:c>
      <x:c r="D459" s="55">
        <x:v>45162</x:v>
      </x:c>
      <x:c r="E459" s="54" t="s">
        <x:v>214</x:v>
      </x:c>
      <x:c r="F459" s="54">
        <x:v>1</x:v>
      </x:c>
      <x:c r="G459" s="148">
        <x:v>615</x:v>
      </x:c>
      <x:c r="H459" s="148" t="n">
        <x:f t="shared" si="35">IFERROR(IF(OR($F$1="",D459=""),0,MAX(0,$F$1-D459)),0)</x:f>
        <x:v>1225</x:v>
      </x:c>
      <x:c r="I459" s="148">
        <x:v>0.33329999999999999</x:v>
      </x:c>
      <x:c r="J459" s="148" t="n">
        <x:f t="shared" si="36">IFERROR(IF(OR(G459="",G459&lt;=0,I459="",D459="",$F$1=""),0,IF($F$1&lt;D459,0,MIN(MAX(G459-1,0),MAX(0,(G459*I459/365)*H459)))),0)</x:f>
        <x:v>614</x:v>
      </x:c>
      <x:c r="K459" s="148" t="n">
        <x:f t="shared" si="37">IFERROR(IF(OR(G459="",G459&lt;=0),0,MAX(1,G459-J459)),0)</x:f>
        <x:v>1</x:v>
      </x:c>
      <x:c r="L459" s="148" t="n">
        <x:f t="shared" si="38">IFERROR(IF(OR(G459="",G459&lt;=0,I459="",D459="",$F$1=""),0,IF($F$1&lt;D459,0,IF(K459&lt;=1,0,MIN(G459*I459/12,K459-1)))),0)</x:f>
        <x:v>0</x:v>
      </x:c>
      <x:c r="M459" s="58" t="s">
        <x:v>18</x:v>
      </x:c>
    </x:row>
    <x:row r="460" ht="19.899999618530273" customHeight="1">
      <x:c r="A460" s="53">
        <x:f t="shared" si="39"/>
        <x:v>455</x:v>
      </x:c>
      <x:c r="B460" s="54" t="s">
        <x:v>19</x:v>
      </x:c>
      <x:c r="C460" s="54" t="s">
        <x:v>27</x:v>
      </x:c>
      <x:c r="D460" s="55">
        <x:v>45162</x:v>
      </x:c>
      <x:c r="E460" s="54" t="s">
        <x:v>214</x:v>
      </x:c>
      <x:c r="F460" s="54">
        <x:v>1</x:v>
      </x:c>
      <x:c r="G460" s="148">
        <x:v>615</x:v>
      </x:c>
      <x:c r="H460" s="148" t="n">
        <x:f t="shared" si="35">IFERROR(IF(OR($F$1="",D460=""),0,MAX(0,$F$1-D460)),0)</x:f>
        <x:v>1225</x:v>
      </x:c>
      <x:c r="I460" s="148">
        <x:v>0.33329999999999999</x:v>
      </x:c>
      <x:c r="J460" s="148" t="n">
        <x:f t="shared" si="36">IFERROR(IF(OR(G460="",G460&lt;=0,I460="",D460="",$F$1=""),0,IF($F$1&lt;D460,0,MIN(MAX(G460-1,0),MAX(0,(G460*I460/365)*H460)))),0)</x:f>
        <x:v>614</x:v>
      </x:c>
      <x:c r="K460" s="148" t="n">
        <x:f t="shared" si="37">IFERROR(IF(OR(G460="",G460&lt;=0),0,MAX(1,G460-J460)),0)</x:f>
        <x:v>1</x:v>
      </x:c>
      <x:c r="L460" s="148" t="n">
        <x:f t="shared" si="38">IFERROR(IF(OR(G460="",G460&lt;=0,I460="",D460="",$F$1=""),0,IF($F$1&lt;D460,0,IF(K460&lt;=1,0,MIN(G460*I460/12,K460-1)))),0)</x:f>
        <x:v>0</x:v>
      </x:c>
      <x:c r="M460" s="58" t="s">
        <x:v>18</x:v>
      </x:c>
    </x:row>
    <x:row r="461" ht="19.899999618530273" customHeight="1">
      <x:c r="A461" s="53">
        <x:f t="shared" si="39"/>
        <x:v>456</x:v>
      </x:c>
      <x:c r="B461" s="54" t="s">
        <x:v>19</x:v>
      </x:c>
      <x:c r="C461" s="54" t="s">
        <x:v>27</x:v>
      </x:c>
      <x:c r="D461" s="55">
        <x:v>45161</x:v>
      </x:c>
      <x:c r="E461" s="54" t="s">
        <x:v>219</x:v>
      </x:c>
      <x:c r="F461" s="54">
        <x:v>1</x:v>
      </x:c>
      <x:c r="G461" s="148">
        <x:v>600</x:v>
      </x:c>
      <x:c r="H461" s="148" t="n">
        <x:f t="shared" si="35">IFERROR(IF(OR($F$1="",D461=""),0,MAX(0,$F$1-D461)),0)</x:f>
        <x:v>1226</x:v>
      </x:c>
      <x:c r="I461" s="148">
        <x:v>0.33329999999999999</x:v>
      </x:c>
      <x:c r="J461" s="148" t="n">
        <x:f t="shared" si="36">IFERROR(IF(OR(G461="",G461&lt;=0,I461="",D461="",$F$1=""),0,IF($F$1&lt;D461,0,MIN(MAX(G461-1,0),MAX(0,(G461*I461/365)*H461)))),0)</x:f>
        <x:v>599</x:v>
      </x:c>
      <x:c r="K461" s="148" t="n">
        <x:f t="shared" si="37">IFERROR(IF(OR(G461="",G461&lt;=0),0,MAX(1,G461-J461)),0)</x:f>
        <x:v>1</x:v>
      </x:c>
      <x:c r="L461" s="148" t="n">
        <x:f t="shared" si="38">IFERROR(IF(OR(G461="",G461&lt;=0,I461="",D461="",$F$1=""),0,IF($F$1&lt;D461,0,IF(K461&lt;=1,0,MIN(G461*I461/12,K461-1)))),0)</x:f>
        <x:v>0</x:v>
      </x:c>
      <x:c r="M461" s="58" t="s">
        <x:v>18</x:v>
      </x:c>
    </x:row>
    <x:row r="462" ht="19.899999618530273" customHeight="1">
      <x:c r="A462" s="53">
        <x:f t="shared" si="39"/>
        <x:v>457</x:v>
      </x:c>
      <x:c r="B462" s="54" t="s">
        <x:v>19</x:v>
      </x:c>
      <x:c r="C462" s="54" t="s">
        <x:v>27</x:v>
      </x:c>
      <x:c r="D462" s="55">
        <x:v>45161</x:v>
      </x:c>
      <x:c r="E462" s="54" t="s">
        <x:v>219</x:v>
      </x:c>
      <x:c r="F462" s="54">
        <x:v>1</x:v>
      </x:c>
      <x:c r="G462" s="148">
        <x:v>600</x:v>
      </x:c>
      <x:c r="H462" s="148" t="n">
        <x:f t="shared" si="35">IFERROR(IF(OR($F$1="",D462=""),0,MAX(0,$F$1-D462)),0)</x:f>
        <x:v>1226</x:v>
      </x:c>
      <x:c r="I462" s="148">
        <x:v>0.33329999999999999</x:v>
      </x:c>
      <x:c r="J462" s="148" t="n">
        <x:f t="shared" si="36">IFERROR(IF(OR(G462="",G462&lt;=0,I462="",D462="",$F$1=""),0,IF($F$1&lt;D462,0,MIN(MAX(G462-1,0),MAX(0,(G462*I462/365)*H462)))),0)</x:f>
        <x:v>599</x:v>
      </x:c>
      <x:c r="K462" s="148" t="n">
        <x:f t="shared" si="37">IFERROR(IF(OR(G462="",G462&lt;=0),0,MAX(1,G462-J462)),0)</x:f>
        <x:v>1</x:v>
      </x:c>
      <x:c r="L462" s="148" t="n">
        <x:f t="shared" si="38">IFERROR(IF(OR(G462="",G462&lt;=0,I462="",D462="",$F$1=""),0,IF($F$1&lt;D462,0,IF(K462&lt;=1,0,MIN(G462*I462/12,K462-1)))),0)</x:f>
        <x:v>0</x:v>
      </x:c>
      <x:c r="M462" s="58" t="s">
        <x:v>18</x:v>
      </x:c>
    </x:row>
    <x:row r="463" ht="19.899999618530273" customHeight="1">
      <x:c r="A463" s="53">
        <x:f t="shared" si="39"/>
        <x:v>458</x:v>
      </x:c>
      <x:c r="B463" s="54" t="s">
        <x:v>19</x:v>
      </x:c>
      <x:c r="C463" s="54" t="s">
        <x:v>27</x:v>
      </x:c>
      <x:c r="D463" s="55">
        <x:v>45161</x:v>
      </x:c>
      <x:c r="E463" s="54" t="s">
        <x:v>219</x:v>
      </x:c>
      <x:c r="F463" s="54">
        <x:v>1</x:v>
      </x:c>
      <x:c r="G463" s="148">
        <x:v>600</x:v>
      </x:c>
      <x:c r="H463" s="148" t="n">
        <x:f t="shared" si="35">IFERROR(IF(OR($F$1="",D463=""),0,MAX(0,$F$1-D463)),0)</x:f>
        <x:v>1226</x:v>
      </x:c>
      <x:c r="I463" s="148">
        <x:v>0.33329999999999999</x:v>
      </x:c>
      <x:c r="J463" s="148" t="n">
        <x:f t="shared" si="36">IFERROR(IF(OR(G463="",G463&lt;=0,I463="",D463="",$F$1=""),0,IF($F$1&lt;D463,0,MIN(MAX(G463-1,0),MAX(0,(G463*I463/365)*H463)))),0)</x:f>
        <x:v>599</x:v>
      </x:c>
      <x:c r="K463" s="148" t="n">
        <x:f t="shared" si="37">IFERROR(IF(OR(G463="",G463&lt;=0),0,MAX(1,G463-J463)),0)</x:f>
        <x:v>1</x:v>
      </x:c>
      <x:c r="L463" s="148" t="n">
        <x:f t="shared" si="38">IFERROR(IF(OR(G463="",G463&lt;=0,I463="",D463="",$F$1=""),0,IF($F$1&lt;D463,0,IF(K463&lt;=1,0,MIN(G463*I463/12,K463-1)))),0)</x:f>
        <x:v>0</x:v>
      </x:c>
      <x:c r="M463" s="58" t="s">
        <x:v>18</x:v>
      </x:c>
    </x:row>
    <x:row r="464" ht="19.899999618530273" customHeight="1">
      <x:c r="A464" s="53">
        <x:f t="shared" si="39"/>
        <x:v>459</x:v>
      </x:c>
      <x:c r="B464" s="54" t="s">
        <x:v>19</x:v>
      </x:c>
      <x:c r="C464" s="54" t="s">
        <x:v>27</x:v>
      </x:c>
      <x:c r="D464" s="55">
        <x:v>45161</x:v>
      </x:c>
      <x:c r="E464" s="54" t="s">
        <x:v>219</x:v>
      </x:c>
      <x:c r="F464" s="54">
        <x:v>1</x:v>
      </x:c>
      <x:c r="G464" s="148">
        <x:v>600</x:v>
      </x:c>
      <x:c r="H464" s="148" t="n">
        <x:f t="shared" si="35">IFERROR(IF(OR($F$1="",D464=""),0,MAX(0,$F$1-D464)),0)</x:f>
        <x:v>1226</x:v>
      </x:c>
      <x:c r="I464" s="148">
        <x:v>0.33329999999999999</x:v>
      </x:c>
      <x:c r="J464" s="148" t="n">
        <x:f t="shared" si="36">IFERROR(IF(OR(G464="",G464&lt;=0,I464="",D464="",$F$1=""),0,IF($F$1&lt;D464,0,MIN(MAX(G464-1,0),MAX(0,(G464*I464/365)*H464)))),0)</x:f>
        <x:v>599</x:v>
      </x:c>
      <x:c r="K464" s="148" t="n">
        <x:f t="shared" si="37">IFERROR(IF(OR(G464="",G464&lt;=0),0,MAX(1,G464-J464)),0)</x:f>
        <x:v>1</x:v>
      </x:c>
      <x:c r="L464" s="148" t="n">
        <x:f t="shared" si="38">IFERROR(IF(OR(G464="",G464&lt;=0,I464="",D464="",$F$1=""),0,IF($F$1&lt;D464,0,IF(K464&lt;=1,0,MIN(G464*I464/12,K464-1)))),0)</x:f>
        <x:v>0</x:v>
      </x:c>
      <x:c r="M464" s="58" t="s">
        <x:v>18</x:v>
      </x:c>
    </x:row>
    <x:row r="465" ht="19.899999618530273" customHeight="1">
      <x:c r="A465" s="53">
        <x:f t="shared" si="39"/>
        <x:v>460</x:v>
      </x:c>
      <x:c r="B465" s="54" t="s">
        <x:v>19</x:v>
      </x:c>
      <x:c r="C465" s="54" t="s">
        <x:v>27</x:v>
      </x:c>
      <x:c r="D465" s="55">
        <x:v>45201</x:v>
      </x:c>
      <x:c r="E465" s="54" t="s">
        <x:v>137</x:v>
      </x:c>
      <x:c r="F465" s="54">
        <x:v>1</x:v>
      </x:c>
      <x:c r="G465" s="148">
        <x:v>418</x:v>
      </x:c>
      <x:c r="H465" s="148" t="n">
        <x:f t="shared" si="35">IFERROR(IF(OR($F$1="",D465=""),0,MAX(0,$F$1-D465)),0)</x:f>
        <x:v>1186</x:v>
      </x:c>
      <x:c r="I465" s="148">
        <x:v>0.33329999999999999</x:v>
      </x:c>
      <x:c r="J465" s="148" t="n">
        <x:f t="shared" si="36">IFERROR(IF(OR(G465="",G465&lt;=0,I465="",D465="",$F$1=""),0,IF($F$1&lt;D465,0,MIN(MAX(G465-1,0),MAX(0,(G465*I465/365)*H465)))),0)</x:f>
        <x:v>417</x:v>
      </x:c>
      <x:c r="K465" s="148" t="n">
        <x:f t="shared" si="37">IFERROR(IF(OR(G465="",G465&lt;=0),0,MAX(1,G465-J465)),0)</x:f>
        <x:v>1</x:v>
      </x:c>
      <x:c r="L465" s="148" t="n">
        <x:f t="shared" si="38">IFERROR(IF(OR(G465="",G465&lt;=0,I465="",D465="",$F$1=""),0,IF($F$1&lt;D465,0,IF(K465&lt;=1,0,MIN(G465*I465/12,K465-1)))),0)</x:f>
        <x:v>0</x:v>
      </x:c>
      <x:c r="M465" s="58" t="s">
        <x:v>18</x:v>
      </x:c>
    </x:row>
    <x:row r="466" ht="19.899999618530273" customHeight="1">
      <x:c r="A466" s="53">
        <x:f t="shared" si="39"/>
        <x:v>461</x:v>
      </x:c>
      <x:c r="B466" s="54" t="s">
        <x:v>19</x:v>
      </x:c>
      <x:c r="C466" s="54" t="s">
        <x:v>27</x:v>
      </x:c>
      <x:c r="D466" s="55">
        <x:v>45201</x:v>
      </x:c>
      <x:c r="E466" s="54" t="s">
        <x:v>220</x:v>
      </x:c>
      <x:c r="F466" s="54">
        <x:v>1</x:v>
      </x:c>
      <x:c r="G466" s="148">
        <x:v>2075</x:v>
      </x:c>
      <x:c r="H466" s="148" t="n">
        <x:f t="shared" si="35">IFERROR(IF(OR($F$1="",D466=""),0,MAX(0,$F$1-D466)),0)</x:f>
        <x:v>1186</x:v>
      </x:c>
      <x:c r="I466" s="148">
        <x:v>0.33329999999999999</x:v>
      </x:c>
      <x:c r="J466" s="148" t="n">
        <x:f t="shared" si="36">IFERROR(IF(OR(G466="",G466&lt;=0,I466="",D466="",$F$1=""),0,IF($F$1&lt;D466,0,MIN(MAX(G466-1,0),MAX(0,(G466*I466/365)*H466)))),0)</x:f>
        <x:v>2074</x:v>
      </x:c>
      <x:c r="K466" s="148" t="n">
        <x:f t="shared" si="37">IFERROR(IF(OR(G466="",G466&lt;=0),0,MAX(1,G466-J466)),0)</x:f>
        <x:v>1</x:v>
      </x:c>
      <x:c r="L466" s="148" t="n">
        <x:f t="shared" si="38">IFERROR(IF(OR(G466="",G466&lt;=0,I466="",D466="",$F$1=""),0,IF($F$1&lt;D466,0,IF(K466&lt;=1,0,MIN(G466*I466/12,K466-1)))),0)</x:f>
        <x:v>0</x:v>
      </x:c>
      <x:c r="M466" s="58" t="s">
        <x:v>18</x:v>
      </x:c>
    </x:row>
    <x:row r="467" ht="19.899999618530273" customHeight="1">
      <x:c r="A467" s="53">
        <x:f t="shared" si="39"/>
        <x:v>462</x:v>
      </x:c>
      <x:c r="B467" s="54" t="s">
        <x:v>19</x:v>
      </x:c>
      <x:c r="C467" s="54" t="s">
        <x:v>27</x:v>
      </x:c>
      <x:c r="D467" s="55">
        <x:v>45201</x:v>
      </x:c>
      <x:c r="E467" s="54" t="s">
        <x:v>221</x:v>
      </x:c>
      <x:c r="F467" s="54">
        <x:v>1</x:v>
      </x:c>
      <x:c r="G467" s="148">
        <x:v>340</x:v>
      </x:c>
      <x:c r="H467" s="148" t="n">
        <x:f t="shared" si="35">IFERROR(IF(OR($F$1="",D467=""),0,MAX(0,$F$1-D467)),0)</x:f>
        <x:v>1186</x:v>
      </x:c>
      <x:c r="I467" s="148">
        <x:v>0.33329999999999999</x:v>
      </x:c>
      <x:c r="J467" s="148" t="n">
        <x:f t="shared" si="36">IFERROR(IF(OR(G467="",G467&lt;=0,I467="",D467="",$F$1=""),0,IF($F$1&lt;D467,0,MIN(MAX(G467-1,0),MAX(0,(G467*I467/365)*H467)))),0)</x:f>
        <x:v>339</x:v>
      </x:c>
      <x:c r="K467" s="148" t="n">
        <x:f t="shared" si="37">IFERROR(IF(OR(G467="",G467&lt;=0),0,MAX(1,G467-J467)),0)</x:f>
        <x:v>1</x:v>
      </x:c>
      <x:c r="L467" s="148" t="n">
        <x:f t="shared" si="38">IFERROR(IF(OR(G467="",G467&lt;=0,I467="",D467="",$F$1=""),0,IF($F$1&lt;D467,0,IF(K467&lt;=1,0,MIN(G467*I467/12,K467-1)))),0)</x:f>
        <x:v>0</x:v>
      </x:c>
      <x:c r="M467" s="58" t="s">
        <x:v>18</x:v>
      </x:c>
    </x:row>
    <x:row r="468" ht="19.899999618530273" customHeight="1">
      <x:c r="A468" s="53">
        <x:f t="shared" si="39"/>
        <x:v>463</x:v>
      </x:c>
      <x:c r="B468" s="54" t="s">
        <x:v>19</x:v>
      </x:c>
      <x:c r="C468" s="54" t="s">
        <x:v>27</x:v>
      </x:c>
      <x:c r="D468" s="55">
        <x:v>45201</x:v>
      </x:c>
      <x:c r="E468" s="54" t="s">
        <x:v>222</x:v>
      </x:c>
      <x:c r="F468" s="54">
        <x:v>1</x:v>
      </x:c>
      <x:c r="G468" s="148">
        <x:v>450</x:v>
      </x:c>
      <x:c r="H468" s="148" t="n">
        <x:f t="shared" si="35">IFERROR(IF(OR($F$1="",D468=""),0,MAX(0,$F$1-D468)),0)</x:f>
        <x:v>1186</x:v>
      </x:c>
      <x:c r="I468" s="148">
        <x:v>0.33329999999999999</x:v>
      </x:c>
      <x:c r="J468" s="148" t="n">
        <x:f t="shared" si="36">IFERROR(IF(OR(G468="",G468&lt;=0,I468="",D468="",$F$1=""),0,IF($F$1&lt;D468,0,MIN(MAX(G468-1,0),MAX(0,(G468*I468/365)*H468)))),0)</x:f>
        <x:v>449</x:v>
      </x:c>
      <x:c r="K468" s="148" t="n">
        <x:f t="shared" si="37">IFERROR(IF(OR(G468="",G468&lt;=0),0,MAX(1,G468-J468)),0)</x:f>
        <x:v>1</x:v>
      </x:c>
      <x:c r="L468" s="148" t="n">
        <x:f t="shared" si="38">IFERROR(IF(OR(G468="",G468&lt;=0,I468="",D468="",$F$1=""),0,IF($F$1&lt;D468,0,IF(K468&lt;=1,0,MIN(G468*I468/12,K468-1)))),0)</x:f>
        <x:v>0</x:v>
      </x:c>
      <x:c r="M468" s="58" t="s">
        <x:v>18</x:v>
      </x:c>
    </x:row>
    <x:row r="469" ht="19.899999618530273" customHeight="1">
      <x:c r="A469" s="53">
        <x:f t="shared" si="39"/>
        <x:v>464</x:v>
      </x:c>
      <x:c r="B469" s="54" t="s">
        <x:v>19</x:v>
      </x:c>
      <x:c r="C469" s="54" t="s">
        <x:v>16</x:v>
      </x:c>
      <x:c r="D469" s="55">
        <x:v>45325</x:v>
      </x:c>
      <x:c r="E469" s="54" t="s">
        <x:v>223</x:v>
      </x:c>
      <x:c r="F469" s="54">
        <x:v>1</x:v>
      </x:c>
      <x:c r="G469" s="148">
        <x:v>695.65</x:v>
      </x:c>
      <x:c r="H469" s="148" t="n">
        <x:f t="shared" si="35">IFERROR(IF(OR($F$1="",D469=""),0,MAX(0,$F$1-D469)),0)</x:f>
        <x:v>1062</x:v>
      </x:c>
      <x:c r="I469" s="148">
        <x:v>0.2</x:v>
      </x:c>
      <x:c r="J469" s="148" t="n">
        <x:f t="shared" si="36">IFERROR(IF(OR(G469="",G469&lt;=0,I469="",D469="",$F$1=""),0,IF($F$1&lt;D469,0,MIN(MAX(G469-1,0),MAX(0,(G469*I469/365)*H469)))),0)</x:f>
        <x:v>404.8111232876712</x:v>
      </x:c>
      <x:c r="K469" s="148" t="n">
        <x:f t="shared" si="37">IFERROR(IF(OR(G469="",G469&lt;=0),0,MAX(1,G469-J469)),0)</x:f>
        <x:v>290.8388767123288</x:v>
      </x:c>
      <x:c r="L469" s="148" t="n">
        <x:f t="shared" si="38">IFERROR(IF(OR(G469="",G469&lt;=0,I469="",D469="",$F$1=""),0,IF($F$1&lt;D469,0,IF(K469&lt;=1,0,MIN(G469*I469/12,K469-1)))),0)</x:f>
        <x:v>11.594166666666666</x:v>
      </x:c>
      <x:c r="M469" s="58" t="s">
        <x:v>18</x:v>
      </x:c>
    </x:row>
    <x:row r="470" ht="19.899999618530273" customHeight="1">
      <x:c r="A470" s="53">
        <x:f t="shared" si="39"/>
        <x:v>465</x:v>
      </x:c>
      <x:c r="B470" s="54" t="s">
        <x:v>19</x:v>
      </x:c>
      <x:c r="C470" s="54" t="s">
        <x:v>16</x:v>
      </x:c>
      <x:c r="D470" s="55">
        <x:v>45325</x:v>
      </x:c>
      <x:c r="E470" s="54" t="s">
        <x:v>224</x:v>
      </x:c>
      <x:c r="F470" s="54">
        <x:v>1</x:v>
      </x:c>
      <x:c r="G470" s="148">
        <x:v>739.13</x:v>
      </x:c>
      <x:c r="H470" s="148" t="n">
        <x:f t="shared" si="35">IFERROR(IF(OR($F$1="",D470=""),0,MAX(0,$F$1-D470)),0)</x:f>
        <x:v>1062</x:v>
      </x:c>
      <x:c r="I470" s="148">
        <x:v>0.2</x:v>
      </x:c>
      <x:c r="J470" s="148" t="n">
        <x:f t="shared" si="36">IFERROR(IF(OR(G470="",G470&lt;=0,I470="",D470="",$F$1=""),0,IF($F$1&lt;D470,0,MIN(MAX(G470-1,0),MAX(0,(G470*I470/365)*H470)))),0)</x:f>
        <x:v>430.1129095890411</x:v>
      </x:c>
      <x:c r="K470" s="148" t="n">
        <x:f t="shared" si="37">IFERROR(IF(OR(G470="",G470&lt;=0),0,MAX(1,G470-J470)),0)</x:f>
        <x:v>309.0170904109589</x:v>
      </x:c>
      <x:c r="L470" s="148" t="n">
        <x:f t="shared" si="38">IFERROR(IF(OR(G470="",G470&lt;=0,I470="",D470="",$F$1=""),0,IF($F$1&lt;D470,0,IF(K470&lt;=1,0,MIN(G470*I470/12,K470-1)))),0)</x:f>
        <x:v>12.318833333333332</x:v>
      </x:c>
      <x:c r="M470" s="58" t="s">
        <x:v>18</x:v>
      </x:c>
    </x:row>
    <x:row r="471" ht="19.899999618530273" customHeight="1">
      <x:c r="A471" s="53">
        <x:f t="shared" si="39"/>
        <x:v>466</x:v>
      </x:c>
      <x:c r="B471" s="54" t="s">
        <x:v>19</x:v>
      </x:c>
      <x:c r="C471" s="54" t="s">
        <x:v>16</x:v>
      </x:c>
      <x:c r="D471" s="55">
        <x:v>45325</x:v>
      </x:c>
      <x:c r="E471" s="54" t="s">
        <x:v>225</x:v>
      </x:c>
      <x:c r="F471" s="54">
        <x:v>1</x:v>
      </x:c>
      <x:c r="G471" s="148">
        <x:v>391.3</x:v>
      </x:c>
      <x:c r="H471" s="148" t="n">
        <x:f t="shared" si="35">IFERROR(IF(OR($F$1="",D471=""),0,MAX(0,$F$1-D471)),0)</x:f>
        <x:v>1062</x:v>
      </x:c>
      <x:c r="I471" s="148">
        <x:v>0.2</x:v>
      </x:c>
      <x:c r="J471" s="148" t="n">
        <x:f t="shared" si="36">IFERROR(IF(OR(G471="",G471&lt;=0,I471="",D471="",$F$1=""),0,IF($F$1&lt;D471,0,MIN(MAX(G471-1,0),MAX(0,(G471*I471/365)*H471)))),0)</x:f>
        <x:v>227.7044383561644</x:v>
      </x:c>
      <x:c r="K471" s="148" t="n">
        <x:f t="shared" si="37">IFERROR(IF(OR(G471="",G471&lt;=0),0,MAX(1,G471-J471)),0)</x:f>
        <x:v>163.59556164383562</x:v>
      </x:c>
      <x:c r="L471" s="148" t="n">
        <x:f t="shared" si="38">IFERROR(IF(OR(G471="",G471&lt;=0,I471="",D471="",$F$1=""),0,IF($F$1&lt;D471,0,IF(K471&lt;=1,0,MIN(G471*I471/12,K471-1)))),0)</x:f>
        <x:v>6.521666666666667</x:v>
      </x:c>
      <x:c r="M471" s="58" t="s">
        <x:v>18</x:v>
      </x:c>
    </x:row>
    <x:row r="472" ht="19.899999618530273" customHeight="1">
      <x:c r="A472" s="53">
        <x:f t="shared" si="39"/>
        <x:v>467</x:v>
      </x:c>
      <x:c r="B472" s="54" t="s">
        <x:v>19</x:v>
      </x:c>
      <x:c r="C472" s="54" t="s">
        <x:v>27</x:v>
      </x:c>
      <x:c r="D472" s="55">
        <x:v>45832</x:v>
      </x:c>
      <x:c r="E472" s="54" t="s">
        <x:v>226</x:v>
      </x:c>
      <x:c r="F472" s="54">
        <x:v>1</x:v>
      </x:c>
      <x:c r="G472" s="148">
        <x:v>450.9</x:v>
      </x:c>
      <x:c r="H472" s="148" t="n">
        <x:f t="shared" si="35">IFERROR(IF(OR($F$1="",D472=""),0,MAX(0,$F$1-D472)),0)</x:f>
        <x:v>555</x:v>
      </x:c>
      <x:c r="I472" s="148">
        <x:v>0.2</x:v>
      </x:c>
      <x:c r="J472" s="148" t="n">
        <x:f t="shared" si="36">IFERROR(IF(OR(G472="",G472&lt;=0,I472="",D472="",$F$1=""),0,IF($F$1&lt;D472,0,MIN(MAX(G472-1,0),MAX(0,(G472*I472/365)*H472)))),0)</x:f>
        <x:v>137.12301369863013</x:v>
      </x:c>
      <x:c r="K472" s="148" t="n">
        <x:f t="shared" si="37">IFERROR(IF(OR(G472="",G472&lt;=0),0,MAX(1,G472-J472)),0)</x:f>
        <x:v>313.77698630136985</x:v>
      </x:c>
      <x:c r="L472" s="148" t="n">
        <x:f t="shared" si="38">IFERROR(IF(OR(G472="",G472&lt;=0,I472="",D472="",$F$1=""),0,IF($F$1&lt;D472,0,IF(K472&lt;=1,0,MIN(G472*I472/12,K472-1)))),0)</x:f>
        <x:v>7.515000000000001</x:v>
      </x:c>
      <x:c r="M472" s="58" t="s">
        <x:v>18</x:v>
      </x:c>
    </x:row>
    <x:row r="473" ht="19.899999618530273" customHeight="1">
      <x:c r="A473" s="53">
        <x:f t="shared" si="39"/>
        <x:v>468</x:v>
      </x:c>
      <x:c r="B473" s="54" t="s">
        <x:v>19</x:v>
      </x:c>
      <x:c r="C473" s="54" t="s">
        <x:v>27</x:v>
      </x:c>
      <x:c r="D473" s="55">
        <x:v>45832</x:v>
      </x:c>
      <x:c r="E473" s="54" t="s">
        <x:v>226</x:v>
      </x:c>
      <x:c r="F473" s="54">
        <x:v>1</x:v>
      </x:c>
      <x:c r="G473" s="148">
        <x:v>450.9</x:v>
      </x:c>
      <x:c r="H473" s="148" t="n">
        <x:f t="shared" si="35">IFERROR(IF(OR($F$1="",D473=""),0,MAX(0,$F$1-D473)),0)</x:f>
        <x:v>555</x:v>
      </x:c>
      <x:c r="I473" s="148">
        <x:v>0.2</x:v>
      </x:c>
      <x:c r="J473" s="148" t="n">
        <x:f t="shared" si="36">IFERROR(IF(OR(G473="",G473&lt;=0,I473="",D473="",$F$1=""),0,IF($F$1&lt;D473,0,MIN(MAX(G473-1,0),MAX(0,(G473*I473/365)*H473)))),0)</x:f>
        <x:v>137.12301369863013</x:v>
      </x:c>
      <x:c r="K473" s="148" t="n">
        <x:f t="shared" si="37">IFERROR(IF(OR(G473="",G473&lt;=0),0,MAX(1,G473-J473)),0)</x:f>
        <x:v>313.77698630136985</x:v>
      </x:c>
      <x:c r="L473" s="148" t="n">
        <x:f t="shared" si="38">IFERROR(IF(OR(G473="",G473&lt;=0,I473="",D473="",$F$1=""),0,IF($F$1&lt;D473,0,IF(K473&lt;=1,0,MIN(G473*I473/12,K473-1)))),0)</x:f>
        <x:v>7.515000000000001</x:v>
      </x:c>
      <x:c r="M473" s="58" t="s">
        <x:v>18</x:v>
      </x:c>
    </x:row>
    <x:row r="474" ht="19.899999618530273" customHeight="1">
      <x:c r="A474" s="53">
        <x:f t="shared" si="39"/>
        <x:v>469</x:v>
      </x:c>
      <x:c r="B474" s="54" t="s">
        <x:v>19</x:v>
      </x:c>
      <x:c r="C474" s="54" t="s">
        <x:v>27</x:v>
      </x:c>
      <x:c r="D474" s="55">
        <x:v>45832</x:v>
      </x:c>
      <x:c r="E474" s="54" t="s">
        <x:v>226</x:v>
      </x:c>
      <x:c r="F474" s="54">
        <x:v>1</x:v>
      </x:c>
      <x:c r="G474" s="148">
        <x:v>450.9</x:v>
      </x:c>
      <x:c r="H474" s="148" t="n">
        <x:f t="shared" si="35">IFERROR(IF(OR($F$1="",D474=""),0,MAX(0,$F$1-D474)),0)</x:f>
        <x:v>555</x:v>
      </x:c>
      <x:c r="I474" s="148">
        <x:v>0.2</x:v>
      </x:c>
      <x:c r="J474" s="148" t="n">
        <x:f t="shared" si="36">IFERROR(IF(OR(G474="",G474&lt;=0,I474="",D474="",$F$1=""),0,IF($F$1&lt;D474,0,MIN(MAX(G474-1,0),MAX(0,(G474*I474/365)*H474)))),0)</x:f>
        <x:v>137.12301369863013</x:v>
      </x:c>
      <x:c r="K474" s="148" t="n">
        <x:f t="shared" si="37">IFERROR(IF(OR(G474="",G474&lt;=0),0,MAX(1,G474-J474)),0)</x:f>
        <x:v>313.77698630136985</x:v>
      </x:c>
      <x:c r="L474" s="148" t="n">
        <x:f t="shared" si="38">IFERROR(IF(OR(G474="",G474&lt;=0,I474="",D474="",$F$1=""),0,IF($F$1&lt;D474,0,IF(K474&lt;=1,0,MIN(G474*I474/12,K474-1)))),0)</x:f>
        <x:v>7.515000000000001</x:v>
      </x:c>
      <x:c r="M474" s="58" t="s">
        <x:v>18</x:v>
      </x:c>
    </x:row>
    <x:row r="475" ht="19.899999618530273" customHeight="1">
      <x:c r="A475" s="53">
        <x:f t="shared" si="39"/>
        <x:v>470</x:v>
      </x:c>
      <x:c r="B475" s="54" t="s">
        <x:v>19</x:v>
      </x:c>
      <x:c r="C475" s="54" t="s">
        <x:v>27</x:v>
      </x:c>
      <x:c r="D475" s="55">
        <x:v>45832</x:v>
      </x:c>
      <x:c r="E475" s="54" t="s">
        <x:v>226</x:v>
      </x:c>
      <x:c r="F475" s="54">
        <x:v>1</x:v>
      </x:c>
      <x:c r="G475" s="148">
        <x:v>450.9</x:v>
      </x:c>
      <x:c r="H475" s="148" t="n">
        <x:f t="shared" si="35">IFERROR(IF(OR($F$1="",D475=""),0,MAX(0,$F$1-D475)),0)</x:f>
        <x:v>555</x:v>
      </x:c>
      <x:c r="I475" s="148">
        <x:v>0.2</x:v>
      </x:c>
      <x:c r="J475" s="148" t="n">
        <x:f t="shared" si="36">IFERROR(IF(OR(G475="",G475&lt;=0,I475="",D475="",$F$1=""),0,IF($F$1&lt;D475,0,MIN(MAX(G475-1,0),MAX(0,(G475*I475/365)*H475)))),0)</x:f>
        <x:v>137.12301369863013</x:v>
      </x:c>
      <x:c r="K475" s="148" t="n">
        <x:f t="shared" si="37">IFERROR(IF(OR(G475="",G475&lt;=0),0,MAX(1,G475-J475)),0)</x:f>
        <x:v>313.77698630136985</x:v>
      </x:c>
      <x:c r="L475" s="148" t="n">
        <x:f t="shared" si="38">IFERROR(IF(OR(G475="",G475&lt;=0,I475="",D475="",$F$1=""),0,IF($F$1&lt;D475,0,IF(K475&lt;=1,0,MIN(G475*I475/12,K475-1)))),0)</x:f>
        <x:v>7.515000000000001</x:v>
      </x:c>
      <x:c r="M475" s="58" t="s">
        <x:v>18</x:v>
      </x:c>
    </x:row>
    <x:row r="476" ht="19.899999618530273" customHeight="1">
      <x:c r="A476" s="53">
        <x:f t="shared" si="39"/>
        <x:v>471</x:v>
      </x:c>
      <x:c r="B476" s="54" t="s">
        <x:v>19</x:v>
      </x:c>
      <x:c r="C476" s="54" t="s">
        <x:v>27</x:v>
      </x:c>
      <x:c r="D476" s="55">
        <x:v>45832</x:v>
      </x:c>
      <x:c r="E476" s="54" t="s">
        <x:v>226</x:v>
      </x:c>
      <x:c r="F476" s="54">
        <x:v>1</x:v>
      </x:c>
      <x:c r="G476" s="148">
        <x:v>450.9</x:v>
      </x:c>
      <x:c r="H476" s="148" t="n">
        <x:f t="shared" si="35">IFERROR(IF(OR($F$1="",D476=""),0,MAX(0,$F$1-D476)),0)</x:f>
        <x:v>555</x:v>
      </x:c>
      <x:c r="I476" s="148">
        <x:v>0.2</x:v>
      </x:c>
      <x:c r="J476" s="148" t="n">
        <x:f t="shared" si="36">IFERROR(IF(OR(G476="",G476&lt;=0,I476="",D476="",$F$1=""),0,IF($F$1&lt;D476,0,MIN(MAX(G476-1,0),MAX(0,(G476*I476/365)*H476)))),0)</x:f>
        <x:v>137.12301369863013</x:v>
      </x:c>
      <x:c r="K476" s="148" t="n">
        <x:f t="shared" si="37">IFERROR(IF(OR(G476="",G476&lt;=0),0,MAX(1,G476-J476)),0)</x:f>
        <x:v>313.77698630136985</x:v>
      </x:c>
      <x:c r="L476" s="148" t="n">
        <x:f t="shared" si="38">IFERROR(IF(OR(G476="",G476&lt;=0,I476="",D476="",$F$1=""),0,IF($F$1&lt;D476,0,IF(K476&lt;=1,0,MIN(G476*I476/12,K476-1)))),0)</x:f>
        <x:v>7.515000000000001</x:v>
      </x:c>
      <x:c r="M476" s="58" t="s">
        <x:v>18</x:v>
      </x:c>
    </x:row>
    <x:row r="477" ht="19.899999618530273" customHeight="1">
      <x:c r="A477" s="53">
        <x:f t="shared" si="39"/>
        <x:v>472</x:v>
      </x:c>
      <x:c r="B477" s="54" t="s">
        <x:v>19</x:v>
      </x:c>
      <x:c r="C477" s="54" t="s">
        <x:v>27</x:v>
      </x:c>
      <x:c r="D477" s="55">
        <x:v>45832</x:v>
      </x:c>
      <x:c r="E477" s="54" t="s">
        <x:v>226</x:v>
      </x:c>
      <x:c r="F477" s="54">
        <x:v>1</x:v>
      </x:c>
      <x:c r="G477" s="148">
        <x:v>450.9</x:v>
      </x:c>
      <x:c r="H477" s="148" t="n">
        <x:f t="shared" si="35">IFERROR(IF(OR($F$1="",D477=""),0,MAX(0,$F$1-D477)),0)</x:f>
        <x:v>555</x:v>
      </x:c>
      <x:c r="I477" s="148">
        <x:v>0.2</x:v>
      </x:c>
      <x:c r="J477" s="148" t="n">
        <x:f t="shared" si="36">IFERROR(IF(OR(G477="",G477&lt;=0,I477="",D477="",$F$1=""),0,IF($F$1&lt;D477,0,MIN(MAX(G477-1,0),MAX(0,(G477*I477/365)*H477)))),0)</x:f>
        <x:v>137.12301369863013</x:v>
      </x:c>
      <x:c r="K477" s="148" t="n">
        <x:f t="shared" si="37">IFERROR(IF(OR(G477="",G477&lt;=0),0,MAX(1,G477-J477)),0)</x:f>
        <x:v>313.77698630136985</x:v>
      </x:c>
      <x:c r="L477" s="148" t="n">
        <x:f t="shared" si="38">IFERROR(IF(OR(G477="",G477&lt;=0,I477="",D477="",$F$1=""),0,IF($F$1&lt;D477,0,IF(K477&lt;=1,0,MIN(G477*I477/12,K477-1)))),0)</x:f>
        <x:v>7.515000000000001</x:v>
      </x:c>
      <x:c r="M477" s="58" t="s">
        <x:v>18</x:v>
      </x:c>
    </x:row>
    <x:row r="478" ht="19.899999618530273" customHeight="1">
      <x:c r="A478" s="53">
        <x:f t="shared" si="39"/>
        <x:v>473</x:v>
      </x:c>
      <x:c r="B478" s="54" t="s">
        <x:v>19</x:v>
      </x:c>
      <x:c r="C478" s="54" t="s">
        <x:v>27</x:v>
      </x:c>
      <x:c r="D478" s="55">
        <x:v>45832</x:v>
      </x:c>
      <x:c r="E478" s="54" t="s">
        <x:v>226</x:v>
      </x:c>
      <x:c r="F478" s="54">
        <x:v>1</x:v>
      </x:c>
      <x:c r="G478" s="148">
        <x:v>450.9</x:v>
      </x:c>
      <x:c r="H478" s="148" t="n">
        <x:f t="shared" si="35">IFERROR(IF(OR($F$1="",D478=""),0,MAX(0,$F$1-D478)),0)</x:f>
        <x:v>555</x:v>
      </x:c>
      <x:c r="I478" s="148">
        <x:v>0.2</x:v>
      </x:c>
      <x:c r="J478" s="148" t="n">
        <x:f t="shared" si="36">IFERROR(IF(OR(G478="",G478&lt;=0,I478="",D478="",$F$1=""),0,IF($F$1&lt;D478,0,MIN(MAX(G478-1,0),MAX(0,(G478*I478/365)*H478)))),0)</x:f>
        <x:v>137.12301369863013</x:v>
      </x:c>
      <x:c r="K478" s="148" t="n">
        <x:f t="shared" si="37">IFERROR(IF(OR(G478="",G478&lt;=0),0,MAX(1,G478-J478)),0)</x:f>
        <x:v>313.77698630136985</x:v>
      </x:c>
      <x:c r="L478" s="148" t="n">
        <x:f t="shared" si="38">IFERROR(IF(OR(G478="",G478&lt;=0,I478="",D478="",$F$1=""),0,IF($F$1&lt;D478,0,IF(K478&lt;=1,0,MIN(G478*I478/12,K478-1)))),0)</x:f>
        <x:v>7.515000000000001</x:v>
      </x:c>
      <x:c r="M478" s="58" t="s">
        <x:v>18</x:v>
      </x:c>
    </x:row>
    <x:row r="479" ht="19.899999618530273" customHeight="1">
      <x:c r="A479" s="53">
        <x:f t="shared" si="39"/>
        <x:v>474</x:v>
      </x:c>
      <x:c r="B479" s="54" t="s">
        <x:v>19</x:v>
      </x:c>
      <x:c r="C479" s="54" t="s">
        <x:v>27</x:v>
      </x:c>
      <x:c r="D479" s="55">
        <x:v>45832</x:v>
      </x:c>
      <x:c r="E479" s="54" t="s">
        <x:v>226</x:v>
      </x:c>
      <x:c r="F479" s="54">
        <x:v>1</x:v>
      </x:c>
      <x:c r="G479" s="148">
        <x:v>450.9</x:v>
      </x:c>
      <x:c r="H479" s="148" t="n">
        <x:f t="shared" si="35">IFERROR(IF(OR($F$1="",D479=""),0,MAX(0,$F$1-D479)),0)</x:f>
        <x:v>555</x:v>
      </x:c>
      <x:c r="I479" s="148">
        <x:v>0.2</x:v>
      </x:c>
      <x:c r="J479" s="148" t="n">
        <x:f t="shared" si="36">IFERROR(IF(OR(G479="",G479&lt;=0,I479="",D479="",$F$1=""),0,IF($F$1&lt;D479,0,MIN(MAX(G479-1,0),MAX(0,(G479*I479/365)*H479)))),0)</x:f>
        <x:v>137.12301369863013</x:v>
      </x:c>
      <x:c r="K479" s="148" t="n">
        <x:f t="shared" si="37">IFERROR(IF(OR(G479="",G479&lt;=0),0,MAX(1,G479-J479)),0)</x:f>
        <x:v>313.77698630136985</x:v>
      </x:c>
      <x:c r="L479" s="148" t="n">
        <x:f t="shared" si="38">IFERROR(IF(OR(G479="",G479&lt;=0,I479="",D479="",$F$1=""),0,IF($F$1&lt;D479,0,IF(K479&lt;=1,0,MIN(G479*I479/12,K479-1)))),0)</x:f>
        <x:v>7.515000000000001</x:v>
      </x:c>
      <x:c r="M479" s="58" t="s">
        <x:v>18</x:v>
      </x:c>
    </x:row>
    <x:row r="480" ht="19.899999618530273" customHeight="1">
      <x:c r="A480" s="53">
        <x:f t="shared" si="39"/>
        <x:v>475</x:v>
      </x:c>
      <x:c r="B480" s="54" t="s">
        <x:v>19</x:v>
      </x:c>
      <x:c r="C480" s="54" t="s">
        <x:v>27</x:v>
      </x:c>
      <x:c r="D480" s="55">
        <x:v>45832</x:v>
      </x:c>
      <x:c r="E480" s="54" t="s">
        <x:v>226</x:v>
      </x:c>
      <x:c r="F480" s="54">
        <x:v>1</x:v>
      </x:c>
      <x:c r="G480" s="148">
        <x:v>450.9</x:v>
      </x:c>
      <x:c r="H480" s="148" t="n">
        <x:f t="shared" si="35">IFERROR(IF(OR($F$1="",D480=""),0,MAX(0,$F$1-D480)),0)</x:f>
        <x:v>555</x:v>
      </x:c>
      <x:c r="I480" s="148">
        <x:v>0.2</x:v>
      </x:c>
      <x:c r="J480" s="148" t="n">
        <x:f t="shared" si="36">IFERROR(IF(OR(G480="",G480&lt;=0,I480="",D480="",$F$1=""),0,IF($F$1&lt;D480,0,MIN(MAX(G480-1,0),MAX(0,(G480*I480/365)*H480)))),0)</x:f>
        <x:v>137.12301369863013</x:v>
      </x:c>
      <x:c r="K480" s="148" t="n">
        <x:f t="shared" si="37">IFERROR(IF(OR(G480="",G480&lt;=0),0,MAX(1,G480-J480)),0)</x:f>
        <x:v>313.77698630136985</x:v>
      </x:c>
      <x:c r="L480" s="148" t="n">
        <x:f t="shared" si="38">IFERROR(IF(OR(G480="",G480&lt;=0,I480="",D480="",$F$1=""),0,IF($F$1&lt;D480,0,IF(K480&lt;=1,0,MIN(G480*I480/12,K480-1)))),0)</x:f>
        <x:v>7.515000000000001</x:v>
      </x:c>
      <x:c r="M480" s="58" t="s">
        <x:v>18</x:v>
      </x:c>
    </x:row>
    <x:row r="481" ht="19.899999618530273" customHeight="1">
      <x:c r="A481" s="53">
        <x:f t="shared" si="39"/>
        <x:v>476</x:v>
      </x:c>
      <x:c r="B481" s="54" t="s">
        <x:v>19</x:v>
      </x:c>
      <x:c r="C481" s="54" t="s">
        <x:v>27</x:v>
      </x:c>
      <x:c r="D481" s="55">
        <x:v>45832</x:v>
      </x:c>
      <x:c r="E481" s="54" t="s">
        <x:v>226</x:v>
      </x:c>
      <x:c r="F481" s="54">
        <x:v>1</x:v>
      </x:c>
      <x:c r="G481" s="148">
        <x:v>450.9</x:v>
      </x:c>
      <x:c r="H481" s="148" t="n">
        <x:f t="shared" si="35">IFERROR(IF(OR($F$1="",D481=""),0,MAX(0,$F$1-D481)),0)</x:f>
        <x:v>555</x:v>
      </x:c>
      <x:c r="I481" s="148">
        <x:v>0.2</x:v>
      </x:c>
      <x:c r="J481" s="148" t="n">
        <x:f t="shared" si="36">IFERROR(IF(OR(G481="",G481&lt;=0,I481="",D481="",$F$1=""),0,IF($F$1&lt;D481,0,MIN(MAX(G481-1,0),MAX(0,(G481*I481/365)*H481)))),0)</x:f>
        <x:v>137.12301369863013</x:v>
      </x:c>
      <x:c r="K481" s="148" t="n">
        <x:f t="shared" si="37">IFERROR(IF(OR(G481="",G481&lt;=0),0,MAX(1,G481-J481)),0)</x:f>
        <x:v>313.77698630136985</x:v>
      </x:c>
      <x:c r="L481" s="148" t="n">
        <x:f t="shared" si="38">IFERROR(IF(OR(G481="",G481&lt;=0,I481="",D481="",$F$1=""),0,IF($F$1&lt;D481,0,IF(K481&lt;=1,0,MIN(G481*I481/12,K481-1)))),0)</x:f>
        <x:v>7.515000000000001</x:v>
      </x:c>
      <x:c r="M481" s="58" t="s">
        <x:v>18</x:v>
      </x:c>
    </x:row>
    <x:row r="482" ht="19.899999618530273" customHeight="1">
      <x:c r="A482" s="53">
        <x:f t="shared" si="39"/>
        <x:v>477</x:v>
      </x:c>
      <x:c r="B482" s="54" t="s">
        <x:v>19</x:v>
      </x:c>
      <x:c r="C482" s="54" t="s">
        <x:v>43</x:v>
      </x:c>
      <x:c r="D482" s="55">
        <x:v>45795</x:v>
      </x:c>
      <x:c r="E482" s="54" t="s">
        <x:v>227</x:v>
      </x:c>
      <x:c r="F482" s="54">
        <x:v>1</x:v>
      </x:c>
      <x:c r="G482" s="148">
        <x:v>1609</x:v>
      </x:c>
      <x:c r="H482" s="148" t="n">
        <x:f t="shared" si="35">IFERROR(IF(OR($F$1="",D482=""),0,MAX(0,$F$1-D482)),0)</x:f>
        <x:v>592</x:v>
      </x:c>
      <x:c r="I482" s="148">
        <x:v>0.2</x:v>
      </x:c>
      <x:c r="J482" s="148" t="n">
        <x:f t="shared" si="36">IFERROR(IF(OR(G482="",G482&lt;=0,I482="",D482="",$F$1=""),0,IF($F$1&lt;D482,0,MIN(MAX(G482-1,0),MAX(0,(G482*I482/365)*H482)))),0)</x:f>
        <x:v>521.9331506849315</x:v>
      </x:c>
      <x:c r="K482" s="148" t="n">
        <x:f t="shared" si="37">IFERROR(IF(OR(G482="",G482&lt;=0),0,MAX(1,G482-J482)),0)</x:f>
        <x:v>1087.0668493150683</x:v>
      </x:c>
      <x:c r="L482" s="148" t="n">
        <x:f t="shared" si="38">IFERROR(IF(OR(G482="",G482&lt;=0,I482="",D482="",$F$1=""),0,IF($F$1&lt;D482,0,IF(K482&lt;=1,0,MIN(G482*I482/12,K482-1)))),0)</x:f>
        <x:v>26.816666666666666</x:v>
      </x:c>
      <x:c r="M482" s="58" t="s">
        <x:v>18</x:v>
      </x:c>
    </x:row>
    <x:row r="483" ht="19.899999618530273" customHeight="1">
      <x:c r="A483" s="53">
        <x:f t="shared" si="39"/>
        <x:v>478</x:v>
      </x:c>
      <x:c r="B483" s="54" t="s">
        <x:v>19</x:v>
      </x:c>
      <x:c r="C483" s="54" t="s">
        <x:v>21</x:v>
      </x:c>
      <x:c r="D483" s="55">
        <x:v>45279</x:v>
      </x:c>
      <x:c r="E483" s="54" t="s">
        <x:v>228</x:v>
      </x:c>
      <x:c r="F483" s="54">
        <x:v>1</x:v>
      </x:c>
      <x:c r="G483" s="148">
        <x:v>2990</x:v>
      </x:c>
      <x:c r="H483" s="148" t="n">
        <x:f t="shared" si="35">IFERROR(IF(OR($F$1="",D483=""),0,MAX(0,$F$1-D483)),0)</x:f>
        <x:v>1108</x:v>
      </x:c>
      <x:c r="I483" s="148">
        <x:v>0.33329999999999999</x:v>
      </x:c>
      <x:c r="J483" s="148" t="n">
        <x:f t="shared" si="36">IFERROR(IF(OR(G483="",G483&lt;=0,I483="",D483="",$F$1=""),0,IF($F$1&lt;D483,0,MIN(MAX(G483-1,0),MAX(0,(G483*I483/365)*H483)))),0)</x:f>
        <x:v>2989</x:v>
      </x:c>
      <x:c r="K483" s="148" t="n">
        <x:f t="shared" si="37">IFERROR(IF(OR(G483="",G483&lt;=0),0,MAX(1,G483-J483)),0)</x:f>
        <x:v>1</x:v>
      </x:c>
      <x:c r="L483" s="148" t="n">
        <x:f t="shared" si="38">IFERROR(IF(OR(G483="",G483&lt;=0,I483="",D483="",$F$1=""),0,IF($F$1&lt;D483,0,IF(K483&lt;=1,0,MIN(G483*I483/12,K483-1)))),0)</x:f>
        <x:v>0</x:v>
      </x:c>
      <x:c r="M483" s="58" t="s">
        <x:v>18</x:v>
      </x:c>
    </x:row>
    <x:row r="484" ht="19.899999618530273" customHeight="1">
      <x:c r="A484" s="53">
        <x:f t="shared" si="39"/>
        <x:v>479</x:v>
      </x:c>
      <x:c r="B484" s="54" t="s">
        <x:v>19</x:v>
      </x:c>
      <x:c r="C484" s="54" t="s">
        <x:v>21</x:v>
      </x:c>
      <x:c r="D484" s="55">
        <x:v>45279</x:v>
      </x:c>
      <x:c r="E484" s="54" t="s">
        <x:v>228</x:v>
      </x:c>
      <x:c r="F484" s="54">
        <x:v>1</x:v>
      </x:c>
      <x:c r="G484" s="148">
        <x:v>2990</x:v>
      </x:c>
      <x:c r="H484" s="148" t="n">
        <x:f t="shared" si="35">IFERROR(IF(OR($F$1="",D484=""),0,MAX(0,$F$1-D484)),0)</x:f>
        <x:v>1108</x:v>
      </x:c>
      <x:c r="I484" s="148">
        <x:v>0.33329999999999999</x:v>
      </x:c>
      <x:c r="J484" s="148" t="n">
        <x:f t="shared" si="36">IFERROR(IF(OR(G484="",G484&lt;=0,I484="",D484="",$F$1=""),0,IF($F$1&lt;D484,0,MIN(MAX(G484-1,0),MAX(0,(G484*I484/365)*H484)))),0)</x:f>
        <x:v>2989</x:v>
      </x:c>
      <x:c r="K484" s="148" t="n">
        <x:f t="shared" si="37">IFERROR(IF(OR(G484="",G484&lt;=0),0,MAX(1,G484-J484)),0)</x:f>
        <x:v>1</x:v>
      </x:c>
      <x:c r="L484" s="148" t="n">
        <x:f t="shared" si="38">IFERROR(IF(OR(G484="",G484&lt;=0,I484="",D484="",$F$1=""),0,IF($F$1&lt;D484,0,IF(K484&lt;=1,0,MIN(G484*I484/12,K484-1)))),0)</x:f>
        <x:v>0</x:v>
      </x:c>
      <x:c r="M484" s="58" t="s">
        <x:v>18</x:v>
      </x:c>
    </x:row>
    <x:row r="485" ht="19.899999618530273" customHeight="1">
      <x:c r="A485" s="53">
        <x:f t="shared" si="39"/>
        <x:v>480</x:v>
      </x:c>
      <x:c r="B485" s="54" t="s">
        <x:v>19</x:v>
      </x:c>
      <x:c r="C485" s="54" t="s">
        <x:v>21</x:v>
      </x:c>
      <x:c r="D485" s="55">
        <x:v>45279</x:v>
      </x:c>
      <x:c r="E485" s="54" t="s">
        <x:v>229</x:v>
      </x:c>
      <x:c r="F485" s="54">
        <x:v>1</x:v>
      </x:c>
      <x:c r="G485" s="148">
        <x:v>1740</x:v>
      </x:c>
      <x:c r="H485" s="148" t="n">
        <x:f t="shared" si="35">IFERROR(IF(OR($F$1="",D485=""),0,MAX(0,$F$1-D485)),0)</x:f>
        <x:v>1108</x:v>
      </x:c>
      <x:c r="I485" s="148">
        <x:v>0.33329999999999999</x:v>
      </x:c>
      <x:c r="J485" s="148" t="n">
        <x:f t="shared" si="36">IFERROR(IF(OR(G485="",G485&lt;=0,I485="",D485="",$F$1=""),0,IF($F$1&lt;D485,0,MIN(MAX(G485-1,0),MAX(0,(G485*I485/365)*H485)))),0)</x:f>
        <x:v>1739</x:v>
      </x:c>
      <x:c r="K485" s="148" t="n">
        <x:f t="shared" si="37">IFERROR(IF(OR(G485="",G485&lt;=0),0,MAX(1,G485-J485)),0)</x:f>
        <x:v>1</x:v>
      </x:c>
      <x:c r="L485" s="148" t="n">
        <x:f t="shared" si="38">IFERROR(IF(OR(G485="",G485&lt;=0,I485="",D485="",$F$1=""),0,IF($F$1&lt;D485,0,IF(K485&lt;=1,0,MIN(G485*I485/12,K485-1)))),0)</x:f>
        <x:v>0</x:v>
      </x:c>
      <x:c r="M485" s="58" t="s">
        <x:v>18</x:v>
      </x:c>
    </x:row>
    <x:row r="486" ht="19.899999618530273" customHeight="1">
      <x:c r="A486" s="53">
        <x:f t="shared" si="39"/>
        <x:v>481</x:v>
      </x:c>
      <x:c r="B486" s="54" t="s">
        <x:v>19</x:v>
      </x:c>
      <x:c r="C486" s="54" t="s">
        <x:v>21</x:v>
      </x:c>
      <x:c r="D486" s="55">
        <x:v>45279</x:v>
      </x:c>
      <x:c r="E486" s="54" t="s">
        <x:v>229</x:v>
      </x:c>
      <x:c r="F486" s="54">
        <x:v>1</x:v>
      </x:c>
      <x:c r="G486" s="148">
        <x:v>1740</x:v>
      </x:c>
      <x:c r="H486" s="148" t="n">
        <x:f t="shared" si="35">IFERROR(IF(OR($F$1="",D486=""),0,MAX(0,$F$1-D486)),0)</x:f>
        <x:v>1108</x:v>
      </x:c>
      <x:c r="I486" s="148">
        <x:v>0.33329999999999999</x:v>
      </x:c>
      <x:c r="J486" s="148" t="n">
        <x:f t="shared" si="36">IFERROR(IF(OR(G486="",G486&lt;=0,I486="",D486="",$F$1=""),0,IF($F$1&lt;D486,0,MIN(MAX(G486-1,0),MAX(0,(G486*I486/365)*H486)))),0)</x:f>
        <x:v>1739</x:v>
      </x:c>
      <x:c r="K486" s="148" t="n">
        <x:f t="shared" si="37">IFERROR(IF(OR(G486="",G486&lt;=0),0,MAX(1,G486-J486)),0)</x:f>
        <x:v>1</x:v>
      </x:c>
      <x:c r="L486" s="148" t="n">
        <x:f t="shared" si="38">IFERROR(IF(OR(G486="",G486&lt;=0,I486="",D486="",$F$1=""),0,IF($F$1&lt;D486,0,IF(K486&lt;=1,0,MIN(G486*I486/12,K486-1)))),0)</x:f>
        <x:v>0</x:v>
      </x:c>
      <x:c r="M486" s="58" t="s">
        <x:v>18</x:v>
      </x:c>
    </x:row>
    <x:row r="487" ht="19.899999618530273" customHeight="1">
      <x:c r="A487" s="53">
        <x:f t="shared" si="39"/>
        <x:v>482</x:v>
      </x:c>
      <x:c r="B487" s="54" t="s">
        <x:v>19</x:v>
      </x:c>
      <x:c r="C487" s="54" t="s">
        <x:v>21</x:v>
      </x:c>
      <x:c r="D487" s="55">
        <x:v>45279</x:v>
      </x:c>
      <x:c r="E487" s="54" t="s">
        <x:v>230</x:v>
      </x:c>
      <x:c r="F487" s="54">
        <x:v>1</x:v>
      </x:c>
      <x:c r="G487" s="148">
        <x:v>2000</x:v>
      </x:c>
      <x:c r="H487" s="148" t="n">
        <x:f t="shared" si="35">IFERROR(IF(OR($F$1="",D487=""),0,MAX(0,$F$1-D487)),0)</x:f>
        <x:v>1108</x:v>
      </x:c>
      <x:c r="I487" s="148">
        <x:v>0.33329999999999999</x:v>
      </x:c>
      <x:c r="J487" s="148" t="n">
        <x:f t="shared" si="36">IFERROR(IF(OR(G487="",G487&lt;=0,I487="",D487="",$F$1=""),0,IF($F$1&lt;D487,0,MIN(MAX(G487-1,0),MAX(0,(G487*I487/365)*H487)))),0)</x:f>
        <x:v>1999</x:v>
      </x:c>
      <x:c r="K487" s="148" t="n">
        <x:f t="shared" si="37">IFERROR(IF(OR(G487="",G487&lt;=0),0,MAX(1,G487-J487)),0)</x:f>
        <x:v>1</x:v>
      </x:c>
      <x:c r="L487" s="148" t="n">
        <x:f t="shared" si="38">IFERROR(IF(OR(G487="",G487&lt;=0,I487="",D487="",$F$1=""),0,IF($F$1&lt;D487,0,IF(K487&lt;=1,0,MIN(G487*I487/12,K487-1)))),0)</x:f>
        <x:v>0</x:v>
      </x:c>
      <x:c r="M487" s="58" t="s">
        <x:v>18</x:v>
      </x:c>
    </x:row>
    <x:row r="488" ht="19.899999618530273" customHeight="1">
      <x:c r="A488" s="53">
        <x:f t="shared" si="39"/>
        <x:v>483</x:v>
      </x:c>
      <x:c r="B488" s="54" t="s">
        <x:v>19</x:v>
      </x:c>
      <x:c r="C488" s="54" t="s">
        <x:v>21</x:v>
      </x:c>
      <x:c r="D488" s="55">
        <x:v>45279</x:v>
      </x:c>
      <x:c r="E488" s="54" t="s">
        <x:v>228</x:v>
      </x:c>
      <x:c r="F488" s="54">
        <x:v>1</x:v>
      </x:c>
      <x:c r="G488" s="148">
        <x:v>2990</x:v>
      </x:c>
      <x:c r="H488" s="148" t="n">
        <x:f t="shared" si="35">IFERROR(IF(OR($F$1="",D488=""),0,MAX(0,$F$1-D488)),0)</x:f>
        <x:v>1108</x:v>
      </x:c>
      <x:c r="I488" s="148">
        <x:v>0.33329999999999999</x:v>
      </x:c>
      <x:c r="J488" s="148" t="n">
        <x:f t="shared" si="36">IFERROR(IF(OR(G488="",G488&lt;=0,I488="",D488="",$F$1=""),0,IF($F$1&lt;D488,0,MIN(MAX(G488-1,0),MAX(0,(G488*I488/365)*H488)))),0)</x:f>
        <x:v>2989</x:v>
      </x:c>
      <x:c r="K488" s="148" t="n">
        <x:f t="shared" si="37">IFERROR(IF(OR(G488="",G488&lt;=0),0,MAX(1,G488-J488)),0)</x:f>
        <x:v>1</x:v>
      </x:c>
      <x:c r="L488" s="148" t="n">
        <x:f t="shared" si="38">IFERROR(IF(OR(G488="",G488&lt;=0,I488="",D488="",$F$1=""),0,IF($F$1&lt;D488,0,IF(K488&lt;=1,0,MIN(G488*I488/12,K488-1)))),0)</x:f>
        <x:v>0</x:v>
      </x:c>
      <x:c r="M488" s="58" t="s">
        <x:v>18</x:v>
      </x:c>
    </x:row>
    <x:row r="489" ht="19.899999618530273" customHeight="1">
      <x:c r="A489" s="53">
        <x:f t="shared" si="39"/>
        <x:v>484</x:v>
      </x:c>
      <x:c r="B489" s="54" t="s">
        <x:v>19</x:v>
      </x:c>
      <x:c r="C489" s="54" t="s">
        <x:v>21</x:v>
      </x:c>
      <x:c r="D489" s="55">
        <x:v>45279</x:v>
      </x:c>
      <x:c r="E489" s="54" t="s">
        <x:v>228</x:v>
      </x:c>
      <x:c r="F489" s="54">
        <x:v>1</x:v>
      </x:c>
      <x:c r="G489" s="148">
        <x:v>2990</x:v>
      </x:c>
      <x:c r="H489" s="148" t="n">
        <x:f t="shared" si="35">IFERROR(IF(OR($F$1="",D489=""),0,MAX(0,$F$1-D489)),0)</x:f>
        <x:v>1108</x:v>
      </x:c>
      <x:c r="I489" s="148">
        <x:v>0.33329999999999999</x:v>
      </x:c>
      <x:c r="J489" s="148" t="n">
        <x:f t="shared" si="36">IFERROR(IF(OR(G489="",G489&lt;=0,I489="",D489="",$F$1=""),0,IF($F$1&lt;D489,0,MIN(MAX(G489-1,0),MAX(0,(G489*I489/365)*H489)))),0)</x:f>
        <x:v>2989</x:v>
      </x:c>
      <x:c r="K489" s="148" t="n">
        <x:f t="shared" si="37">IFERROR(IF(OR(G489="",G489&lt;=0),0,MAX(1,G489-J489)),0)</x:f>
        <x:v>1</x:v>
      </x:c>
      <x:c r="L489" s="148" t="n">
        <x:f t="shared" si="38">IFERROR(IF(OR(G489="",G489&lt;=0,I489="",D489="",$F$1=""),0,IF($F$1&lt;D489,0,IF(K489&lt;=1,0,MIN(G489*I489/12,K489-1)))),0)</x:f>
        <x:v>0</x:v>
      </x:c>
      <x:c r="M489" s="58" t="s">
        <x:v>18</x:v>
      </x:c>
    </x:row>
    <x:row r="490" ht="19.899999618530273" customHeight="1">
      <x:c r="A490" s="53">
        <x:f t="shared" si="39"/>
        <x:v>485</x:v>
      </x:c>
      <x:c r="B490" s="54" t="s">
        <x:v>19</x:v>
      </x:c>
      <x:c r="C490" s="54" t="s">
        <x:v>21</x:v>
      </x:c>
      <x:c r="D490" s="55">
        <x:v>45279</x:v>
      </x:c>
      <x:c r="E490" s="54" t="s">
        <x:v>229</x:v>
      </x:c>
      <x:c r="F490" s="54">
        <x:v>1</x:v>
      </x:c>
      <x:c r="G490" s="148">
        <x:v>1740</x:v>
      </x:c>
      <x:c r="H490" s="148" t="n">
        <x:f t="shared" si="35">IFERROR(IF(OR($F$1="",D490=""),0,MAX(0,$F$1-D490)),0)</x:f>
        <x:v>1108</x:v>
      </x:c>
      <x:c r="I490" s="148">
        <x:v>0.33329999999999999</x:v>
      </x:c>
      <x:c r="J490" s="148" t="n">
        <x:f t="shared" si="36">IFERROR(IF(OR(G490="",G490&lt;=0,I490="",D490="",$F$1=""),0,IF($F$1&lt;D490,0,MIN(MAX(G490-1,0),MAX(0,(G490*I490/365)*H490)))),0)</x:f>
        <x:v>1739</x:v>
      </x:c>
      <x:c r="K490" s="148" t="n">
        <x:f t="shared" si="37">IFERROR(IF(OR(G490="",G490&lt;=0),0,MAX(1,G490-J490)),0)</x:f>
        <x:v>1</x:v>
      </x:c>
      <x:c r="L490" s="148" t="n">
        <x:f t="shared" si="38">IFERROR(IF(OR(G490="",G490&lt;=0,I490="",D490="",$F$1=""),0,IF($F$1&lt;D490,0,IF(K490&lt;=1,0,MIN(G490*I490/12,K490-1)))),0)</x:f>
        <x:v>0</x:v>
      </x:c>
      <x:c r="M490" s="58" t="s">
        <x:v>18</x:v>
      </x:c>
    </x:row>
    <x:row r="491" ht="19.899999618530273" customHeight="1">
      <x:c r="A491" s="53">
        <x:f t="shared" si="39"/>
        <x:v>486</x:v>
      </x:c>
      <x:c r="B491" s="54" t="s">
        <x:v>19</x:v>
      </x:c>
      <x:c r="C491" s="54" t="s">
        <x:v>21</x:v>
      </x:c>
      <x:c r="D491" s="55">
        <x:v>45279</x:v>
      </x:c>
      <x:c r="E491" s="54" t="s">
        <x:v>229</x:v>
      </x:c>
      <x:c r="F491" s="54">
        <x:v>1</x:v>
      </x:c>
      <x:c r="G491" s="148">
        <x:v>1740</x:v>
      </x:c>
      <x:c r="H491" s="148" t="n">
        <x:f t="shared" si="35">IFERROR(IF(OR($F$1="",D491=""),0,MAX(0,$F$1-D491)),0)</x:f>
        <x:v>1108</x:v>
      </x:c>
      <x:c r="I491" s="148">
        <x:v>0.33329999999999999</x:v>
      </x:c>
      <x:c r="J491" s="148" t="n">
        <x:f t="shared" si="36">IFERROR(IF(OR(G491="",G491&lt;=0,I491="",D491="",$F$1=""),0,IF($F$1&lt;D491,0,MIN(MAX(G491-1,0),MAX(0,(G491*I491/365)*H491)))),0)</x:f>
        <x:v>1739</x:v>
      </x:c>
      <x:c r="K491" s="148" t="n">
        <x:f t="shared" si="37">IFERROR(IF(OR(G491="",G491&lt;=0),0,MAX(1,G491-J491)),0)</x:f>
        <x:v>1</x:v>
      </x:c>
      <x:c r="L491" s="148" t="n">
        <x:f t="shared" si="38">IFERROR(IF(OR(G491="",G491&lt;=0,I491="",D491="",$F$1=""),0,IF($F$1&lt;D491,0,IF(K491&lt;=1,0,MIN(G491*I491/12,K491-1)))),0)</x:f>
        <x:v>0</x:v>
      </x:c>
      <x:c r="M491" s="58" t="s">
        <x:v>18</x:v>
      </x:c>
    </x:row>
    <x:row r="492" ht="19.899999618530273" customHeight="1">
      <x:c r="A492" s="53">
        <x:f t="shared" si="39"/>
        <x:v>487</x:v>
      </x:c>
      <x:c r="B492" s="54" t="s">
        <x:v>19</x:v>
      </x:c>
      <x:c r="C492" s="54" t="s">
        <x:v>21</x:v>
      </x:c>
      <x:c r="D492" s="55">
        <x:v>45279</x:v>
      </x:c>
      <x:c r="E492" s="54" t="s">
        <x:v>230</x:v>
      </x:c>
      <x:c r="F492" s="54">
        <x:v>1</x:v>
      </x:c>
      <x:c r="G492" s="148">
        <x:v>2000</x:v>
      </x:c>
      <x:c r="H492" s="148" t="n">
        <x:f t="shared" si="35">IFERROR(IF(OR($F$1="",D492=""),0,MAX(0,$F$1-D492)),0)</x:f>
        <x:v>1108</x:v>
      </x:c>
      <x:c r="I492" s="148">
        <x:v>0.33329999999999999</x:v>
      </x:c>
      <x:c r="J492" s="148" t="n">
        <x:f t="shared" si="36">IFERROR(IF(OR(G492="",G492&lt;=0,I492="",D492="",$F$1=""),0,IF($F$1&lt;D492,0,MIN(MAX(G492-1,0),MAX(0,(G492*I492/365)*H492)))),0)</x:f>
        <x:v>1999</x:v>
      </x:c>
      <x:c r="K492" s="148" t="n">
        <x:f t="shared" si="37">IFERROR(IF(OR(G492="",G492&lt;=0),0,MAX(1,G492-J492)),0)</x:f>
        <x:v>1</x:v>
      </x:c>
      <x:c r="L492" s="148" t="n">
        <x:f t="shared" si="38">IFERROR(IF(OR(G492="",G492&lt;=0,I492="",D492="",$F$1=""),0,IF($F$1&lt;D492,0,IF(K492&lt;=1,0,MIN(G492*I492/12,K492-1)))),0)</x:f>
        <x:v>0</x:v>
      </x:c>
      <x:c r="M492" s="58" t="s">
        <x:v>18</x:v>
      </x:c>
    </x:row>
    <x:row r="493" ht="19.899999618530273" customHeight="1">
      <x:c r="A493" s="53">
        <x:f t="shared" si="39"/>
        <x:v>488</x:v>
      </x:c>
      <x:c r="B493" s="54" t="s">
        <x:v>19</x:v>
      </x:c>
      <x:c r="C493" s="54" t="s">
        <x:v>21</x:v>
      </x:c>
      <x:c r="D493" s="55">
        <x:v>45832</x:v>
      </x:c>
      <x:c r="E493" s="54" t="s">
        <x:v>231</x:v>
      </x:c>
      <x:c r="F493" s="54">
        <x:v>1</x:v>
      </x:c>
      <x:c r="G493" s="148">
        <x:v>216000</x:v>
      </x:c>
      <x:c r="H493" s="148" t="n">
        <x:f t="shared" si="35">IFERROR(IF(OR($F$1="",D493=""),0,MAX(0,$F$1-D493)),0)</x:f>
        <x:v>555</x:v>
      </x:c>
      <x:c r="I493" s="148">
        <x:v>0.33329999999999999</x:v>
      </x:c>
      <x:c r="J493" s="148" t="n">
        <x:f t="shared" si="36">IFERROR(IF(OR(G493="",G493&lt;=0,I493="",D493="",$F$1=""),0,IF($F$1&lt;D493,0,MIN(MAX(G493-1,0),MAX(0,(G493*I493/365)*H493)))),0)</x:f>
        <x:v>109468.50410958905</x:v>
      </x:c>
      <x:c r="K493" s="148" t="n">
        <x:f t="shared" si="37">IFERROR(IF(OR(G493="",G493&lt;=0),0,MAX(1,G493-J493)),0)</x:f>
        <x:v>106531.49589041095</x:v>
      </x:c>
      <x:c r="L493" s="148" t="n">
        <x:f t="shared" si="38">IFERROR(IF(OR(G493="",G493&lt;=0,I493="",D493="",$F$1=""),0,IF($F$1&lt;D493,0,IF(K493&lt;=1,0,MIN(G493*I493/12,K493-1)))),0)</x:f>
        <x:v>5999.400000000001</x:v>
      </x:c>
      <x:c r="M493" s="58" t="s">
        <x:v>18</x:v>
      </x:c>
    </x:row>
    <x:row r="494" ht="19.899999618530273" customHeight="1">
      <x:c r="A494" s="53">
        <x:f t="shared" si="39"/>
        <x:v>489</x:v>
      </x:c>
      <x:c r="B494" s="54" t="s">
        <x:v>232</x:v>
      </x:c>
      <x:c r="C494" s="54" t="s">
        <x:v>27</x:v>
      </x:c>
      <x:c r="D494" s="55">
        <x:v>44621</x:v>
      </x:c>
      <x:c r="E494" s="54" t="s">
        <x:v>233</x:v>
      </x:c>
      <x:c r="F494" s="54">
        <x:v>1</x:v>
      </x:c>
      <x:c r="G494" s="148">
        <x:v>4346.96</x:v>
      </x:c>
      <x:c r="H494" s="148" t="n">
        <x:f t="shared" si="35">IFERROR(IF(OR($F$1="",D494=""),0,MAX(0,$F$1-D494)),0)</x:f>
        <x:v>1766</x:v>
      </x:c>
      <x:c r="I494" s="148">
        <x:v>0.33329999999999999</x:v>
      </x:c>
      <x:c r="J494" s="148" t="n">
        <x:f t="shared" si="36">IFERROR(IF(OR(G494="",G494&lt;=0,I494="",D494="",$F$1=""),0,IF($F$1&lt;D494,0,MIN(MAX(G494-1,0),MAX(0,(G494*I494/365)*H494)))),0)</x:f>
        <x:v>4345.96</x:v>
      </x:c>
      <x:c r="K494" s="148" t="n">
        <x:f t="shared" si="37">IFERROR(IF(OR(G494="",G494&lt;=0),0,MAX(1,G494-J494)),0)</x:f>
        <x:v>1</x:v>
      </x:c>
      <x:c r="L494" s="148" t="n">
        <x:f t="shared" si="38">IFERROR(IF(OR(G494="",G494&lt;=0,I494="",D494="",$F$1=""),0,IF($F$1&lt;D494,0,IF(K494&lt;=1,0,MIN(G494*I494/12,K494-1)))),0)</x:f>
        <x:v>0</x:v>
      </x:c>
      <x:c r="M494" s="58" t="s">
        <x:v>18</x:v>
      </x:c>
    </x:row>
    <x:row r="495">
      <x:c r="A495" s="53">
        <x:f t="shared" si="39"/>
        <x:v>490</x:v>
      </x:c>
      <x:c r="B495" s="54" t="s">
        <x:v>19</x:v>
      </x:c>
      <x:c r="C495" s="54" t="s">
        <x:v>27</x:v>
      </x:c>
      <x:c r="D495" s="55">
        <x:v>45918</x:v>
      </x:c>
      <x:c r="E495" s="54" t="s">
        <x:v>234</x:v>
      </x:c>
      <x:c r="F495" s="54">
        <x:v>1</x:v>
      </x:c>
      <x:c r="G495" s="148">
        <x:v>8700</x:v>
      </x:c>
      <x:c r="H495" s="148" t="n">
        <x:f t="shared" si="35">IFERROR(IF(OR($F$1="",D495=""),0,MAX(0,$F$1-D495)),0)</x:f>
        <x:v>469</x:v>
      </x:c>
      <x:c r="I495" s="148">
        <x:v>0.33329999999999999</x:v>
      </x:c>
      <x:c r="J495" s="148" t="n">
        <x:f t="shared" si="36">IFERROR(IF(OR(G495="",G495&lt;=0,I495="",D495="",$F$1=""),0,IF($F$1&lt;D495,0,MIN(MAX(G495-1,0),MAX(0,(G495*I495/365)*H495)))),0)</x:f>
        <x:v>3725.9287397260273</x:v>
      </x:c>
      <x:c r="K495" s="148" t="n">
        <x:f t="shared" si="37">IFERROR(IF(OR(G495="",G495&lt;=0),0,MAX(1,G495-J495)),0)</x:f>
        <x:v>4974.071260273973</x:v>
      </x:c>
      <x:c r="L495" s="148" t="n">
        <x:f t="shared" si="38">IFERROR(IF(OR(G495="",G495&lt;=0,I495="",D495="",$F$1=""),0,IF($F$1&lt;D495,0,IF(K495&lt;=1,0,MIN(G495*I495/12,K495-1)))),0)</x:f>
        <x:v>241.6425</x:v>
      </x:c>
      <x:c r="M495" s="58" t="s">
        <x:v>18</x:v>
      </x:c>
    </x:row>
    <x:row r="496">
      <x:c r="A496" s="53">
        <x:f t="shared" si="39"/>
        <x:v>491</x:v>
      </x:c>
      <x:c r="B496" s="54" t="s">
        <x:v>19</x:v>
      </x:c>
      <x:c r="C496" s="54" t="s">
        <x:v>27</x:v>
      </x:c>
      <x:c r="D496" s="55">
        <x:v>45921</x:v>
      </x:c>
      <x:c r="E496" s="54" t="s">
        <x:v>235</x:v>
      </x:c>
      <x:c r="F496" s="54">
        <x:v>1</x:v>
      </x:c>
      <x:c r="G496" s="148">
        <x:v>1500</x:v>
      </x:c>
      <x:c r="H496" s="148" t="n">
        <x:f t="shared" si="35">IFERROR(IF(OR($F$1="",D496=""),0,MAX(0,$F$1-D496)),0)</x:f>
        <x:v>466</x:v>
      </x:c>
      <x:c r="I496" s="148">
        <x:v>0.33329999999999999</x:v>
      </x:c>
      <x:c r="J496" s="148" t="n">
        <x:f t="shared" si="36">IFERROR(IF(OR(G496="",G496&lt;=0,I496="",D496="",$F$1=""),0,IF($F$1&lt;D496,0,MIN(MAX(G496-1,0),MAX(0,(G496*I496/365)*H496)))),0)</x:f>
        <x:v>638.2923287671233</x:v>
      </x:c>
      <x:c r="K496" s="148" t="n">
        <x:f t="shared" si="37">IFERROR(IF(OR(G496="",G496&lt;=0),0,MAX(1,G496-J496)),0)</x:f>
        <x:v>861.7076712328767</x:v>
      </x:c>
      <x:c r="L496" s="148" t="n">
        <x:f t="shared" si="38">IFERROR(IF(OR(G496="",G496&lt;=0,I496="",D496="",$F$1=""),0,IF($F$1&lt;D496,0,IF(K496&lt;=1,0,MIN(G496*I496/12,K496-1)))),0)</x:f>
        <x:v>41.6625</x:v>
      </x:c>
      <x:c r="M496" s="58" t="s">
        <x:v>18</x:v>
      </x:c>
    </x:row>
    <x:row r="497" ht="19.899999618530273" customHeight="1">
      <x:c r="A497" s="53">
        <x:f t="shared" si="39"/>
        <x:v>492</x:v>
      </x:c>
      <x:c r="B497" s="54" t="s">
        <x:v>236</x:v>
      </x:c>
      <x:c r="C497" s="54" t="s">
        <x:v>43</x:v>
      </x:c>
      <x:c r="D497" s="55">
        <x:v>46113</x:v>
      </x:c>
      <x:c r="E497" s="54" t="s">
        <x:v>237</x:v>
      </x:c>
      <x:c r="F497" s="54">
        <x:v>1</x:v>
      </x:c>
      <x:c r="G497" s="148">
        <x:v>2695.65</x:v>
      </x:c>
      <x:c r="H497" s="148" t="n">
        <x:f t="shared" si="35">IFERROR(IF(OR($F$1="",D497=""),0,MAX(0,$F$1-D497)),0)</x:f>
        <x:v>274</x:v>
      </x:c>
      <x:c r="I497" s="148">
        <x:v>0.2</x:v>
      </x:c>
      <x:c r="J497" s="148" t="n">
        <x:f t="shared" si="36">IFERROR(IF(OR(G497="",G497&lt;=0,I497="",D497="",$F$1=""),0,IF($F$1&lt;D497,0,MIN(MAX(G497-1,0),MAX(0,(G497*I497/365)*H497)))),0)</x:f>
        <x:v>404.7167671232877</x:v>
      </x:c>
      <x:c r="K497" s="148" t="n">
        <x:f t="shared" si="37">IFERROR(IF(OR(G497="",G497&lt;=0),0,MAX(1,G497-J497)),0)</x:f>
        <x:v>2290.9332328767123</x:v>
      </x:c>
      <x:c r="L497" s="148" t="n">
        <x:f t="shared" si="38">IFERROR(IF(OR(G497="",G497&lt;=0,I497="",D497="",$F$1=""),0,IF($F$1&lt;D497,0,IF(K497&lt;=1,0,MIN(G497*I497/12,K497-1)))),0)</x:f>
        <x:v>44.9275</x:v>
      </x:c>
      <x:c r="M497" s="58" t="s">
        <x:v>18</x:v>
      </x:c>
    </x:row>
    <x:row r="498" ht="19.899999618530273" customHeight="1">
      <x:c r="A498" s="53">
        <x:f t="shared" si="39"/>
        <x:v>493</x:v>
      </x:c>
      <x:c r="B498" s="54" t="s">
        <x:v>236</x:v>
      </x:c>
      <x:c r="C498" s="54" t="s">
        <x:v>43</x:v>
      </x:c>
      <x:c r="D498" s="55">
        <x:v>46113</x:v>
      </x:c>
      <x:c r="E498" s="54" t="s">
        <x:v>237</x:v>
      </x:c>
      <x:c r="F498" s="54">
        <x:v>1</x:v>
      </x:c>
      <x:c r="G498" s="148">
        <x:v>2695.65</x:v>
      </x:c>
      <x:c r="H498" s="148" t="n">
        <x:f t="shared" si="35">IFERROR(IF(OR($F$1="",D498=""),0,MAX(0,$F$1-D498)),0)</x:f>
        <x:v>274</x:v>
      </x:c>
      <x:c r="I498" s="148">
        <x:v>0.2</x:v>
      </x:c>
      <x:c r="J498" s="148" t="n">
        <x:f t="shared" si="36">IFERROR(IF(OR(G498="",G498&lt;=0,I498="",D498="",$F$1=""),0,IF($F$1&lt;D498,0,MIN(MAX(G498-1,0),MAX(0,(G498*I498/365)*H498)))),0)</x:f>
        <x:v>404.7167671232877</x:v>
      </x:c>
      <x:c r="K498" s="148" t="n">
        <x:f t="shared" si="37">IFERROR(IF(OR(G498="",G498&lt;=0),0,MAX(1,G498-J498)),0)</x:f>
        <x:v>2290.9332328767123</x:v>
      </x:c>
      <x:c r="L498" s="148" t="n">
        <x:f t="shared" si="38">IFERROR(IF(OR(G498="",G498&lt;=0,I498="",D498="",$F$1=""),0,IF($F$1&lt;D498,0,IF(K498&lt;=1,0,MIN(G498*I498/12,K498-1)))),0)</x:f>
        <x:v>44.9275</x:v>
      </x:c>
      <x:c r="M498" s="58" t="s">
        <x:v>18</x:v>
      </x:c>
    </x:row>
    <x:row r="499" ht="19.899999618530273" customHeight="1">
      <x:c r="A499" s="53">
        <x:f t="shared" si="39"/>
        <x:v>494</x:v>
      </x:c>
      <x:c r="B499" s="54" t="s">
        <x:v>236</x:v>
      </x:c>
      <x:c r="C499" s="54" t="s">
        <x:v>43</x:v>
      </x:c>
      <x:c r="D499" s="55">
        <x:v>46113</x:v>
      </x:c>
      <x:c r="E499" s="54" t="s">
        <x:v>237</x:v>
      </x:c>
      <x:c r="F499" s="54">
        <x:v>1</x:v>
      </x:c>
      <x:c r="G499" s="148">
        <x:v>2695.65</x:v>
      </x:c>
      <x:c r="H499" s="148" t="n">
        <x:f t="shared" si="35">IFERROR(IF(OR($F$1="",D499=""),0,MAX(0,$F$1-D499)),0)</x:f>
        <x:v>274</x:v>
      </x:c>
      <x:c r="I499" s="148">
        <x:v>0.2</x:v>
      </x:c>
      <x:c r="J499" s="148" t="n">
        <x:f t="shared" si="36">IFERROR(IF(OR(G499="",G499&lt;=0,I499="",D499="",$F$1=""),0,IF($F$1&lt;D499,0,MIN(MAX(G499-1,0),MAX(0,(G499*I499/365)*H499)))),0)</x:f>
        <x:v>404.7167671232877</x:v>
      </x:c>
      <x:c r="K499" s="148" t="n">
        <x:f t="shared" si="37">IFERROR(IF(OR(G499="",G499&lt;=0),0,MAX(1,G499-J499)),0)</x:f>
        <x:v>2290.9332328767123</x:v>
      </x:c>
      <x:c r="L499" s="148" t="n">
        <x:f t="shared" si="38">IFERROR(IF(OR(G499="",G499&lt;=0,I499="",D499="",$F$1=""),0,IF($F$1&lt;D499,0,IF(K499&lt;=1,0,MIN(G499*I499/12,K499-1)))),0)</x:f>
        <x:v>44.9275</x:v>
      </x:c>
      <x:c r="M499" s="58" t="s">
        <x:v>18</x:v>
      </x:c>
    </x:row>
    <x:row r="500" ht="19.899999618530273" customHeight="1">
      <x:c r="A500" s="53">
        <x:f t="shared" si="39"/>
        <x:v>495</x:v>
      </x:c>
      <x:c r="B500" s="54" t="s">
        <x:v>236</x:v>
      </x:c>
      <x:c r="C500" s="54" t="s">
        <x:v>43</x:v>
      </x:c>
      <x:c r="D500" s="55">
        <x:v>46113</x:v>
      </x:c>
      <x:c r="E500" s="54" t="s">
        <x:v>237</x:v>
      </x:c>
      <x:c r="F500" s="54">
        <x:v>1</x:v>
      </x:c>
      <x:c r="G500" s="148">
        <x:v>2695.65</x:v>
      </x:c>
      <x:c r="H500" s="148" t="n">
        <x:f t="shared" si="35">IFERROR(IF(OR($F$1="",D500=""),0,MAX(0,$F$1-D500)),0)</x:f>
        <x:v>274</x:v>
      </x:c>
      <x:c r="I500" s="148">
        <x:v>0.2</x:v>
      </x:c>
      <x:c r="J500" s="148" t="n">
        <x:f t="shared" si="36">IFERROR(IF(OR(G500="",G500&lt;=0,I500="",D500="",$F$1=""),0,IF($F$1&lt;D500,0,MIN(MAX(G500-1,0),MAX(0,(G500*I500/365)*H500)))),0)</x:f>
        <x:v>404.7167671232877</x:v>
      </x:c>
      <x:c r="K500" s="148" t="n">
        <x:f t="shared" si="37">IFERROR(IF(OR(G500="",G500&lt;=0),0,MAX(1,G500-J500)),0)</x:f>
        <x:v>2290.9332328767123</x:v>
      </x:c>
      <x:c r="L500" s="148" t="n">
        <x:f t="shared" si="38">IFERROR(IF(OR(G500="",G500&lt;=0,I500="",D500="",$F$1=""),0,IF($F$1&lt;D500,0,IF(K500&lt;=1,0,MIN(G500*I500/12,K500-1)))),0)</x:f>
        <x:v>44.9275</x:v>
      </x:c>
      <x:c r="M500" s="58" t="s">
        <x:v>18</x:v>
      </x:c>
    </x:row>
    <x:row r="501" ht="19.899999618530273" customHeight="1">
      <x:c r="A501" s="53">
        <x:f t="shared" si="39"/>
        <x:v>496</x:v>
      </x:c>
      <x:c r="B501" s="54" t="s">
        <x:v>236</x:v>
      </x:c>
      <x:c r="C501" s="54" t="s">
        <x:v>43</x:v>
      </x:c>
      <x:c r="D501" s="55">
        <x:v>46113</x:v>
      </x:c>
      <x:c r="E501" s="54" t="s">
        <x:v>237</x:v>
      </x:c>
      <x:c r="F501" s="54">
        <x:v>1</x:v>
      </x:c>
      <x:c r="G501" s="148">
        <x:v>2695.65</x:v>
      </x:c>
      <x:c r="H501" s="148" t="n">
        <x:f t="shared" si="35">IFERROR(IF(OR($F$1="",D501=""),0,MAX(0,$F$1-D501)),0)</x:f>
        <x:v>274</x:v>
      </x:c>
      <x:c r="I501" s="148">
        <x:v>0.2</x:v>
      </x:c>
      <x:c r="J501" s="148" t="n">
        <x:f t="shared" si="36">IFERROR(IF(OR(G501="",G501&lt;=0,I501="",D501="",$F$1=""),0,IF($F$1&lt;D501,0,MIN(MAX(G501-1,0),MAX(0,(G501*I501/365)*H501)))),0)</x:f>
        <x:v>404.7167671232877</x:v>
      </x:c>
      <x:c r="K501" s="148" t="n">
        <x:f t="shared" ref="K501:K502" si="40">IFERROR(IF(OR(G501="",G501&lt;=0),0,MAX(1,G501-J501)),0)</x:f>
        <x:v>2290.9332328767123</x:v>
      </x:c>
      <x:c r="L501" s="148" t="n">
        <x:f t="shared" si="38">IFERROR(IF(OR(G501="",G501&lt;=0,I501="",D501="",$F$1=""),0,IF($F$1&lt;D501,0,IF(K501&lt;=1,0,MIN(G501*I501/12,K501-1)))),0)</x:f>
        <x:v>44.9275</x:v>
      </x:c>
      <x:c r="M501" s="58" t="s">
        <x:v>18</x:v>
      </x:c>
    </x:row>
    <x:row r="502" ht="19.899999618530273" customHeight="1">
      <x:c r="A502" s="53">
        <x:f t="shared" si="39"/>
        <x:v>497</x:v>
      </x:c>
      <x:c r="B502" s="54" t="s">
        <x:v>236</x:v>
      </x:c>
      <x:c r="C502" s="54" t="s">
        <x:v>43</x:v>
      </x:c>
      <x:c r="D502" s="55">
        <x:v>46113</x:v>
      </x:c>
      <x:c r="E502" s="54" t="s">
        <x:v>238</x:v>
      </x:c>
      <x:c r="F502" s="54">
        <x:v>1</x:v>
      </x:c>
      <x:c r="G502" s="148">
        <x:v>1260.8699999999999</x:v>
      </x:c>
      <x:c r="H502" s="148" t="n">
        <x:f t="shared" si="35">IFERROR(IF(OR($F$1="",D502=""),0,MAX(0,$F$1-D502)),0)</x:f>
        <x:v>274</x:v>
      </x:c>
      <x:c r="I502" s="148">
        <x:v>0.2</x:v>
      </x:c>
      <x:c r="J502" s="148" t="n">
        <x:f t="shared" si="36">IFERROR(IF(OR(G502="",G502&lt;=0,I502="",D502="",$F$1=""),0,IF($F$1&lt;D502,0,MIN(MAX(G502-1,0),MAX(0,(G502*I502/365)*H502)))),0)</x:f>
        <x:v>189.3032219178082</x:v>
      </x:c>
      <x:c r="K502" s="148" t="n">
        <x:f t="shared" si="40">IFERROR(IF(OR(G502="",G502&lt;=0),0,MAX(1,G502-J502)),0)</x:f>
        <x:v>1071.5667780821916</x:v>
      </x:c>
      <x:c r="L502" s="148" t="n">
        <x:f t="shared" si="38">IFERROR(IF(OR(G502="",G502&lt;=0,I502="",D502="",$F$1=""),0,IF($F$1&lt;D502,0,IF(K502&lt;=1,0,MIN(G502*I502/12,K502-1)))),0)</x:f>
        <x:v>21.014499999999998</x:v>
      </x:c>
      <x:c r="M502" s="58" t="s">
        <x:v>18</x:v>
      </x:c>
    </x:row>
    <x:row r="503" ht="19.899999618530273" customHeight="1">
      <x:c r="A503" s="53">
        <x:f t="shared" si="39"/>
        <x:v>498</x:v>
      </x:c>
      <x:c r="B503" s="54" t="s">
        <x:v>236</x:v>
      </x:c>
      <x:c r="C503" s="54" t="s">
        <x:v>43</x:v>
      </x:c>
      <x:c r="D503" s="55">
        <x:v>46113</x:v>
      </x:c>
      <x:c r="E503" s="54" t="s">
        <x:v>239</x:v>
      </x:c>
      <x:c r="F503" s="54">
        <x:v>1</x:v>
      </x:c>
      <x:c r="G503" s="148">
        <x:v>4702.03</x:v>
      </x:c>
      <x:c r="H503" s="148" t="n">
        <x:f t="shared" si="35">IFERROR(IF(OR($F$1="",D503=""),0,MAX(0,$F$1-D503)),0)</x:f>
        <x:v>274</x:v>
      </x:c>
      <x:c r="I503" s="148">
        <x:v>0.2</x:v>
      </x:c>
      <x:c r="J503" s="148" t="n">
        <x:f t="shared" si="36">IFERROR(IF(OR(G503="",G503&lt;=0,I503="",D503="",$F$1=""),0,IF($F$1&lt;D503,0,MIN(MAX(G503-1,0),MAX(0,(G503*I503/365)*H503)))),0)</x:f>
        <x:v>705.9486136986301</x:v>
      </x:c>
      <x:c r="K503" s="148" t="n">
        <x:f t="shared" ref="K503:K506" si="41">IFERROR(IF(OR(G503="",G503&lt;=0),0,MAX(1,G503-J503)),0)</x:f>
        <x:v>3996.0813863013695</x:v>
      </x:c>
      <x:c r="L503" s="148" t="n">
        <x:f t="shared" si="38">IFERROR(IF(OR(G503="",G503&lt;=0,I503="",D503="",$F$1=""),0,IF($F$1&lt;D503,0,IF(K503&lt;=1,0,MIN(G503*I503/12,K503-1)))),0)</x:f>
        <x:v>78.36716666666666</x:v>
      </x:c>
      <x:c r="M503" s="58" t="s">
        <x:v>18</x:v>
      </x:c>
    </x:row>
    <x:row r="504" ht="19.899999618530273" customHeight="1">
      <x:c r="A504" s="53">
        <x:f t="shared" si="39"/>
        <x:v>499</x:v>
      </x:c>
      <x:c r="B504" s="54" t="s">
        <x:v>236</x:v>
      </x:c>
      <x:c r="C504" s="54" t="s">
        <x:v>43</x:v>
      </x:c>
      <x:c r="D504" s="55">
        <x:v>46113</x:v>
      </x:c>
      <x:c r="E504" s="54" t="s">
        <x:v>239</x:v>
      </x:c>
      <x:c r="F504" s="54">
        <x:v>1</x:v>
      </x:c>
      <x:c r="G504" s="148">
        <x:v>4702.03</x:v>
      </x:c>
      <x:c r="H504" s="148" t="n">
        <x:f t="shared" si="35">IFERROR(IF(OR($F$1="",D504=""),0,MAX(0,$F$1-D504)),0)</x:f>
        <x:v>274</x:v>
      </x:c>
      <x:c r="I504" s="148">
        <x:v>0.2</x:v>
      </x:c>
      <x:c r="J504" s="148" t="n">
        <x:f t="shared" si="36">IFERROR(IF(OR(G504="",G504&lt;=0,I504="",D504="",$F$1=""),0,IF($F$1&lt;D504,0,MIN(MAX(G504-1,0),MAX(0,(G504*I504/365)*H504)))),0)</x:f>
        <x:v>705.9486136986301</x:v>
      </x:c>
      <x:c r="K504" s="148" t="n">
        <x:f t="shared" si="41">IFERROR(IF(OR(G504="",G504&lt;=0),0,MAX(1,G504-J504)),0)</x:f>
        <x:v>3996.0813863013695</x:v>
      </x:c>
      <x:c r="L504" s="148" t="n">
        <x:f t="shared" si="38">IFERROR(IF(OR(G504="",G504&lt;=0,I504="",D504="",$F$1=""),0,IF($F$1&lt;D504,0,IF(K504&lt;=1,0,MIN(G504*I504/12,K504-1)))),0)</x:f>
        <x:v>78.36716666666666</x:v>
      </x:c>
      <x:c r="M504" s="58" t="s">
        <x:v>18</x:v>
      </x:c>
    </x:row>
    <x:row r="505" ht="19.899999618530273" customHeight="1">
      <x:c r="A505" s="53">
        <x:f t="shared" si="39"/>
        <x:v>500</x:v>
      </x:c>
      <x:c r="B505" s="54" t="s">
        <x:v>236</x:v>
      </x:c>
      <x:c r="C505" s="54" t="s">
        <x:v>43</x:v>
      </x:c>
      <x:c r="D505" s="55">
        <x:v>46113</x:v>
      </x:c>
      <x:c r="E505" s="54" t="s">
        <x:v>239</x:v>
      </x:c>
      <x:c r="F505" s="54">
        <x:v>1</x:v>
      </x:c>
      <x:c r="G505" s="148">
        <x:v>4702.03</x:v>
      </x:c>
      <x:c r="H505" s="148" t="n">
        <x:f t="shared" si="35">IFERROR(IF(OR($F$1="",D505=""),0,MAX(0,$F$1-D505)),0)</x:f>
        <x:v>274</x:v>
      </x:c>
      <x:c r="I505" s="148">
        <x:v>0.2</x:v>
      </x:c>
      <x:c r="J505" s="148" t="n">
        <x:f t="shared" si="36">IFERROR(IF(OR(G505="",G505&lt;=0,I505="",D505="",$F$1=""),0,IF($F$1&lt;D505,0,MIN(MAX(G505-1,0),MAX(0,(G505*I505/365)*H505)))),0)</x:f>
        <x:v>705.9486136986301</x:v>
      </x:c>
      <x:c r="K505" s="148" t="n">
        <x:f t="shared" si="41">IFERROR(IF(OR(G505="",G505&lt;=0),0,MAX(1,G505-J505)),0)</x:f>
        <x:v>3996.0813863013695</x:v>
      </x:c>
      <x:c r="L505" s="148" t="n">
        <x:f t="shared" si="38">IFERROR(IF(OR(G505="",G505&lt;=0,I505="",D505="",$F$1=""),0,IF($F$1&lt;D505,0,IF(K505&lt;=1,0,MIN(G505*I505/12,K505-1)))),0)</x:f>
        <x:v>78.36716666666666</x:v>
      </x:c>
      <x:c r="M505" s="58" t="s">
        <x:v>18</x:v>
      </x:c>
    </x:row>
    <x:row r="506" ht="19.899999618530273" customHeight="1">
      <x:c r="A506" s="53">
        <x:f t="shared" si="39"/>
        <x:v>501</x:v>
      </x:c>
      <x:c r="B506" s="54" t="s">
        <x:v>236</x:v>
      </x:c>
      <x:c r="C506" s="54" t="s">
        <x:v>43</x:v>
      </x:c>
      <x:c r="D506" s="55">
        <x:v>46113</x:v>
      </x:c>
      <x:c r="E506" s="54" t="s">
        <x:v>240</x:v>
      </x:c>
      <x:c r="F506" s="54">
        <x:v>1</x:v>
      </x:c>
      <x:c r="G506" s="148">
        <x:v>0</x:v>
      </x:c>
      <x:c r="H506" s="148" t="n">
        <x:f t="shared" si="35">IFERROR(IF(OR($F$1="",D506=""),0,MAX(0,$F$1-D506)),0)</x:f>
        <x:v>274</x:v>
      </x:c>
      <x:c r="I506" s="148">
        <x:v>0.2</x:v>
      </x:c>
      <x:c r="J506" s="148" t="n">
        <x:f t="shared" si="36">IFERROR(IF(OR(G506="",G506&lt;=0,I506="",D506="",$F$1=""),0,IF($F$1&lt;D506,0,MIN(MAX(G506-1,0),MAX(0,(G506*I506/365)*H506)))),0)</x:f>
        <x:v>0</x:v>
      </x:c>
      <x:c r="K506" s="148" t="n">
        <x:f t="shared" si="41">IFERROR(IF(OR(G506="",G506&lt;=0),0,MAX(1,G506-J506)),0)</x:f>
        <x:v>0</x:v>
      </x:c>
      <x:c r="L506" s="148" t="n">
        <x:f t="shared" si="38">IFERROR(IF(OR(G506="",G506&lt;=0,I506="",D506="",$F$1=""),0,IF($F$1&lt;D506,0,IF(K506&lt;=1,0,MIN(G506*I506/12,K506-1)))),0)</x:f>
        <x:v>0</x:v>
      </x:c>
      <x:c r="M506" s="58" t="s">
        <x:v>18</x:v>
      </x:c>
    </x:row>
    <x:row r="507">
      <x:c r="A507" t="str">
        <x:v>الإجمالي</x:v>
      </x:c>
      <x:c r="B507" s="61"/>
      <x:c r="C507" s="61"/>
      <x:c r="D507" s="62"/>
      <x:c r="E507" s="61"/>
      <x:c r="F507" s="61"/>
      <x:c r="G507" s="150" t="n">
        <x:f>SUBTOTAL(109,G6:G506)</x:f>
        <x:v>3591285.428699997</x:v>
      </x:c>
      <x:c r="H507" s="150">
        <x:f t="shared" si="35"/>
        <x:v>0</x:v>
      </x:c>
      <x:c r="I507" s="150"/>
      <x:c r="J507" s="150" t="n">
        <x:f t="shared" si="36">SUBTOTAL(109,J6:J506)</x:f>
        <x:v>1979250.3175082158</x:v>
      </x:c>
      <x:c r="K507" s="150" t="n">
        <x:f t="shared" ref="K507:K565" si="42">SUBTOTAL(109,K6:K506)</x:f>
        <x:v>1612035.1111917882</x:v>
      </x:c>
      <x:c r="L507" s="150" t="n">
        <x:f>SUBTOTAL(109,L6:L506)</x:f>
        <x:v>50082.19517591634</x:v>
      </x:c>
      <x:c r="M507" s="61"/>
    </x:row>
    <x:row r="508">
      <x:c r="A508" s="61" t="str">
        <x:f>IF(E508="","",MAX($A$6:A507)+1)</x:f>
      </x:c>
      <x:c r="B508" s="61"/>
      <x:c r="C508" s="61"/>
      <x:c r="D508" s="62"/>
      <x:c r="E508" s="61"/>
      <x:c r="F508" s="61"/>
      <x:c r="G508" s="63">
        <x:v>3591285.4287</x:v>
      </x:c>
      <x:c r="H508" s="63">
        <x:f t="shared" si="35"/>
        <x:v>0</x:v>
      </x:c>
      <x:c r="I508" s="64"/>
      <x:c r="J508" s="63">
        <x:f t="shared" si="36"/>
        <x:v>0</x:v>
      </x:c>
      <x:c r="K508" s="63">
        <x:f t="shared" si="42"/>
        <x:v>3591285.4287</x:v>
      </x:c>
      <x:c r="L508" s="63">
        <x:f t="shared" si="38"/>
        <x:v>0</x:v>
      </x:c>
      <x:c r="M508" s="61"/>
    </x:row>
    <x:row r="509">
      <x:c r="A509" s="61" t="str">
        <x:f>IF(E509="","",MAX($A$6:A508)+1)</x:f>
      </x:c>
      <x:c r="B509" s="61"/>
      <x:c r="C509" s="61"/>
      <x:c r="D509" s="62"/>
      <x:c r="E509" s="61"/>
      <x:c r="F509" s="61"/>
      <x:c r="G509" s="63"/>
      <x:c r="H509" s="63">
        <x:f t="shared" si="35"/>
        <x:v>0</x:v>
      </x:c>
      <x:c r="I509" s="64"/>
      <x:c r="J509" s="63">
        <x:f t="shared" si="36"/>
        <x:v>0</x:v>
      </x:c>
      <x:c r="K509" s="63" t="str">
        <x:f t="shared" si="42"/>
      </x:c>
      <x:c r="L509" s="63">
        <x:f t="shared" si="38"/>
        <x:v>0</x:v>
      </x:c>
      <x:c r="M509" s="61"/>
    </x:row>
    <x:row r="510">
      <x:c r="A510" s="61" t="str">
        <x:f>IF(E510="","",MAX($A$6:A509)+1)</x:f>
      </x:c>
      <x:c r="B510" s="61"/>
      <x:c r="C510" s="61"/>
      <x:c r="D510" s="62"/>
      <x:c r="E510" s="61"/>
      <x:c r="F510" s="61"/>
      <x:c r="G510" s="63"/>
      <x:c r="H510" s="63">
        <x:f t="shared" si="35"/>
        <x:v>0</x:v>
      </x:c>
      <x:c r="I510" s="64"/>
      <x:c r="J510" s="63">
        <x:f t="shared" si="36"/>
        <x:v>0</x:v>
      </x:c>
      <x:c r="K510" s="63" t="str">
        <x:f t="shared" si="42"/>
      </x:c>
      <x:c r="L510" s="63">
        <x:f t="shared" si="38"/>
        <x:v>0</x:v>
      </x:c>
      <x:c r="M510" s="61"/>
    </x:row>
    <x:row r="511">
      <x:c r="A511" s="61" t="str">
        <x:f>IF(E511="","",MAX($A$6:A510)+1)</x:f>
      </x:c>
      <x:c r="B511" s="61"/>
      <x:c r="C511" s="61"/>
      <x:c r="D511" s="62"/>
      <x:c r="E511" s="61"/>
      <x:c r="F511" s="61"/>
      <x:c r="G511" s="63"/>
      <x:c r="H511" s="63">
        <x:f t="shared" si="35"/>
        <x:v>0</x:v>
      </x:c>
      <x:c r="I511" s="64"/>
      <x:c r="J511" s="63">
        <x:f t="shared" si="36"/>
        <x:v>0</x:v>
      </x:c>
      <x:c r="K511" s="63" t="str">
        <x:f t="shared" si="42"/>
      </x:c>
      <x:c r="L511" s="63">
        <x:f t="shared" si="38"/>
        <x:v>0</x:v>
      </x:c>
      <x:c r="M511" s="61"/>
    </x:row>
    <x:row r="512">
      <x:c r="A512" s="61" t="str">
        <x:f>IF(E512="","",MAX($A$6:A511)+1)</x:f>
      </x:c>
      <x:c r="B512" s="61"/>
      <x:c r="C512" s="61"/>
      <x:c r="D512" s="62"/>
      <x:c r="E512" s="61"/>
      <x:c r="F512" s="61"/>
      <x:c r="G512" s="63"/>
      <x:c r="H512" s="63">
        <x:f t="shared" si="35"/>
        <x:v>0</x:v>
      </x:c>
      <x:c r="I512" s="64"/>
      <x:c r="J512" s="63">
        <x:f t="shared" si="36"/>
        <x:v>0</x:v>
      </x:c>
      <x:c r="K512" s="63" t="str">
        <x:f t="shared" si="42"/>
      </x:c>
      <x:c r="L512" s="63">
        <x:f t="shared" si="38"/>
        <x:v>0</x:v>
      </x:c>
      <x:c r="M512" s="61"/>
    </x:row>
    <x:row r="513">
      <x:c r="A513" s="61" t="str">
        <x:f>IF(E513="","",MAX($A$6:A512)+1)</x:f>
      </x:c>
      <x:c r="B513" s="61"/>
      <x:c r="C513" s="61"/>
      <x:c r="D513" s="62"/>
      <x:c r="E513" s="61"/>
      <x:c r="F513" s="61"/>
      <x:c r="G513" s="63"/>
      <x:c r="H513" s="63">
        <x:f t="shared" si="35"/>
        <x:v>0</x:v>
      </x:c>
      <x:c r="I513" s="64"/>
      <x:c r="J513" s="63">
        <x:f t="shared" si="36"/>
        <x:v>0</x:v>
      </x:c>
      <x:c r="K513" s="63" t="str">
        <x:f t="shared" si="42"/>
      </x:c>
      <x:c r="L513" s="63">
        <x:f t="shared" si="38"/>
        <x:v>0</x:v>
      </x:c>
      <x:c r="M513" s="61"/>
    </x:row>
    <x:row r="514">
      <x:c r="A514" s="61" t="str">
        <x:f>IF(E514="","",MAX($A$6:A513)+1)</x:f>
      </x:c>
      <x:c r="B514" s="61"/>
      <x:c r="C514" s="61"/>
      <x:c r="D514" s="62"/>
      <x:c r="E514" s="61"/>
      <x:c r="F514" s="61"/>
      <x:c r="G514" s="63"/>
      <x:c r="H514" s="63">
        <x:f t="shared" si="35"/>
        <x:v>0</x:v>
      </x:c>
      <x:c r="I514" s="64"/>
      <x:c r="J514" s="63">
        <x:f t="shared" si="36"/>
        <x:v>0</x:v>
      </x:c>
      <x:c r="K514" s="63" t="str">
        <x:f t="shared" si="42"/>
      </x:c>
      <x:c r="L514" s="63">
        <x:f t="shared" si="38"/>
        <x:v>0</x:v>
      </x:c>
      <x:c r="M514" s="61"/>
    </x:row>
    <x:row r="515">
      <x:c r="A515" s="61" t="str">
        <x:f>IF(E515="","",MAX($A$6:A514)+1)</x:f>
      </x:c>
      <x:c r="B515" s="61"/>
      <x:c r="C515" s="61"/>
      <x:c r="D515" s="62"/>
      <x:c r="E515" s="61"/>
      <x:c r="F515" s="61"/>
      <x:c r="G515" s="63"/>
      <x:c r="H515" s="63">
        <x:f t="shared" si="35"/>
        <x:v>0</x:v>
      </x:c>
      <x:c r="I515" s="64"/>
      <x:c r="J515" s="63">
        <x:f t="shared" si="36"/>
        <x:v>0</x:v>
      </x:c>
      <x:c r="K515" s="63" t="str">
        <x:f t="shared" si="42"/>
      </x:c>
      <x:c r="L515" s="63">
        <x:f t="shared" si="38"/>
        <x:v>0</x:v>
      </x:c>
      <x:c r="M515" s="61"/>
    </x:row>
    <x:row r="516">
      <x:c r="A516" s="61" t="str">
        <x:f>IF(E516="","",MAX($A$6:A515)+1)</x:f>
      </x:c>
      <x:c r="B516" s="61"/>
      <x:c r="C516" s="61"/>
      <x:c r="D516" s="62"/>
      <x:c r="E516" s="61"/>
      <x:c r="F516" s="61"/>
      <x:c r="G516" s="63"/>
      <x:c r="H516" s="63">
        <x:f t="shared" si="35"/>
        <x:v>0</x:v>
      </x:c>
      <x:c r="I516" s="64"/>
      <x:c r="J516" s="63">
        <x:f t="shared" si="36"/>
        <x:v>0</x:v>
      </x:c>
      <x:c r="K516" s="63" t="str">
        <x:f t="shared" si="42"/>
      </x:c>
      <x:c r="L516" s="63">
        <x:f t="shared" si="38"/>
        <x:v>0</x:v>
      </x:c>
      <x:c r="M516" s="61"/>
    </x:row>
    <x:row r="517">
      <x:c r="A517" s="61" t="str">
        <x:f>IF(E517="","",MAX($A$6:A516)+1)</x:f>
      </x:c>
      <x:c r="B517" s="61"/>
      <x:c r="C517" s="61"/>
      <x:c r="D517" s="62"/>
      <x:c r="E517" s="61"/>
      <x:c r="F517" s="61"/>
      <x:c r="G517" s="63"/>
      <x:c r="H517" s="63">
        <x:f t="shared" si="35"/>
        <x:v>0</x:v>
      </x:c>
      <x:c r="I517" s="64"/>
      <x:c r="J517" s="63">
        <x:f t="shared" si="36"/>
        <x:v>0</x:v>
      </x:c>
      <x:c r="K517" s="63" t="str">
        <x:f t="shared" si="42"/>
      </x:c>
      <x:c r="L517" s="63">
        <x:f t="shared" si="38"/>
        <x:v>0</x:v>
      </x:c>
      <x:c r="M517" s="61"/>
    </x:row>
    <x:row r="518">
      <x:c r="A518" s="61" t="str">
        <x:f>IF(E518="","",MAX($A$6:A517)+1)</x:f>
      </x:c>
      <x:c r="B518" s="61"/>
      <x:c r="C518" s="61"/>
      <x:c r="D518" s="62"/>
      <x:c r="E518" s="61"/>
      <x:c r="F518" s="61"/>
      <x:c r="G518" s="63"/>
      <x:c r="H518" s="63" t="n">
        <x:f t="shared" ref="H518:H581" si="43">IFERROR(IF(OR($F$1="",D518=""),0,MAX(0,$F$1-D518)),0)</x:f>
        <x:v>0</x:v>
      </x:c>
      <x:c r="I518" s="64"/>
      <x:c r="J518" s="63" t="n">
        <x:f t="shared" ref="J518:J581" si="44">IFERROR(IF(OR(G518="",I518="",D518="",$F$1=""),0,IF($F$1&lt;D518,0,MIN(MAX(G518-1,0),MAX(0,(G518*I518/365)*H518)))),0)</x:f>
        <x:v>0</x:v>
      </x:c>
      <x:c r="K518" s="63" t="str">
        <x:f t="shared" si="42"/>
      </x:c>
      <x:c r="L518" s="63" t="n">
        <x:f t="shared" ref="L518:L581" si="45">IFERROR(IF(OR(G518="",I518="",D518="",$F$1=""),0,IF($F$1&lt;D518,0,IF(K518&lt;=1,0,MIN(G518*I518/12,K518-1)))),0)</x:f>
        <x:v>0</x:v>
      </x:c>
      <x:c r="M518" s="61"/>
    </x:row>
    <x:row r="519">
      <x:c r="A519" s="61" t="str">
        <x:f>IF(E519="","",MAX($A$6:A518)+1)</x:f>
      </x:c>
      <x:c r="B519" s="61"/>
      <x:c r="C519" s="61"/>
      <x:c r="D519" s="62"/>
      <x:c r="E519" s="61"/>
      <x:c r="F519" s="61"/>
      <x:c r="G519" s="63"/>
      <x:c r="H519" s="63">
        <x:f t="shared" si="43"/>
        <x:v>0</x:v>
      </x:c>
      <x:c r="I519" s="64"/>
      <x:c r="J519" s="63">
        <x:f t="shared" si="44"/>
        <x:v>0</x:v>
      </x:c>
      <x:c r="K519" s="63" t="str">
        <x:f t="shared" si="42"/>
      </x:c>
      <x:c r="L519" s="63">
        <x:f t="shared" si="45"/>
        <x:v>0</x:v>
      </x:c>
      <x:c r="M519" s="61"/>
    </x:row>
    <x:row r="520">
      <x:c r="A520" s="61" t="str">
        <x:f>IF(E520="","",MAX($A$6:A519)+1)</x:f>
      </x:c>
      <x:c r="B520" s="61"/>
      <x:c r="C520" s="61"/>
      <x:c r="D520" s="62"/>
      <x:c r="E520" s="61"/>
      <x:c r="F520" s="61"/>
      <x:c r="G520" s="63"/>
      <x:c r="H520" s="63">
        <x:f t="shared" si="43"/>
        <x:v>0</x:v>
      </x:c>
      <x:c r="I520" s="64"/>
      <x:c r="J520" s="63">
        <x:f t="shared" si="44"/>
        <x:v>0</x:v>
      </x:c>
      <x:c r="K520" s="63" t="str">
        <x:f t="shared" si="42"/>
      </x:c>
      <x:c r="L520" s="63">
        <x:f t="shared" si="45"/>
        <x:v>0</x:v>
      </x:c>
      <x:c r="M520" s="61"/>
    </x:row>
    <x:row r="521">
      <x:c r="A521" s="61" t="str">
        <x:f>IF(E521="","",MAX($A$6:A520)+1)</x:f>
      </x:c>
      <x:c r="B521" s="61"/>
      <x:c r="C521" s="61"/>
      <x:c r="D521" s="62"/>
      <x:c r="E521" s="61"/>
      <x:c r="F521" s="61"/>
      <x:c r="G521" s="63"/>
      <x:c r="H521" s="63">
        <x:f t="shared" si="43"/>
        <x:v>0</x:v>
      </x:c>
      <x:c r="I521" s="64"/>
      <x:c r="J521" s="63">
        <x:f t="shared" si="44"/>
        <x:v>0</x:v>
      </x:c>
      <x:c r="K521" s="63" t="str">
        <x:f t="shared" si="42"/>
      </x:c>
      <x:c r="L521" s="63">
        <x:f t="shared" si="45"/>
        <x:v>0</x:v>
      </x:c>
      <x:c r="M521" s="61"/>
    </x:row>
    <x:row r="522">
      <x:c r="A522" s="61" t="str">
        <x:f>IF(E522="","",MAX($A$6:A521)+1)</x:f>
      </x:c>
      <x:c r="B522" s="61"/>
      <x:c r="C522" s="61"/>
      <x:c r="D522" s="62"/>
      <x:c r="E522" s="61"/>
      <x:c r="F522" s="61"/>
      <x:c r="G522" s="63"/>
      <x:c r="H522" s="63">
        <x:f t="shared" si="43"/>
        <x:v>0</x:v>
      </x:c>
      <x:c r="I522" s="64"/>
      <x:c r="J522" s="63">
        <x:f t="shared" si="44"/>
        <x:v>0</x:v>
      </x:c>
      <x:c r="K522" s="63" t="str">
        <x:f t="shared" si="42"/>
      </x:c>
      <x:c r="L522" s="63">
        <x:f t="shared" si="45"/>
        <x:v>0</x:v>
      </x:c>
      <x:c r="M522" s="61"/>
    </x:row>
    <x:row r="523">
      <x:c r="A523" s="61" t="str">
        <x:f>IF(E523="","",MAX($A$6:A522)+1)</x:f>
      </x:c>
      <x:c r="B523" s="61"/>
      <x:c r="C523" s="61"/>
      <x:c r="D523" s="62"/>
      <x:c r="E523" s="61"/>
      <x:c r="F523" s="61"/>
      <x:c r="G523" s="63"/>
      <x:c r="H523" s="63">
        <x:f t="shared" si="43"/>
        <x:v>0</x:v>
      </x:c>
      <x:c r="I523" s="64"/>
      <x:c r="J523" s="63">
        <x:f t="shared" si="44"/>
        <x:v>0</x:v>
      </x:c>
      <x:c r="K523" s="63" t="str">
        <x:f t="shared" si="42"/>
      </x:c>
      <x:c r="L523" s="63">
        <x:f t="shared" si="45"/>
        <x:v>0</x:v>
      </x:c>
      <x:c r="M523" s="61"/>
    </x:row>
    <x:row r="524">
      <x:c r="A524" s="61" t="str">
        <x:f>IF(E524="","",MAX($A$6:A523)+1)</x:f>
      </x:c>
      <x:c r="B524" s="61"/>
      <x:c r="C524" s="61"/>
      <x:c r="D524" s="62"/>
      <x:c r="E524" s="61"/>
      <x:c r="F524" s="61"/>
      <x:c r="G524" s="63"/>
      <x:c r="H524" s="63">
        <x:f t="shared" si="43"/>
        <x:v>0</x:v>
      </x:c>
      <x:c r="I524" s="64"/>
      <x:c r="J524" s="63">
        <x:f t="shared" si="44"/>
        <x:v>0</x:v>
      </x:c>
      <x:c r="K524" s="63" t="str">
        <x:f t="shared" si="42"/>
      </x:c>
      <x:c r="L524" s="63">
        <x:f t="shared" si="45"/>
        <x:v>0</x:v>
      </x:c>
      <x:c r="M524" s="61"/>
    </x:row>
    <x:row r="525">
      <x:c r="A525" s="61" t="str">
        <x:f>IF(E525="","",MAX($A$6:A524)+1)</x:f>
      </x:c>
      <x:c r="B525" s="61"/>
      <x:c r="C525" s="61"/>
      <x:c r="D525" s="62"/>
      <x:c r="E525" s="61"/>
      <x:c r="F525" s="61"/>
      <x:c r="G525" s="63"/>
      <x:c r="H525" s="63">
        <x:f t="shared" si="43"/>
        <x:v>0</x:v>
      </x:c>
      <x:c r="I525" s="64"/>
      <x:c r="J525" s="63">
        <x:f t="shared" si="44"/>
        <x:v>0</x:v>
      </x:c>
      <x:c r="K525" s="63" t="str">
        <x:f t="shared" si="42"/>
      </x:c>
      <x:c r="L525" s="63">
        <x:f t="shared" si="45"/>
        <x:v>0</x:v>
      </x:c>
      <x:c r="M525" s="61"/>
    </x:row>
    <x:row r="526">
      <x:c r="A526" s="61" t="str">
        <x:f>IF(E526="","",MAX($A$6:A525)+1)</x:f>
      </x:c>
      <x:c r="B526" s="61"/>
      <x:c r="C526" s="61"/>
      <x:c r="D526" s="62"/>
      <x:c r="E526" s="61"/>
      <x:c r="F526" s="61"/>
      <x:c r="G526" s="63"/>
      <x:c r="H526" s="63">
        <x:f t="shared" si="43"/>
        <x:v>0</x:v>
      </x:c>
      <x:c r="I526" s="64"/>
      <x:c r="J526" s="63">
        <x:f t="shared" si="44"/>
        <x:v>0</x:v>
      </x:c>
      <x:c r="K526" s="63" t="str">
        <x:f t="shared" si="42"/>
      </x:c>
      <x:c r="L526" s="63">
        <x:f t="shared" si="45"/>
        <x:v>0</x:v>
      </x:c>
      <x:c r="M526" s="61"/>
    </x:row>
    <x:row r="527">
      <x:c r="A527" s="61" t="str">
        <x:f>IF(E527="","",MAX($A$6:A526)+1)</x:f>
      </x:c>
      <x:c r="B527" s="61"/>
      <x:c r="C527" s="61"/>
      <x:c r="D527" s="62"/>
      <x:c r="E527" s="61"/>
      <x:c r="F527" s="61"/>
      <x:c r="G527" s="63"/>
      <x:c r="H527" s="63">
        <x:f t="shared" si="43"/>
        <x:v>0</x:v>
      </x:c>
      <x:c r="I527" s="64"/>
      <x:c r="J527" s="63">
        <x:f t="shared" si="44"/>
        <x:v>0</x:v>
      </x:c>
      <x:c r="K527" s="63" t="str">
        <x:f t="shared" si="42"/>
      </x:c>
      <x:c r="L527" s="63">
        <x:f t="shared" si="45"/>
        <x:v>0</x:v>
      </x:c>
      <x:c r="M527" s="61"/>
    </x:row>
    <x:row r="528">
      <x:c r="A528" s="61" t="str">
        <x:f>IF(E528="","",MAX($A$6:A527)+1)</x:f>
      </x:c>
      <x:c r="B528" s="61"/>
      <x:c r="C528" s="61"/>
      <x:c r="D528" s="62"/>
      <x:c r="E528" s="61"/>
      <x:c r="F528" s="61"/>
      <x:c r="G528" s="63"/>
      <x:c r="H528" s="63">
        <x:f t="shared" si="43"/>
        <x:v>0</x:v>
      </x:c>
      <x:c r="I528" s="64"/>
      <x:c r="J528" s="63">
        <x:f t="shared" si="44"/>
        <x:v>0</x:v>
      </x:c>
      <x:c r="K528" s="63" t="str">
        <x:f t="shared" si="42"/>
      </x:c>
      <x:c r="L528" s="63">
        <x:f t="shared" si="45"/>
        <x:v>0</x:v>
      </x:c>
      <x:c r="M528" s="61"/>
    </x:row>
    <x:row r="529">
      <x:c r="A529" s="61" t="str">
        <x:f>IF(E529="","",MAX($A$6:A528)+1)</x:f>
      </x:c>
      <x:c r="B529" s="61"/>
      <x:c r="C529" s="61"/>
      <x:c r="D529" s="62"/>
      <x:c r="E529" s="61"/>
      <x:c r="F529" s="61"/>
      <x:c r="G529" s="63"/>
      <x:c r="H529" s="63">
        <x:f t="shared" si="43"/>
        <x:v>0</x:v>
      </x:c>
      <x:c r="I529" s="64"/>
      <x:c r="J529" s="63">
        <x:f t="shared" si="44"/>
        <x:v>0</x:v>
      </x:c>
      <x:c r="K529" s="63" t="str">
        <x:f t="shared" si="42"/>
      </x:c>
      <x:c r="L529" s="63">
        <x:f t="shared" si="45"/>
        <x:v>0</x:v>
      </x:c>
      <x:c r="M529" s="61"/>
    </x:row>
    <x:row r="530">
      <x:c r="A530" s="61" t="str">
        <x:f>IF(E530="","",MAX($A$6:A529)+1)</x:f>
      </x:c>
      <x:c r="B530" s="61"/>
      <x:c r="C530" s="61"/>
      <x:c r="D530" s="62"/>
      <x:c r="E530" s="61"/>
      <x:c r="F530" s="61"/>
      <x:c r="G530" s="63"/>
      <x:c r="H530" s="63">
        <x:f t="shared" si="43"/>
        <x:v>0</x:v>
      </x:c>
      <x:c r="I530" s="64"/>
      <x:c r="J530" s="63">
        <x:f t="shared" si="44"/>
        <x:v>0</x:v>
      </x:c>
      <x:c r="K530" s="63" t="str">
        <x:f t="shared" si="42"/>
      </x:c>
      <x:c r="L530" s="63">
        <x:f t="shared" si="45"/>
        <x:v>0</x:v>
      </x:c>
      <x:c r="M530" s="61"/>
    </x:row>
    <x:row r="531">
      <x:c r="A531" s="61" t="str">
        <x:f>IF(E531="","",MAX($A$6:A530)+1)</x:f>
      </x:c>
      <x:c r="B531" s="61"/>
      <x:c r="C531" s="61"/>
      <x:c r="D531" s="62"/>
      <x:c r="E531" s="61"/>
      <x:c r="F531" s="61"/>
      <x:c r="G531" s="63"/>
      <x:c r="H531" s="63">
        <x:f t="shared" si="43"/>
        <x:v>0</x:v>
      </x:c>
      <x:c r="I531" s="64"/>
      <x:c r="J531" s="63">
        <x:f t="shared" si="44"/>
        <x:v>0</x:v>
      </x:c>
      <x:c r="K531" s="63" t="str">
        <x:f t="shared" si="42"/>
      </x:c>
      <x:c r="L531" s="63">
        <x:f t="shared" si="45"/>
        <x:v>0</x:v>
      </x:c>
      <x:c r="M531" s="61"/>
    </x:row>
    <x:row r="532">
      <x:c r="A532" s="61" t="str">
        <x:f>IF(E532="","",MAX($A$6:A531)+1)</x:f>
      </x:c>
      <x:c r="B532" s="61"/>
      <x:c r="C532" s="61"/>
      <x:c r="D532" s="62"/>
      <x:c r="E532" s="61"/>
      <x:c r="F532" s="61"/>
      <x:c r="G532" s="63"/>
      <x:c r="H532" s="63">
        <x:f t="shared" si="43"/>
        <x:v>0</x:v>
      </x:c>
      <x:c r="I532" s="64"/>
      <x:c r="J532" s="63">
        <x:f t="shared" si="44"/>
        <x:v>0</x:v>
      </x:c>
      <x:c r="K532" s="63" t="str">
        <x:f t="shared" si="42"/>
      </x:c>
      <x:c r="L532" s="63">
        <x:f t="shared" si="45"/>
        <x:v>0</x:v>
      </x:c>
      <x:c r="M532" s="61"/>
    </x:row>
    <x:row r="533">
      <x:c r="A533" s="61" t="str">
        <x:f>IF(E533="","",MAX($A$6:A532)+1)</x:f>
      </x:c>
      <x:c r="B533" s="61"/>
      <x:c r="C533" s="61"/>
      <x:c r="D533" s="62"/>
      <x:c r="E533" s="61"/>
      <x:c r="F533" s="61"/>
      <x:c r="G533" s="63"/>
      <x:c r="H533" s="63">
        <x:f t="shared" si="43"/>
        <x:v>0</x:v>
      </x:c>
      <x:c r="I533" s="64"/>
      <x:c r="J533" s="63">
        <x:f t="shared" si="44"/>
        <x:v>0</x:v>
      </x:c>
      <x:c r="K533" s="63" t="str">
        <x:f t="shared" si="42"/>
      </x:c>
      <x:c r="L533" s="63">
        <x:f t="shared" si="45"/>
        <x:v>0</x:v>
      </x:c>
      <x:c r="M533" s="61"/>
    </x:row>
    <x:row r="534">
      <x:c r="A534" s="61" t="str">
        <x:f>IF(E534="","",MAX($A$6:A533)+1)</x:f>
      </x:c>
      <x:c r="B534" s="61"/>
      <x:c r="C534" s="61"/>
      <x:c r="D534" s="62"/>
      <x:c r="E534" s="61"/>
      <x:c r="F534" s="61"/>
      <x:c r="G534" s="63"/>
      <x:c r="H534" s="63">
        <x:f t="shared" si="43"/>
        <x:v>0</x:v>
      </x:c>
      <x:c r="I534" s="64"/>
      <x:c r="J534" s="63">
        <x:f t="shared" si="44"/>
        <x:v>0</x:v>
      </x:c>
      <x:c r="K534" s="63" t="str">
        <x:f t="shared" si="42"/>
      </x:c>
      <x:c r="L534" s="63">
        <x:f t="shared" si="45"/>
        <x:v>0</x:v>
      </x:c>
      <x:c r="M534" s="61"/>
    </x:row>
    <x:row r="535">
      <x:c r="A535" s="61" t="str">
        <x:f>IF(E535="","",MAX($A$6:A534)+1)</x:f>
      </x:c>
      <x:c r="B535" s="61"/>
      <x:c r="C535" s="61"/>
      <x:c r="D535" s="62"/>
      <x:c r="E535" s="61"/>
      <x:c r="F535" s="61"/>
      <x:c r="G535" s="63"/>
      <x:c r="H535" s="63">
        <x:f t="shared" si="43"/>
        <x:v>0</x:v>
      </x:c>
      <x:c r="I535" s="64"/>
      <x:c r="J535" s="63">
        <x:f t="shared" si="44"/>
        <x:v>0</x:v>
      </x:c>
      <x:c r="K535" s="63" t="str">
        <x:f t="shared" si="42"/>
      </x:c>
      <x:c r="L535" s="63">
        <x:f t="shared" si="45"/>
        <x:v>0</x:v>
      </x:c>
      <x:c r="M535" s="61"/>
    </x:row>
    <x:row r="536">
      <x:c r="A536" s="61" t="str">
        <x:f>IF(E536="","",MAX($A$6:A535)+1)</x:f>
      </x:c>
      <x:c r="B536" s="61"/>
      <x:c r="C536" s="61"/>
      <x:c r="D536" s="62"/>
      <x:c r="E536" s="61"/>
      <x:c r="F536" s="61"/>
      <x:c r="G536" s="63"/>
      <x:c r="H536" s="63">
        <x:f t="shared" si="43"/>
        <x:v>0</x:v>
      </x:c>
      <x:c r="I536" s="64"/>
      <x:c r="J536" s="63">
        <x:f t="shared" si="44"/>
        <x:v>0</x:v>
      </x:c>
      <x:c r="K536" s="63" t="str">
        <x:f t="shared" si="42"/>
      </x:c>
      <x:c r="L536" s="63">
        <x:f t="shared" si="45"/>
        <x:v>0</x:v>
      </x:c>
      <x:c r="M536" s="61"/>
    </x:row>
    <x:row r="537">
      <x:c r="A537" s="61" t="str">
        <x:f>IF(E537="","",MAX($A$6:A536)+1)</x:f>
      </x:c>
      <x:c r="B537" s="61"/>
      <x:c r="C537" s="61"/>
      <x:c r="D537" s="62"/>
      <x:c r="E537" s="61"/>
      <x:c r="F537" s="61"/>
      <x:c r="G537" s="63"/>
      <x:c r="H537" s="63">
        <x:f t="shared" si="43"/>
        <x:v>0</x:v>
      </x:c>
      <x:c r="I537" s="64"/>
      <x:c r="J537" s="63">
        <x:f t="shared" si="44"/>
        <x:v>0</x:v>
      </x:c>
      <x:c r="K537" s="63" t="str">
        <x:f t="shared" si="42"/>
      </x:c>
      <x:c r="L537" s="63">
        <x:f t="shared" si="45"/>
        <x:v>0</x:v>
      </x:c>
      <x:c r="M537" s="61"/>
    </x:row>
    <x:row r="538">
      <x:c r="A538" s="61" t="str">
        <x:f>IF(E538="","",MAX($A$6:A537)+1)</x:f>
      </x:c>
      <x:c r="B538" s="61"/>
      <x:c r="C538" s="61"/>
      <x:c r="D538" s="62"/>
      <x:c r="E538" s="61"/>
      <x:c r="F538" s="61"/>
      <x:c r="G538" s="63"/>
      <x:c r="H538" s="63">
        <x:f t="shared" si="43"/>
        <x:v>0</x:v>
      </x:c>
      <x:c r="I538" s="64"/>
      <x:c r="J538" s="63">
        <x:f t="shared" si="44"/>
        <x:v>0</x:v>
      </x:c>
      <x:c r="K538" s="63" t="str">
        <x:f t="shared" si="42"/>
      </x:c>
      <x:c r="L538" s="63">
        <x:f t="shared" si="45"/>
        <x:v>0</x:v>
      </x:c>
      <x:c r="M538" s="61"/>
    </x:row>
    <x:row r="539">
      <x:c r="A539" s="61" t="str">
        <x:f>IF(E539="","",MAX($A$6:A538)+1)</x:f>
      </x:c>
      <x:c r="B539" s="61"/>
      <x:c r="C539" s="61"/>
      <x:c r="D539" s="62"/>
      <x:c r="E539" s="61"/>
      <x:c r="F539" s="61"/>
      <x:c r="G539" s="63"/>
      <x:c r="H539" s="63">
        <x:f t="shared" si="43"/>
        <x:v>0</x:v>
      </x:c>
      <x:c r="I539" s="64"/>
      <x:c r="J539" s="63">
        <x:f t="shared" si="44"/>
        <x:v>0</x:v>
      </x:c>
      <x:c r="K539" s="63" t="str">
        <x:f t="shared" si="42"/>
      </x:c>
      <x:c r="L539" s="63">
        <x:f t="shared" si="45"/>
        <x:v>0</x:v>
      </x:c>
      <x:c r="M539" s="61"/>
    </x:row>
    <x:row r="540">
      <x:c r="A540" s="61" t="str">
        <x:f>IF(E540="","",MAX($A$6:A539)+1)</x:f>
      </x:c>
      <x:c r="B540" s="61"/>
      <x:c r="C540" s="61"/>
      <x:c r="D540" s="62"/>
      <x:c r="E540" s="61"/>
      <x:c r="F540" s="61"/>
      <x:c r="G540" s="63"/>
      <x:c r="H540" s="63">
        <x:f t="shared" si="43"/>
        <x:v>0</x:v>
      </x:c>
      <x:c r="I540" s="64"/>
      <x:c r="J540" s="63">
        <x:f t="shared" si="44"/>
        <x:v>0</x:v>
      </x:c>
      <x:c r="K540" s="63" t="str">
        <x:f t="shared" si="42"/>
      </x:c>
      <x:c r="L540" s="63">
        <x:f t="shared" si="45"/>
        <x:v>0</x:v>
      </x:c>
      <x:c r="M540" s="61"/>
    </x:row>
    <x:row r="541">
      <x:c r="A541" s="61" t="str">
        <x:f>IF(E541="","",MAX($A$6:A540)+1)</x:f>
      </x:c>
      <x:c r="B541" s="61"/>
      <x:c r="C541" s="61"/>
      <x:c r="D541" s="62"/>
      <x:c r="E541" s="61"/>
      <x:c r="F541" s="61"/>
      <x:c r="G541" s="63"/>
      <x:c r="H541" s="63">
        <x:f t="shared" si="43"/>
        <x:v>0</x:v>
      </x:c>
      <x:c r="I541" s="64"/>
      <x:c r="J541" s="63">
        <x:f t="shared" si="44"/>
        <x:v>0</x:v>
      </x:c>
      <x:c r="K541" s="63" t="str">
        <x:f t="shared" si="42"/>
      </x:c>
      <x:c r="L541" s="63">
        <x:f t="shared" si="45"/>
        <x:v>0</x:v>
      </x:c>
      <x:c r="M541" s="61"/>
    </x:row>
    <x:row r="542">
      <x:c r="A542" s="61" t="str">
        <x:f>IF(E542="","",MAX($A$6:A541)+1)</x:f>
      </x:c>
      <x:c r="B542" s="61"/>
      <x:c r="C542" s="61"/>
      <x:c r="D542" s="62"/>
      <x:c r="E542" s="61"/>
      <x:c r="F542" s="61"/>
      <x:c r="G542" s="63"/>
      <x:c r="H542" s="63">
        <x:f t="shared" si="43"/>
        <x:v>0</x:v>
      </x:c>
      <x:c r="I542" s="64"/>
      <x:c r="J542" s="63">
        <x:f t="shared" si="44"/>
        <x:v>0</x:v>
      </x:c>
      <x:c r="K542" s="63" t="str">
        <x:f t="shared" si="42"/>
      </x:c>
      <x:c r="L542" s="63">
        <x:f t="shared" si="45"/>
        <x:v>0</x:v>
      </x:c>
      <x:c r="M542" s="61"/>
    </x:row>
    <x:row r="543">
      <x:c r="A543" s="61" t="str">
        <x:f>IF(E543="","",MAX($A$6:A542)+1)</x:f>
      </x:c>
      <x:c r="B543" s="61"/>
      <x:c r="C543" s="61"/>
      <x:c r="D543" s="62"/>
      <x:c r="E543" s="61"/>
      <x:c r="F543" s="61"/>
      <x:c r="G543" s="63"/>
      <x:c r="H543" s="63">
        <x:f t="shared" si="43"/>
        <x:v>0</x:v>
      </x:c>
      <x:c r="I543" s="64"/>
      <x:c r="J543" s="63">
        <x:f t="shared" si="44"/>
        <x:v>0</x:v>
      </x:c>
      <x:c r="K543" s="63" t="str">
        <x:f t="shared" si="42"/>
      </x:c>
      <x:c r="L543" s="63">
        <x:f t="shared" si="45"/>
        <x:v>0</x:v>
      </x:c>
      <x:c r="M543" s="61"/>
    </x:row>
    <x:row r="544">
      <x:c r="A544" s="61" t="str">
        <x:f>IF(E544="","",MAX($A$6:A543)+1)</x:f>
      </x:c>
      <x:c r="B544" s="61"/>
      <x:c r="C544" s="61"/>
      <x:c r="D544" s="62"/>
      <x:c r="E544" s="61"/>
      <x:c r="F544" s="61"/>
      <x:c r="G544" s="63"/>
      <x:c r="H544" s="63">
        <x:f t="shared" si="43"/>
        <x:v>0</x:v>
      </x:c>
      <x:c r="I544" s="64"/>
      <x:c r="J544" s="63">
        <x:f t="shared" si="44"/>
        <x:v>0</x:v>
      </x:c>
      <x:c r="K544" s="63" t="str">
        <x:f t="shared" si="42"/>
      </x:c>
      <x:c r="L544" s="63">
        <x:f t="shared" si="45"/>
        <x:v>0</x:v>
      </x:c>
      <x:c r="M544" s="61"/>
    </x:row>
    <x:row r="545">
      <x:c r="A545" s="61" t="str">
        <x:f>IF(E545="","",MAX($A$6:A544)+1)</x:f>
      </x:c>
      <x:c r="B545" s="61"/>
      <x:c r="C545" s="61"/>
      <x:c r="D545" s="62"/>
      <x:c r="E545" s="61"/>
      <x:c r="F545" s="61"/>
      <x:c r="G545" s="63"/>
      <x:c r="H545" s="63">
        <x:f t="shared" si="43"/>
        <x:v>0</x:v>
      </x:c>
      <x:c r="I545" s="64"/>
      <x:c r="J545" s="63">
        <x:f t="shared" si="44"/>
        <x:v>0</x:v>
      </x:c>
      <x:c r="K545" s="63" t="str">
        <x:f t="shared" si="42"/>
      </x:c>
      <x:c r="L545" s="63">
        <x:f t="shared" si="45"/>
        <x:v>0</x:v>
      </x:c>
      <x:c r="M545" s="61"/>
    </x:row>
    <x:row r="546">
      <x:c r="A546" s="61" t="str">
        <x:f>IF(E546="","",MAX($A$6:A545)+1)</x:f>
      </x:c>
      <x:c r="B546" s="61"/>
      <x:c r="C546" s="61"/>
      <x:c r="D546" s="62"/>
      <x:c r="E546" s="61"/>
      <x:c r="F546" s="61"/>
      <x:c r="G546" s="63"/>
      <x:c r="H546" s="63">
        <x:f t="shared" si="43"/>
        <x:v>0</x:v>
      </x:c>
      <x:c r="I546" s="64"/>
      <x:c r="J546" s="63">
        <x:f t="shared" si="44"/>
        <x:v>0</x:v>
      </x:c>
      <x:c r="K546" s="63" t="str">
        <x:f t="shared" si="42"/>
      </x:c>
      <x:c r="L546" s="63">
        <x:f t="shared" si="45"/>
        <x:v>0</x:v>
      </x:c>
      <x:c r="M546" s="61"/>
    </x:row>
    <x:row r="547">
      <x:c r="A547" s="61" t="str">
        <x:f>IF(E547="","",MAX($A$6:A546)+1)</x:f>
      </x:c>
      <x:c r="B547" s="61"/>
      <x:c r="C547" s="61"/>
      <x:c r="D547" s="62"/>
      <x:c r="E547" s="61"/>
      <x:c r="F547" s="61"/>
      <x:c r="G547" s="63"/>
      <x:c r="H547" s="63">
        <x:f t="shared" si="43"/>
        <x:v>0</x:v>
      </x:c>
      <x:c r="I547" s="64"/>
      <x:c r="J547" s="63">
        <x:f t="shared" si="44"/>
        <x:v>0</x:v>
      </x:c>
      <x:c r="K547" s="63" t="str">
        <x:f t="shared" si="42"/>
      </x:c>
      <x:c r="L547" s="63">
        <x:f t="shared" si="45"/>
        <x:v>0</x:v>
      </x:c>
      <x:c r="M547" s="61"/>
    </x:row>
    <x:row r="548">
      <x:c r="A548" s="61" t="str">
        <x:f>IF(E548="","",MAX($A$6:A547)+1)</x:f>
      </x:c>
      <x:c r="B548" s="61"/>
      <x:c r="C548" s="61"/>
      <x:c r="D548" s="62"/>
      <x:c r="E548" s="61"/>
      <x:c r="F548" s="61"/>
      <x:c r="G548" s="63"/>
      <x:c r="H548" s="63">
        <x:f t="shared" si="43"/>
        <x:v>0</x:v>
      </x:c>
      <x:c r="I548" s="64"/>
      <x:c r="J548" s="63">
        <x:f t="shared" si="44"/>
        <x:v>0</x:v>
      </x:c>
      <x:c r="K548" s="63" t="str">
        <x:f t="shared" si="42"/>
      </x:c>
      <x:c r="L548" s="63">
        <x:f t="shared" si="45"/>
        <x:v>0</x:v>
      </x:c>
      <x:c r="M548" s="61"/>
    </x:row>
    <x:row r="549">
      <x:c r="A549" s="61" t="str">
        <x:f>IF(E549="","",MAX($A$6:A548)+1)</x:f>
      </x:c>
      <x:c r="B549" s="61"/>
      <x:c r="C549" s="61"/>
      <x:c r="D549" s="62"/>
      <x:c r="E549" s="61"/>
      <x:c r="F549" s="61"/>
      <x:c r="G549" s="63"/>
      <x:c r="H549" s="63">
        <x:f t="shared" si="43"/>
        <x:v>0</x:v>
      </x:c>
      <x:c r="I549" s="64"/>
      <x:c r="J549" s="63">
        <x:f t="shared" si="44"/>
        <x:v>0</x:v>
      </x:c>
      <x:c r="K549" s="63" t="str">
        <x:f t="shared" si="42"/>
      </x:c>
      <x:c r="L549" s="63">
        <x:f t="shared" si="45"/>
        <x:v>0</x:v>
      </x:c>
      <x:c r="M549" s="61"/>
    </x:row>
    <x:row r="550">
      <x:c r="A550" s="61" t="str">
        <x:f>IF(E550="","",MAX($A$6:A549)+1)</x:f>
      </x:c>
      <x:c r="B550" s="61"/>
      <x:c r="C550" s="61"/>
      <x:c r="D550" s="62"/>
      <x:c r="E550" s="61"/>
      <x:c r="F550" s="61"/>
      <x:c r="G550" s="63"/>
      <x:c r="H550" s="63">
        <x:f t="shared" si="43"/>
        <x:v>0</x:v>
      </x:c>
      <x:c r="I550" s="64"/>
      <x:c r="J550" s="63">
        <x:f t="shared" si="44"/>
        <x:v>0</x:v>
      </x:c>
      <x:c r="K550" s="63" t="str">
        <x:f t="shared" si="42"/>
      </x:c>
      <x:c r="L550" s="63">
        <x:f t="shared" si="45"/>
        <x:v>0</x:v>
      </x:c>
      <x:c r="M550" s="61"/>
    </x:row>
    <x:row r="551">
      <x:c r="A551" s="61" t="str">
        <x:f>IF(E551="","",MAX($A$6:A550)+1)</x:f>
      </x:c>
      <x:c r="B551" s="61"/>
      <x:c r="C551" s="61"/>
      <x:c r="D551" s="62"/>
      <x:c r="E551" s="61"/>
      <x:c r="F551" s="61"/>
      <x:c r="G551" s="63"/>
      <x:c r="H551" s="63">
        <x:f t="shared" si="43"/>
        <x:v>0</x:v>
      </x:c>
      <x:c r="I551" s="64"/>
      <x:c r="J551" s="63">
        <x:f t="shared" si="44"/>
        <x:v>0</x:v>
      </x:c>
      <x:c r="K551" s="63" t="str">
        <x:f t="shared" si="42"/>
      </x:c>
      <x:c r="L551" s="63">
        <x:f t="shared" si="45"/>
        <x:v>0</x:v>
      </x:c>
      <x:c r="M551" s="61"/>
    </x:row>
    <x:row r="552">
      <x:c r="A552" s="61" t="str">
        <x:f>IF(E552="","",MAX($A$6:A551)+1)</x:f>
      </x:c>
      <x:c r="B552" s="61"/>
      <x:c r="C552" s="61"/>
      <x:c r="D552" s="62"/>
      <x:c r="E552" s="61"/>
      <x:c r="F552" s="61"/>
      <x:c r="G552" s="63"/>
      <x:c r="H552" s="63">
        <x:f t="shared" si="43"/>
        <x:v>0</x:v>
      </x:c>
      <x:c r="I552" s="64"/>
      <x:c r="J552" s="63">
        <x:f t="shared" si="44"/>
        <x:v>0</x:v>
      </x:c>
      <x:c r="K552" s="63" t="str">
        <x:f t="shared" si="42"/>
      </x:c>
      <x:c r="L552" s="63">
        <x:f t="shared" si="45"/>
        <x:v>0</x:v>
      </x:c>
      <x:c r="M552" s="61"/>
    </x:row>
    <x:row r="553">
      <x:c r="A553" s="61" t="str">
        <x:f>IF(E553="","",MAX($A$6:A552)+1)</x:f>
      </x:c>
      <x:c r="B553" s="61"/>
      <x:c r="C553" s="61"/>
      <x:c r="D553" s="62"/>
      <x:c r="E553" s="61"/>
      <x:c r="F553" s="61"/>
      <x:c r="G553" s="63"/>
      <x:c r="H553" s="63">
        <x:f t="shared" si="43"/>
        <x:v>0</x:v>
      </x:c>
      <x:c r="I553" s="64"/>
      <x:c r="J553" s="63">
        <x:f t="shared" si="44"/>
        <x:v>0</x:v>
      </x:c>
      <x:c r="K553" s="63" t="str">
        <x:f t="shared" si="42"/>
      </x:c>
      <x:c r="L553" s="63">
        <x:f t="shared" si="45"/>
        <x:v>0</x:v>
      </x:c>
      <x:c r="M553" s="61"/>
    </x:row>
    <x:row r="554">
      <x:c r="A554" s="61" t="str">
        <x:f>IF(E554="","",MAX($A$6:A553)+1)</x:f>
      </x:c>
      <x:c r="B554" s="61"/>
      <x:c r="C554" s="61"/>
      <x:c r="D554" s="62"/>
      <x:c r="E554" s="61"/>
      <x:c r="F554" s="61"/>
      <x:c r="G554" s="63"/>
      <x:c r="H554" s="63">
        <x:f t="shared" si="43"/>
        <x:v>0</x:v>
      </x:c>
      <x:c r="I554" s="64"/>
      <x:c r="J554" s="63">
        <x:f t="shared" si="44"/>
        <x:v>0</x:v>
      </x:c>
      <x:c r="K554" s="63" t="str">
        <x:f t="shared" si="42"/>
      </x:c>
      <x:c r="L554" s="63">
        <x:f t="shared" si="45"/>
        <x:v>0</x:v>
      </x:c>
      <x:c r="M554" s="61"/>
    </x:row>
    <x:row r="555">
      <x:c r="A555" s="61" t="str">
        <x:f>IF(E555="","",MAX($A$6:A554)+1)</x:f>
      </x:c>
      <x:c r="B555" s="61"/>
      <x:c r="C555" s="61"/>
      <x:c r="D555" s="62"/>
      <x:c r="E555" s="61"/>
      <x:c r="F555" s="61"/>
      <x:c r="G555" s="63"/>
      <x:c r="H555" s="63">
        <x:f t="shared" si="43"/>
        <x:v>0</x:v>
      </x:c>
      <x:c r="I555" s="64"/>
      <x:c r="J555" s="63">
        <x:f t="shared" si="44"/>
        <x:v>0</x:v>
      </x:c>
      <x:c r="K555" s="63" t="str">
        <x:f t="shared" si="42"/>
      </x:c>
      <x:c r="L555" s="63">
        <x:f t="shared" si="45"/>
        <x:v>0</x:v>
      </x:c>
      <x:c r="M555" s="61"/>
    </x:row>
    <x:row r="556">
      <x:c r="A556" s="61" t="str">
        <x:f>IF(E556="","",MAX($A$6:A555)+1)</x:f>
      </x:c>
      <x:c r="B556" s="61"/>
      <x:c r="C556" s="61"/>
      <x:c r="D556" s="62"/>
      <x:c r="E556" s="61"/>
      <x:c r="F556" s="61"/>
      <x:c r="G556" s="63"/>
      <x:c r="H556" s="63">
        <x:f t="shared" si="43"/>
        <x:v>0</x:v>
      </x:c>
      <x:c r="I556" s="64"/>
      <x:c r="J556" s="63">
        <x:f t="shared" si="44"/>
        <x:v>0</x:v>
      </x:c>
      <x:c r="K556" s="63" t="str">
        <x:f t="shared" si="42"/>
      </x:c>
      <x:c r="L556" s="63">
        <x:f t="shared" si="45"/>
        <x:v>0</x:v>
      </x:c>
      <x:c r="M556" s="61"/>
    </x:row>
    <x:row r="557">
      <x:c r="A557" s="61" t="str">
        <x:f>IF(E557="","",MAX($A$6:A556)+1)</x:f>
      </x:c>
      <x:c r="B557" s="61"/>
      <x:c r="C557" s="61"/>
      <x:c r="D557" s="62"/>
      <x:c r="E557" s="61"/>
      <x:c r="F557" s="61"/>
      <x:c r="G557" s="63"/>
      <x:c r="H557" s="63">
        <x:f t="shared" si="43"/>
        <x:v>0</x:v>
      </x:c>
      <x:c r="I557" s="64"/>
      <x:c r="J557" s="63">
        <x:f t="shared" si="44"/>
        <x:v>0</x:v>
      </x:c>
      <x:c r="K557" s="63" t="str">
        <x:f t="shared" si="42"/>
      </x:c>
      <x:c r="L557" s="63">
        <x:f t="shared" si="45"/>
        <x:v>0</x:v>
      </x:c>
      <x:c r="M557" s="61"/>
    </x:row>
    <x:row r="558">
      <x:c r="A558" s="61" t="str">
        <x:f>IF(E558="","",MAX($A$6:A557)+1)</x:f>
      </x:c>
      <x:c r="B558" s="61"/>
      <x:c r="C558" s="61"/>
      <x:c r="D558" s="62"/>
      <x:c r="E558" s="61"/>
      <x:c r="F558" s="61"/>
      <x:c r="G558" s="63"/>
      <x:c r="H558" s="63">
        <x:f t="shared" si="43"/>
        <x:v>0</x:v>
      </x:c>
      <x:c r="I558" s="64"/>
      <x:c r="J558" s="63">
        <x:f t="shared" si="44"/>
        <x:v>0</x:v>
      </x:c>
      <x:c r="K558" s="63" t="str">
        <x:f t="shared" si="42"/>
      </x:c>
      <x:c r="L558" s="63">
        <x:f t="shared" si="45"/>
        <x:v>0</x:v>
      </x:c>
      <x:c r="M558" s="61"/>
    </x:row>
    <x:row r="559">
      <x:c r="A559" s="61" t="str">
        <x:f>IF(E559="","",MAX($A$6:A558)+1)</x:f>
      </x:c>
      <x:c r="B559" s="61"/>
      <x:c r="C559" s="61"/>
      <x:c r="D559" s="62"/>
      <x:c r="E559" s="61"/>
      <x:c r="F559" s="61"/>
      <x:c r="G559" s="63"/>
      <x:c r="H559" s="63">
        <x:f t="shared" si="43"/>
        <x:v>0</x:v>
      </x:c>
      <x:c r="I559" s="64"/>
      <x:c r="J559" s="63">
        <x:f t="shared" si="44"/>
        <x:v>0</x:v>
      </x:c>
      <x:c r="K559" s="63" t="str">
        <x:f t="shared" si="42"/>
      </x:c>
      <x:c r="L559" s="63">
        <x:f t="shared" si="45"/>
        <x:v>0</x:v>
      </x:c>
      <x:c r="M559" s="61"/>
    </x:row>
    <x:row r="560">
      <x:c r="A560" s="61" t="str">
        <x:f>IF(E560="","",MAX($A$6:A559)+1)</x:f>
      </x:c>
      <x:c r="B560" s="61"/>
      <x:c r="C560" s="61"/>
      <x:c r="D560" s="62"/>
      <x:c r="E560" s="61"/>
      <x:c r="F560" s="61"/>
      <x:c r="G560" s="63"/>
      <x:c r="H560" s="63">
        <x:f t="shared" si="43"/>
        <x:v>0</x:v>
      </x:c>
      <x:c r="I560" s="64"/>
      <x:c r="J560" s="63">
        <x:f t="shared" si="44"/>
        <x:v>0</x:v>
      </x:c>
      <x:c r="K560" s="63" t="str">
        <x:f t="shared" si="42"/>
      </x:c>
      <x:c r="L560" s="63">
        <x:f t="shared" si="45"/>
        <x:v>0</x:v>
      </x:c>
      <x:c r="M560" s="61"/>
    </x:row>
    <x:row r="561">
      <x:c r="A561" s="61" t="str">
        <x:f>IF(E561="","",MAX($A$6:A560)+1)</x:f>
      </x:c>
      <x:c r="B561" s="61"/>
      <x:c r="C561" s="61"/>
      <x:c r="D561" s="62"/>
      <x:c r="E561" s="61"/>
      <x:c r="F561" s="61"/>
      <x:c r="G561" s="63"/>
      <x:c r="H561" s="63">
        <x:f t="shared" si="43"/>
        <x:v>0</x:v>
      </x:c>
      <x:c r="I561" s="64"/>
      <x:c r="J561" s="63">
        <x:f t="shared" si="44"/>
        <x:v>0</x:v>
      </x:c>
      <x:c r="K561" s="63" t="str">
        <x:f t="shared" si="42"/>
      </x:c>
      <x:c r="L561" s="63">
        <x:f t="shared" si="45"/>
        <x:v>0</x:v>
      </x:c>
      <x:c r="M561" s="61"/>
    </x:row>
    <x:row r="562">
      <x:c r="A562" s="61" t="str">
        <x:f>IF(E562="","",MAX($A$6:A561)+1)</x:f>
      </x:c>
      <x:c r="B562" s="61"/>
      <x:c r="C562" s="61"/>
      <x:c r="D562" s="62"/>
      <x:c r="E562" s="61"/>
      <x:c r="F562" s="61"/>
      <x:c r="G562" s="63"/>
      <x:c r="H562" s="63">
        <x:f t="shared" si="43"/>
        <x:v>0</x:v>
      </x:c>
      <x:c r="I562" s="64"/>
      <x:c r="J562" s="63">
        <x:f t="shared" si="44"/>
        <x:v>0</x:v>
      </x:c>
      <x:c r="K562" s="63" t="str">
        <x:f t="shared" si="42"/>
      </x:c>
      <x:c r="L562" s="63">
        <x:f t="shared" si="45"/>
        <x:v>0</x:v>
      </x:c>
      <x:c r="M562" s="61"/>
    </x:row>
    <x:row r="563">
      <x:c r="A563" s="61" t="str">
        <x:f>IF(E563="","",MAX($A$6:A562)+1)</x:f>
      </x:c>
      <x:c r="B563" s="61"/>
      <x:c r="C563" s="61"/>
      <x:c r="D563" s="62"/>
      <x:c r="E563" s="61"/>
      <x:c r="F563" s="61"/>
      <x:c r="G563" s="63"/>
      <x:c r="H563" s="63">
        <x:f t="shared" si="43"/>
        <x:v>0</x:v>
      </x:c>
      <x:c r="I563" s="64"/>
      <x:c r="J563" s="63">
        <x:f t="shared" si="44"/>
        <x:v>0</x:v>
      </x:c>
      <x:c r="K563" s="63" t="str">
        <x:f t="shared" si="42"/>
      </x:c>
      <x:c r="L563" s="63">
        <x:f t="shared" si="45"/>
        <x:v>0</x:v>
      </x:c>
      <x:c r="M563" s="61"/>
    </x:row>
    <x:row r="564">
      <x:c r="A564" s="61" t="str">
        <x:f>IF(E564="","",MAX($A$6:A563)+1)</x:f>
      </x:c>
      <x:c r="B564" s="61"/>
      <x:c r="C564" s="61"/>
      <x:c r="D564" s="62"/>
      <x:c r="E564" s="61"/>
      <x:c r="F564" s="61"/>
      <x:c r="G564" s="63"/>
      <x:c r="H564" s="63">
        <x:f t="shared" si="43"/>
        <x:v>0</x:v>
      </x:c>
      <x:c r="I564" s="64"/>
      <x:c r="J564" s="63">
        <x:f t="shared" si="44"/>
        <x:v>0</x:v>
      </x:c>
      <x:c r="K564" s="63" t="str">
        <x:f t="shared" si="42"/>
      </x:c>
      <x:c r="L564" s="63">
        <x:f t="shared" si="45"/>
        <x:v>0</x:v>
      </x:c>
      <x:c r="M564" s="61"/>
    </x:row>
    <x:row r="565">
      <x:c r="A565" s="61" t="str">
        <x:f>IF(E565="","",MAX($A$6:A564)+1)</x:f>
      </x:c>
      <x:c r="B565" s="61"/>
      <x:c r="C565" s="61"/>
      <x:c r="D565" s="62"/>
      <x:c r="E565" s="61"/>
      <x:c r="F565" s="61"/>
      <x:c r="G565" s="63"/>
      <x:c r="H565" s="63">
        <x:f t="shared" si="43"/>
        <x:v>0</x:v>
      </x:c>
      <x:c r="I565" s="64"/>
      <x:c r="J565" s="63">
        <x:f t="shared" si="44"/>
        <x:v>0</x:v>
      </x:c>
      <x:c r="K565" s="63" t="str">
        <x:f t="shared" si="42"/>
      </x:c>
      <x:c r="L565" s="63">
        <x:f t="shared" si="45"/>
        <x:v>0</x:v>
      </x:c>
      <x:c r="M565" s="61"/>
    </x:row>
    <x:row r="566">
      <x:c r="A566" s="61" t="str">
        <x:f>IF(E566="","",MAX($A$6:A565)+1)</x:f>
      </x:c>
      <x:c r="B566" s="61"/>
      <x:c r="C566" s="61"/>
      <x:c r="D566" s="62"/>
      <x:c r="E566" s="61"/>
      <x:c r="F566" s="61"/>
      <x:c r="G566" s="63"/>
      <x:c r="H566" s="63">
        <x:f t="shared" si="43"/>
        <x:v>0</x:v>
      </x:c>
      <x:c r="I566" s="64"/>
      <x:c r="J566" s="63">
        <x:f t="shared" si="44"/>
        <x:v>0</x:v>
      </x:c>
      <x:c r="K566" s="63" t="str">
        <x:f t="shared" ref="K566:K629" si="46">IFERROR(IF(G566="","",MAX(1,G566-J566)),0)</x:f>
      </x:c>
      <x:c r="L566" s="63">
        <x:f t="shared" si="45"/>
        <x:v>0</x:v>
      </x:c>
      <x:c r="M566" s="61"/>
    </x:row>
    <x:row r="567">
      <x:c r="A567" s="61" t="str">
        <x:f>IF(E567="","",MAX($A$6:A566)+1)</x:f>
      </x:c>
      <x:c r="B567" s="61"/>
      <x:c r="C567" s="61"/>
      <x:c r="D567" s="62"/>
      <x:c r="E567" s="61"/>
      <x:c r="F567" s="61"/>
      <x:c r="G567" s="63"/>
      <x:c r="H567" s="63">
        <x:f t="shared" si="43"/>
        <x:v>0</x:v>
      </x:c>
      <x:c r="I567" s="64"/>
      <x:c r="J567" s="63">
        <x:f t="shared" si="44"/>
        <x:v>0</x:v>
      </x:c>
      <x:c r="K567" s="63" t="str">
        <x:f t="shared" si="46"/>
      </x:c>
      <x:c r="L567" s="63">
        <x:f t="shared" si="45"/>
        <x:v>0</x:v>
      </x:c>
      <x:c r="M567" s="61"/>
    </x:row>
    <x:row r="568">
      <x:c r="A568" s="61" t="str">
        <x:f>IF(E568="","",MAX($A$6:A567)+1)</x:f>
      </x:c>
      <x:c r="B568" s="61"/>
      <x:c r="C568" s="61"/>
      <x:c r="D568" s="62"/>
      <x:c r="E568" s="61"/>
      <x:c r="F568" s="61"/>
      <x:c r="G568" s="63"/>
      <x:c r="H568" s="63">
        <x:f t="shared" si="43"/>
        <x:v>0</x:v>
      </x:c>
      <x:c r="I568" s="64"/>
      <x:c r="J568" s="63">
        <x:f t="shared" si="44"/>
        <x:v>0</x:v>
      </x:c>
      <x:c r="K568" s="63" t="str">
        <x:f t="shared" si="46"/>
      </x:c>
      <x:c r="L568" s="63">
        <x:f t="shared" si="45"/>
        <x:v>0</x:v>
      </x:c>
      <x:c r="M568" s="61"/>
    </x:row>
    <x:row r="569">
      <x:c r="A569" s="61" t="str">
        <x:f>IF(E569="","",MAX($A$6:A568)+1)</x:f>
      </x:c>
      <x:c r="B569" s="61"/>
      <x:c r="C569" s="61"/>
      <x:c r="D569" s="62"/>
      <x:c r="E569" s="61"/>
      <x:c r="F569" s="61"/>
      <x:c r="G569" s="63"/>
      <x:c r="H569" s="63">
        <x:f t="shared" si="43"/>
        <x:v>0</x:v>
      </x:c>
      <x:c r="I569" s="64"/>
      <x:c r="J569" s="63">
        <x:f t="shared" si="44"/>
        <x:v>0</x:v>
      </x:c>
      <x:c r="K569" s="63" t="str">
        <x:f t="shared" si="46"/>
      </x:c>
      <x:c r="L569" s="63">
        <x:f t="shared" si="45"/>
        <x:v>0</x:v>
      </x:c>
      <x:c r="M569" s="61"/>
    </x:row>
    <x:row r="570">
      <x:c r="A570" s="61" t="str">
        <x:f>IF(E570="","",MAX($A$6:A569)+1)</x:f>
      </x:c>
      <x:c r="B570" s="61"/>
      <x:c r="C570" s="61"/>
      <x:c r="D570" s="62"/>
      <x:c r="E570" s="61"/>
      <x:c r="F570" s="61"/>
      <x:c r="G570" s="63"/>
      <x:c r="H570" s="63">
        <x:f t="shared" si="43"/>
        <x:v>0</x:v>
      </x:c>
      <x:c r="I570" s="64"/>
      <x:c r="J570" s="63">
        <x:f t="shared" si="44"/>
        <x:v>0</x:v>
      </x:c>
      <x:c r="K570" s="63" t="str">
        <x:f t="shared" si="46"/>
      </x:c>
      <x:c r="L570" s="63">
        <x:f t="shared" si="45"/>
        <x:v>0</x:v>
      </x:c>
      <x:c r="M570" s="61"/>
    </x:row>
    <x:row r="571">
      <x:c r="A571" s="61" t="str">
        <x:f>IF(E571="","",MAX($A$6:A570)+1)</x:f>
      </x:c>
      <x:c r="B571" s="61"/>
      <x:c r="C571" s="61"/>
      <x:c r="D571" s="62"/>
      <x:c r="E571" s="61"/>
      <x:c r="F571" s="61"/>
      <x:c r="G571" s="63"/>
      <x:c r="H571" s="63">
        <x:f t="shared" si="43"/>
        <x:v>0</x:v>
      </x:c>
      <x:c r="I571" s="64"/>
      <x:c r="J571" s="63">
        <x:f t="shared" si="44"/>
        <x:v>0</x:v>
      </x:c>
      <x:c r="K571" s="63" t="str">
        <x:f t="shared" si="46"/>
      </x:c>
      <x:c r="L571" s="63">
        <x:f t="shared" si="45"/>
        <x:v>0</x:v>
      </x:c>
      <x:c r="M571" s="61"/>
    </x:row>
    <x:row r="572">
      <x:c r="A572" s="61" t="str">
        <x:f>IF(E572="","",MAX($A$6:A571)+1)</x:f>
      </x:c>
      <x:c r="B572" s="61"/>
      <x:c r="C572" s="61"/>
      <x:c r="D572" s="62"/>
      <x:c r="E572" s="61"/>
      <x:c r="F572" s="61"/>
      <x:c r="G572" s="63"/>
      <x:c r="H572" s="63">
        <x:f t="shared" si="43"/>
        <x:v>0</x:v>
      </x:c>
      <x:c r="I572" s="64"/>
      <x:c r="J572" s="63">
        <x:f t="shared" si="44"/>
        <x:v>0</x:v>
      </x:c>
      <x:c r="K572" s="63" t="str">
        <x:f t="shared" si="46"/>
      </x:c>
      <x:c r="L572" s="63">
        <x:f t="shared" si="45"/>
        <x:v>0</x:v>
      </x:c>
      <x:c r="M572" s="61"/>
    </x:row>
    <x:row r="573">
      <x:c r="A573" s="61" t="str">
        <x:f>IF(E573="","",MAX($A$6:A572)+1)</x:f>
      </x:c>
      <x:c r="B573" s="61"/>
      <x:c r="C573" s="61"/>
      <x:c r="D573" s="62"/>
      <x:c r="E573" s="61"/>
      <x:c r="F573" s="61"/>
      <x:c r="G573" s="63"/>
      <x:c r="H573" s="63">
        <x:f t="shared" si="43"/>
        <x:v>0</x:v>
      </x:c>
      <x:c r="I573" s="64"/>
      <x:c r="J573" s="63">
        <x:f t="shared" si="44"/>
        <x:v>0</x:v>
      </x:c>
      <x:c r="K573" s="63" t="str">
        <x:f t="shared" si="46"/>
      </x:c>
      <x:c r="L573" s="63">
        <x:f t="shared" si="45"/>
        <x:v>0</x:v>
      </x:c>
      <x:c r="M573" s="61"/>
    </x:row>
    <x:row r="574">
      <x:c r="A574" s="61" t="str">
        <x:f>IF(E574="","",MAX($A$6:A573)+1)</x:f>
      </x:c>
      <x:c r="B574" s="61"/>
      <x:c r="C574" s="61"/>
      <x:c r="D574" s="62"/>
      <x:c r="E574" s="61"/>
      <x:c r="F574" s="61"/>
      <x:c r="G574" s="63"/>
      <x:c r="H574" s="63">
        <x:f t="shared" si="43"/>
        <x:v>0</x:v>
      </x:c>
      <x:c r="I574" s="64"/>
      <x:c r="J574" s="63">
        <x:f t="shared" si="44"/>
        <x:v>0</x:v>
      </x:c>
      <x:c r="K574" s="63" t="str">
        <x:f t="shared" si="46"/>
      </x:c>
      <x:c r="L574" s="63">
        <x:f t="shared" si="45"/>
        <x:v>0</x:v>
      </x:c>
      <x:c r="M574" s="61"/>
    </x:row>
    <x:row r="575">
      <x:c r="A575" s="61" t="str">
        <x:f>IF(E575="","",MAX($A$6:A574)+1)</x:f>
      </x:c>
      <x:c r="B575" s="61"/>
      <x:c r="C575" s="61"/>
      <x:c r="D575" s="62"/>
      <x:c r="E575" s="61"/>
      <x:c r="F575" s="61"/>
      <x:c r="G575" s="63"/>
      <x:c r="H575" s="63">
        <x:f t="shared" si="43"/>
        <x:v>0</x:v>
      </x:c>
      <x:c r="I575" s="64"/>
      <x:c r="J575" s="63">
        <x:f t="shared" si="44"/>
        <x:v>0</x:v>
      </x:c>
      <x:c r="K575" s="63" t="str">
        <x:f t="shared" si="46"/>
      </x:c>
      <x:c r="L575" s="63">
        <x:f t="shared" si="45"/>
        <x:v>0</x:v>
      </x:c>
      <x:c r="M575" s="61"/>
    </x:row>
    <x:row r="576">
      <x:c r="A576" s="61" t="str">
        <x:f>IF(E576="","",MAX($A$6:A575)+1)</x:f>
      </x:c>
      <x:c r="B576" s="61"/>
      <x:c r="C576" s="61"/>
      <x:c r="D576" s="62"/>
      <x:c r="E576" s="61"/>
      <x:c r="F576" s="61"/>
      <x:c r="G576" s="63"/>
      <x:c r="H576" s="63">
        <x:f t="shared" si="43"/>
        <x:v>0</x:v>
      </x:c>
      <x:c r="I576" s="64"/>
      <x:c r="J576" s="63">
        <x:f t="shared" si="44"/>
        <x:v>0</x:v>
      </x:c>
      <x:c r="K576" s="63" t="str">
        <x:f t="shared" si="46"/>
      </x:c>
      <x:c r="L576" s="63">
        <x:f t="shared" si="45"/>
        <x:v>0</x:v>
      </x:c>
      <x:c r="M576" s="61"/>
    </x:row>
    <x:row r="577">
      <x:c r="A577" s="61" t="str">
        <x:f>IF(E577="","",MAX($A$6:A576)+1)</x:f>
      </x:c>
      <x:c r="B577" s="61"/>
      <x:c r="C577" s="61"/>
      <x:c r="D577" s="62"/>
      <x:c r="E577" s="61"/>
      <x:c r="F577" s="61"/>
      <x:c r="G577" s="63"/>
      <x:c r="H577" s="63">
        <x:f t="shared" si="43"/>
        <x:v>0</x:v>
      </x:c>
      <x:c r="I577" s="64"/>
      <x:c r="J577" s="63">
        <x:f t="shared" si="44"/>
        <x:v>0</x:v>
      </x:c>
      <x:c r="K577" s="63" t="str">
        <x:f t="shared" si="46"/>
      </x:c>
      <x:c r="L577" s="63">
        <x:f t="shared" si="45"/>
        <x:v>0</x:v>
      </x:c>
      <x:c r="M577" s="61"/>
    </x:row>
    <x:row r="578">
      <x:c r="A578" s="61" t="str">
        <x:f>IF(E578="","",MAX($A$6:A577)+1)</x:f>
      </x:c>
      <x:c r="B578" s="61"/>
      <x:c r="C578" s="61"/>
      <x:c r="D578" s="62"/>
      <x:c r="E578" s="61"/>
      <x:c r="F578" s="61"/>
      <x:c r="G578" s="63"/>
      <x:c r="H578" s="63">
        <x:f t="shared" si="43"/>
        <x:v>0</x:v>
      </x:c>
      <x:c r="I578" s="64"/>
      <x:c r="J578" s="63">
        <x:f t="shared" si="44"/>
        <x:v>0</x:v>
      </x:c>
      <x:c r="K578" s="63" t="str">
        <x:f t="shared" si="46"/>
      </x:c>
      <x:c r="L578" s="63">
        <x:f t="shared" si="45"/>
        <x:v>0</x:v>
      </x:c>
      <x:c r="M578" s="61"/>
    </x:row>
    <x:row r="579">
      <x:c r="A579" s="61" t="str">
        <x:f>IF(E579="","",MAX($A$6:A578)+1)</x:f>
      </x:c>
      <x:c r="B579" s="61"/>
      <x:c r="C579" s="61"/>
      <x:c r="D579" s="62"/>
      <x:c r="E579" s="61"/>
      <x:c r="F579" s="61"/>
      <x:c r="G579" s="63"/>
      <x:c r="H579" s="63">
        <x:f t="shared" si="43"/>
        <x:v>0</x:v>
      </x:c>
      <x:c r="I579" s="64"/>
      <x:c r="J579" s="63">
        <x:f t="shared" si="44"/>
        <x:v>0</x:v>
      </x:c>
      <x:c r="K579" s="63" t="str">
        <x:f t="shared" si="46"/>
      </x:c>
      <x:c r="L579" s="63">
        <x:f t="shared" si="45"/>
        <x:v>0</x:v>
      </x:c>
      <x:c r="M579" s="61"/>
    </x:row>
    <x:row r="580">
      <x:c r="A580" s="61" t="str">
        <x:f>IF(E580="","",MAX($A$6:A579)+1)</x:f>
      </x:c>
      <x:c r="B580" s="61"/>
      <x:c r="C580" s="61"/>
      <x:c r="D580" s="62"/>
      <x:c r="E580" s="61"/>
      <x:c r="F580" s="61"/>
      <x:c r="G580" s="63"/>
      <x:c r="H580" s="63">
        <x:f t="shared" si="43"/>
        <x:v>0</x:v>
      </x:c>
      <x:c r="I580" s="64"/>
      <x:c r="J580" s="63">
        <x:f t="shared" si="44"/>
        <x:v>0</x:v>
      </x:c>
      <x:c r="K580" s="63" t="str">
        <x:f t="shared" si="46"/>
      </x:c>
      <x:c r="L580" s="63">
        <x:f t="shared" si="45"/>
        <x:v>0</x:v>
      </x:c>
      <x:c r="M580" s="61"/>
    </x:row>
    <x:row r="581">
      <x:c r="A581" s="61" t="str">
        <x:f>IF(E581="","",MAX($A$6:A580)+1)</x:f>
      </x:c>
      <x:c r="B581" s="61"/>
      <x:c r="C581" s="61"/>
      <x:c r="D581" s="62"/>
      <x:c r="E581" s="61"/>
      <x:c r="F581" s="61"/>
      <x:c r="G581" s="63"/>
      <x:c r="H581" s="63">
        <x:f t="shared" si="43"/>
        <x:v>0</x:v>
      </x:c>
      <x:c r="I581" s="64"/>
      <x:c r="J581" s="63">
        <x:f t="shared" si="44"/>
        <x:v>0</x:v>
      </x:c>
      <x:c r="K581" s="63" t="str">
        <x:f t="shared" si="46"/>
      </x:c>
      <x:c r="L581" s="63">
        <x:f t="shared" si="45"/>
        <x:v>0</x:v>
      </x:c>
      <x:c r="M581" s="61"/>
    </x:row>
    <x:row r="582">
      <x:c r="A582" s="61" t="str">
        <x:f>IF(E582="","",MAX($A$6:A581)+1)</x:f>
      </x:c>
      <x:c r="B582" s="61"/>
      <x:c r="C582" s="61"/>
      <x:c r="D582" s="62"/>
      <x:c r="E582" s="61"/>
      <x:c r="F582" s="61"/>
      <x:c r="G582" s="63"/>
      <x:c r="H582" s="63" t="n">
        <x:f t="shared" ref="H582:H645" si="47">IFERROR(IF(OR($F$1="",D582=""),0,MAX(0,$F$1-D582)),0)</x:f>
        <x:v>0</x:v>
      </x:c>
      <x:c r="I582" s="64"/>
      <x:c r="J582" s="63" t="n">
        <x:f t="shared" ref="J582:J645" si="48">IFERROR(IF(OR(G582="",I582="",D582="",$F$1=""),0,IF($F$1&lt;D582,0,MIN(MAX(G582-1,0),MAX(0,(G582*I582/365)*H582)))),0)</x:f>
        <x:v>0</x:v>
      </x:c>
      <x:c r="K582" s="63" t="str">
        <x:f t="shared" si="46"/>
      </x:c>
      <x:c r="L582" s="63" t="n">
        <x:f t="shared" ref="L582:L645" si="49">IFERROR(IF(OR(G582="",I582="",D582="",$F$1=""),0,IF($F$1&lt;D582,0,IF(K582&lt;=1,0,MIN(G582*I582/12,K582-1)))),0)</x:f>
        <x:v>0</x:v>
      </x:c>
      <x:c r="M582" s="61"/>
    </x:row>
    <x:row r="583">
      <x:c r="A583" s="61" t="str">
        <x:f>IF(E583="","",MAX($A$6:A582)+1)</x:f>
      </x:c>
      <x:c r="B583" s="61"/>
      <x:c r="C583" s="61"/>
      <x:c r="D583" s="62"/>
      <x:c r="E583" s="61"/>
      <x:c r="F583" s="61"/>
      <x:c r="G583" s="63"/>
      <x:c r="H583" s="63">
        <x:f t="shared" si="47"/>
        <x:v>0</x:v>
      </x:c>
      <x:c r="I583" s="64"/>
      <x:c r="J583" s="63">
        <x:f t="shared" si="48"/>
        <x:v>0</x:v>
      </x:c>
      <x:c r="K583" s="63" t="str">
        <x:f t="shared" si="46"/>
      </x:c>
      <x:c r="L583" s="63">
        <x:f t="shared" si="49"/>
        <x:v>0</x:v>
      </x:c>
      <x:c r="M583" s="61"/>
    </x:row>
    <x:row r="584">
      <x:c r="A584" s="61" t="str">
        <x:f>IF(E584="","",MAX($A$6:A583)+1)</x:f>
      </x:c>
      <x:c r="B584" s="61"/>
      <x:c r="C584" s="61"/>
      <x:c r="D584" s="62"/>
      <x:c r="E584" s="61"/>
      <x:c r="F584" s="61"/>
      <x:c r="G584" s="63"/>
      <x:c r="H584" s="63">
        <x:f t="shared" si="47"/>
        <x:v>0</x:v>
      </x:c>
      <x:c r="I584" s="64"/>
      <x:c r="J584" s="63">
        <x:f t="shared" si="48"/>
        <x:v>0</x:v>
      </x:c>
      <x:c r="K584" s="63" t="str">
        <x:f t="shared" si="46"/>
      </x:c>
      <x:c r="L584" s="63">
        <x:f t="shared" si="49"/>
        <x:v>0</x:v>
      </x:c>
      <x:c r="M584" s="61"/>
    </x:row>
    <x:row r="585">
      <x:c r="A585" s="61" t="str">
        <x:f>IF(E585="","",MAX($A$6:A584)+1)</x:f>
      </x:c>
      <x:c r="B585" s="61"/>
      <x:c r="C585" s="61"/>
      <x:c r="D585" s="62"/>
      <x:c r="E585" s="61"/>
      <x:c r="F585" s="61"/>
      <x:c r="G585" s="63"/>
      <x:c r="H585" s="63">
        <x:f t="shared" si="47"/>
        <x:v>0</x:v>
      </x:c>
      <x:c r="I585" s="64"/>
      <x:c r="J585" s="63">
        <x:f t="shared" si="48"/>
        <x:v>0</x:v>
      </x:c>
      <x:c r="K585" s="63" t="str">
        <x:f t="shared" si="46"/>
      </x:c>
      <x:c r="L585" s="63">
        <x:f t="shared" si="49"/>
        <x:v>0</x:v>
      </x:c>
      <x:c r="M585" s="61"/>
    </x:row>
    <x:row r="586">
      <x:c r="A586" s="61" t="str">
        <x:f>IF(E586="","",MAX($A$6:A585)+1)</x:f>
      </x:c>
      <x:c r="B586" s="61"/>
      <x:c r="C586" s="61"/>
      <x:c r="D586" s="62"/>
      <x:c r="E586" s="61"/>
      <x:c r="F586" s="61"/>
      <x:c r="G586" s="63"/>
      <x:c r="H586" s="63">
        <x:f t="shared" si="47"/>
        <x:v>0</x:v>
      </x:c>
      <x:c r="I586" s="64"/>
      <x:c r="J586" s="63">
        <x:f t="shared" si="48"/>
        <x:v>0</x:v>
      </x:c>
      <x:c r="K586" s="63" t="str">
        <x:f t="shared" si="46"/>
      </x:c>
      <x:c r="L586" s="63">
        <x:f t="shared" si="49"/>
        <x:v>0</x:v>
      </x:c>
      <x:c r="M586" s="61"/>
    </x:row>
    <x:row r="587">
      <x:c r="A587" s="61" t="str">
        <x:f>IF(E587="","",MAX($A$6:A586)+1)</x:f>
      </x:c>
      <x:c r="B587" s="61"/>
      <x:c r="C587" s="61"/>
      <x:c r="D587" s="62"/>
      <x:c r="E587" s="61"/>
      <x:c r="F587" s="61"/>
      <x:c r="G587" s="63"/>
      <x:c r="H587" s="63">
        <x:f t="shared" si="47"/>
        <x:v>0</x:v>
      </x:c>
      <x:c r="I587" s="64"/>
      <x:c r="J587" s="63">
        <x:f t="shared" si="48"/>
        <x:v>0</x:v>
      </x:c>
      <x:c r="K587" s="63" t="str">
        <x:f t="shared" si="46"/>
      </x:c>
      <x:c r="L587" s="63">
        <x:f t="shared" si="49"/>
        <x:v>0</x:v>
      </x:c>
      <x:c r="M587" s="61"/>
    </x:row>
    <x:row r="588">
      <x:c r="A588" s="61" t="str">
        <x:f>IF(E588="","",MAX($A$6:A587)+1)</x:f>
      </x:c>
      <x:c r="B588" s="61"/>
      <x:c r="C588" s="61"/>
      <x:c r="D588" s="62"/>
      <x:c r="E588" s="61"/>
      <x:c r="F588" s="61"/>
      <x:c r="G588" s="63"/>
      <x:c r="H588" s="63">
        <x:f t="shared" si="47"/>
        <x:v>0</x:v>
      </x:c>
      <x:c r="I588" s="64"/>
      <x:c r="J588" s="63">
        <x:f t="shared" si="48"/>
        <x:v>0</x:v>
      </x:c>
      <x:c r="K588" s="63" t="str">
        <x:f t="shared" si="46"/>
      </x:c>
      <x:c r="L588" s="63">
        <x:f t="shared" si="49"/>
        <x:v>0</x:v>
      </x:c>
      <x:c r="M588" s="61"/>
    </x:row>
    <x:row r="589">
      <x:c r="A589" s="61" t="str">
        <x:f>IF(E589="","",MAX($A$6:A588)+1)</x:f>
      </x:c>
      <x:c r="B589" s="61"/>
      <x:c r="C589" s="61"/>
      <x:c r="D589" s="62"/>
      <x:c r="E589" s="61"/>
      <x:c r="F589" s="61"/>
      <x:c r="G589" s="63"/>
      <x:c r="H589" s="63">
        <x:f t="shared" si="47"/>
        <x:v>0</x:v>
      </x:c>
      <x:c r="I589" s="64"/>
      <x:c r="J589" s="63">
        <x:f t="shared" si="48"/>
        <x:v>0</x:v>
      </x:c>
      <x:c r="K589" s="63" t="str">
        <x:f t="shared" si="46"/>
      </x:c>
      <x:c r="L589" s="63">
        <x:f t="shared" si="49"/>
        <x:v>0</x:v>
      </x:c>
      <x:c r="M589" s="61"/>
    </x:row>
    <x:row r="590">
      <x:c r="A590" s="61" t="str">
        <x:f>IF(E590="","",MAX($A$6:A589)+1)</x:f>
      </x:c>
      <x:c r="B590" s="61"/>
      <x:c r="C590" s="61"/>
      <x:c r="D590" s="62"/>
      <x:c r="E590" s="61"/>
      <x:c r="F590" s="61"/>
      <x:c r="G590" s="63"/>
      <x:c r="H590" s="63">
        <x:f t="shared" si="47"/>
        <x:v>0</x:v>
      </x:c>
      <x:c r="I590" s="64"/>
      <x:c r="J590" s="63">
        <x:f t="shared" si="48"/>
        <x:v>0</x:v>
      </x:c>
      <x:c r="K590" s="63" t="str">
        <x:f t="shared" si="46"/>
      </x:c>
      <x:c r="L590" s="63">
        <x:f t="shared" si="49"/>
        <x:v>0</x:v>
      </x:c>
      <x:c r="M590" s="61"/>
    </x:row>
    <x:row r="591">
      <x:c r="A591" s="61" t="str">
        <x:f>IF(E591="","",MAX($A$6:A590)+1)</x:f>
      </x:c>
      <x:c r="B591" s="61"/>
      <x:c r="C591" s="61"/>
      <x:c r="D591" s="62"/>
      <x:c r="E591" s="61"/>
      <x:c r="F591" s="61"/>
      <x:c r="G591" s="63"/>
      <x:c r="H591" s="63">
        <x:f t="shared" si="47"/>
        <x:v>0</x:v>
      </x:c>
      <x:c r="I591" s="64"/>
      <x:c r="J591" s="63">
        <x:f t="shared" si="48"/>
        <x:v>0</x:v>
      </x:c>
      <x:c r="K591" s="63" t="str">
        <x:f t="shared" si="46"/>
      </x:c>
      <x:c r="L591" s="63">
        <x:f t="shared" si="49"/>
        <x:v>0</x:v>
      </x:c>
      <x:c r="M591" s="61"/>
    </x:row>
    <x:row r="592">
      <x:c r="A592" s="61" t="str">
        <x:f>IF(E592="","",MAX($A$6:A591)+1)</x:f>
      </x:c>
      <x:c r="B592" s="61"/>
      <x:c r="C592" s="61"/>
      <x:c r="D592" s="62"/>
      <x:c r="E592" s="61"/>
      <x:c r="F592" s="61"/>
      <x:c r="G592" s="63"/>
      <x:c r="H592" s="63">
        <x:f t="shared" si="47"/>
        <x:v>0</x:v>
      </x:c>
      <x:c r="I592" s="64"/>
      <x:c r="J592" s="63">
        <x:f t="shared" si="48"/>
        <x:v>0</x:v>
      </x:c>
      <x:c r="K592" s="63" t="str">
        <x:f t="shared" si="46"/>
      </x:c>
      <x:c r="L592" s="63">
        <x:f t="shared" si="49"/>
        <x:v>0</x:v>
      </x:c>
      <x:c r="M592" s="61"/>
    </x:row>
    <x:row r="593">
      <x:c r="A593" s="61" t="str">
        <x:f>IF(E593="","",MAX($A$6:A592)+1)</x:f>
      </x:c>
      <x:c r="B593" s="61"/>
      <x:c r="C593" s="61"/>
      <x:c r="D593" s="62"/>
      <x:c r="E593" s="61"/>
      <x:c r="F593" s="61"/>
      <x:c r="G593" s="63"/>
      <x:c r="H593" s="63">
        <x:f t="shared" si="47"/>
        <x:v>0</x:v>
      </x:c>
      <x:c r="I593" s="64"/>
      <x:c r="J593" s="63">
        <x:f t="shared" si="48"/>
        <x:v>0</x:v>
      </x:c>
      <x:c r="K593" s="63" t="str">
        <x:f t="shared" si="46"/>
      </x:c>
      <x:c r="L593" s="63">
        <x:f t="shared" si="49"/>
        <x:v>0</x:v>
      </x:c>
      <x:c r="M593" s="61"/>
    </x:row>
    <x:row r="594">
      <x:c r="A594" s="61" t="str">
        <x:f>IF(E594="","",MAX($A$6:A593)+1)</x:f>
      </x:c>
      <x:c r="B594" s="61"/>
      <x:c r="C594" s="61"/>
      <x:c r="D594" s="62"/>
      <x:c r="E594" s="61"/>
      <x:c r="F594" s="61"/>
      <x:c r="G594" s="63"/>
      <x:c r="H594" s="63">
        <x:f t="shared" si="47"/>
        <x:v>0</x:v>
      </x:c>
      <x:c r="I594" s="64"/>
      <x:c r="J594" s="63">
        <x:f t="shared" si="48"/>
        <x:v>0</x:v>
      </x:c>
      <x:c r="K594" s="63" t="str">
        <x:f t="shared" si="46"/>
      </x:c>
      <x:c r="L594" s="63">
        <x:f t="shared" si="49"/>
        <x:v>0</x:v>
      </x:c>
      <x:c r="M594" s="61"/>
    </x:row>
    <x:row r="595">
      <x:c r="A595" s="61" t="str">
        <x:f>IF(E595="","",MAX($A$6:A594)+1)</x:f>
      </x:c>
      <x:c r="B595" s="61"/>
      <x:c r="C595" s="61"/>
      <x:c r="D595" s="62"/>
      <x:c r="E595" s="61"/>
      <x:c r="F595" s="61"/>
      <x:c r="G595" s="63"/>
      <x:c r="H595" s="63">
        <x:f t="shared" si="47"/>
        <x:v>0</x:v>
      </x:c>
      <x:c r="I595" s="64"/>
      <x:c r="J595" s="63">
        <x:f t="shared" si="48"/>
        <x:v>0</x:v>
      </x:c>
      <x:c r="K595" s="63" t="str">
        <x:f t="shared" si="46"/>
      </x:c>
      <x:c r="L595" s="63">
        <x:f t="shared" si="49"/>
        <x:v>0</x:v>
      </x:c>
      <x:c r="M595" s="61"/>
    </x:row>
    <x:row r="596">
      <x:c r="A596" s="61" t="str">
        <x:f>IF(E596="","",MAX($A$6:A595)+1)</x:f>
      </x:c>
      <x:c r="B596" s="61"/>
      <x:c r="C596" s="61"/>
      <x:c r="D596" s="62"/>
      <x:c r="E596" s="61"/>
      <x:c r="F596" s="61"/>
      <x:c r="G596" s="63"/>
      <x:c r="H596" s="63">
        <x:f t="shared" si="47"/>
        <x:v>0</x:v>
      </x:c>
      <x:c r="I596" s="64"/>
      <x:c r="J596" s="63">
        <x:f t="shared" si="48"/>
        <x:v>0</x:v>
      </x:c>
      <x:c r="K596" s="63" t="str">
        <x:f t="shared" si="46"/>
      </x:c>
      <x:c r="L596" s="63">
        <x:f t="shared" si="49"/>
        <x:v>0</x:v>
      </x:c>
      <x:c r="M596" s="61"/>
    </x:row>
    <x:row r="597">
      <x:c r="A597" s="61" t="str">
        <x:f>IF(E597="","",MAX($A$6:A596)+1)</x:f>
      </x:c>
      <x:c r="B597" s="61"/>
      <x:c r="C597" s="61"/>
      <x:c r="D597" s="62"/>
      <x:c r="E597" s="61"/>
      <x:c r="F597" s="61"/>
      <x:c r="G597" s="63"/>
      <x:c r="H597" s="63">
        <x:f t="shared" si="47"/>
        <x:v>0</x:v>
      </x:c>
      <x:c r="I597" s="64"/>
      <x:c r="J597" s="63">
        <x:f t="shared" si="48"/>
        <x:v>0</x:v>
      </x:c>
      <x:c r="K597" s="63" t="str">
        <x:f t="shared" si="46"/>
      </x:c>
      <x:c r="L597" s="63">
        <x:f t="shared" si="49"/>
        <x:v>0</x:v>
      </x:c>
      <x:c r="M597" s="61"/>
    </x:row>
    <x:row r="598">
      <x:c r="A598" s="61" t="str">
        <x:f>IF(E598="","",MAX($A$6:A597)+1)</x:f>
      </x:c>
      <x:c r="B598" s="61"/>
      <x:c r="C598" s="61"/>
      <x:c r="D598" s="62"/>
      <x:c r="E598" s="61"/>
      <x:c r="F598" s="61"/>
      <x:c r="G598" s="63"/>
      <x:c r="H598" s="63">
        <x:f t="shared" si="47"/>
        <x:v>0</x:v>
      </x:c>
      <x:c r="I598" s="64"/>
      <x:c r="J598" s="63">
        <x:f t="shared" si="48"/>
        <x:v>0</x:v>
      </x:c>
      <x:c r="K598" s="63" t="str">
        <x:f t="shared" si="46"/>
      </x:c>
      <x:c r="L598" s="63">
        <x:f t="shared" si="49"/>
        <x:v>0</x:v>
      </x:c>
      <x:c r="M598" s="61"/>
    </x:row>
    <x:row r="599">
      <x:c r="A599" s="61" t="str">
        <x:f>IF(E599="","",MAX($A$6:A598)+1)</x:f>
      </x:c>
      <x:c r="B599" s="61"/>
      <x:c r="C599" s="61"/>
      <x:c r="D599" s="62"/>
      <x:c r="E599" s="61"/>
      <x:c r="F599" s="61"/>
      <x:c r="G599" s="63"/>
      <x:c r="H599" s="63">
        <x:f t="shared" si="47"/>
        <x:v>0</x:v>
      </x:c>
      <x:c r="I599" s="64"/>
      <x:c r="J599" s="63">
        <x:f t="shared" si="48"/>
        <x:v>0</x:v>
      </x:c>
      <x:c r="K599" s="63" t="str">
        <x:f t="shared" si="46"/>
      </x:c>
      <x:c r="L599" s="63">
        <x:f t="shared" si="49"/>
        <x:v>0</x:v>
      </x:c>
      <x:c r="M599" s="61"/>
    </x:row>
    <x:row r="600">
      <x:c r="A600" s="61" t="str">
        <x:f>IF(E600="","",MAX($A$6:A599)+1)</x:f>
      </x:c>
      <x:c r="B600" s="61"/>
      <x:c r="C600" s="61"/>
      <x:c r="D600" s="62"/>
      <x:c r="E600" s="61"/>
      <x:c r="F600" s="61"/>
      <x:c r="G600" s="63"/>
      <x:c r="H600" s="63">
        <x:f t="shared" si="47"/>
        <x:v>0</x:v>
      </x:c>
      <x:c r="I600" s="64"/>
      <x:c r="J600" s="63">
        <x:f t="shared" si="48"/>
        <x:v>0</x:v>
      </x:c>
      <x:c r="K600" s="63" t="str">
        <x:f t="shared" si="46"/>
      </x:c>
      <x:c r="L600" s="63">
        <x:f t="shared" si="49"/>
        <x:v>0</x:v>
      </x:c>
      <x:c r="M600" s="61"/>
    </x:row>
    <x:row r="601">
      <x:c r="A601" s="61" t="str">
        <x:f>IF(E601="","",MAX($A$6:A600)+1)</x:f>
      </x:c>
      <x:c r="B601" s="61"/>
      <x:c r="C601" s="61"/>
      <x:c r="D601" s="62"/>
      <x:c r="E601" s="61"/>
      <x:c r="F601" s="61"/>
      <x:c r="G601" s="63"/>
      <x:c r="H601" s="63">
        <x:f t="shared" si="47"/>
        <x:v>0</x:v>
      </x:c>
      <x:c r="I601" s="64"/>
      <x:c r="J601" s="63">
        <x:f t="shared" si="48"/>
        <x:v>0</x:v>
      </x:c>
      <x:c r="K601" s="63" t="str">
        <x:f t="shared" si="46"/>
      </x:c>
      <x:c r="L601" s="63">
        <x:f t="shared" si="49"/>
        <x:v>0</x:v>
      </x:c>
      <x:c r="M601" s="61"/>
    </x:row>
    <x:row r="602">
      <x:c r="A602" s="61" t="str">
        <x:f>IF(E602="","",MAX($A$6:A601)+1)</x:f>
      </x:c>
      <x:c r="B602" s="61"/>
      <x:c r="C602" s="61"/>
      <x:c r="D602" s="62"/>
      <x:c r="E602" s="61"/>
      <x:c r="F602" s="61"/>
      <x:c r="G602" s="63"/>
      <x:c r="H602" s="63">
        <x:f t="shared" si="47"/>
        <x:v>0</x:v>
      </x:c>
      <x:c r="I602" s="64"/>
      <x:c r="J602" s="63">
        <x:f t="shared" si="48"/>
        <x:v>0</x:v>
      </x:c>
      <x:c r="K602" s="63" t="str">
        <x:f t="shared" si="46"/>
      </x:c>
      <x:c r="L602" s="63">
        <x:f t="shared" si="49"/>
        <x:v>0</x:v>
      </x:c>
      <x:c r="M602" s="61"/>
    </x:row>
    <x:row r="603">
      <x:c r="A603" s="61" t="str">
        <x:f>IF(E603="","",MAX($A$6:A602)+1)</x:f>
      </x:c>
      <x:c r="B603" s="61"/>
      <x:c r="C603" s="61"/>
      <x:c r="D603" s="62"/>
      <x:c r="E603" s="61"/>
      <x:c r="F603" s="61"/>
      <x:c r="G603" s="63"/>
      <x:c r="H603" s="63">
        <x:f t="shared" si="47"/>
        <x:v>0</x:v>
      </x:c>
      <x:c r="I603" s="64"/>
      <x:c r="J603" s="63">
        <x:f t="shared" si="48"/>
        <x:v>0</x:v>
      </x:c>
      <x:c r="K603" s="63" t="str">
        <x:f t="shared" si="46"/>
      </x:c>
      <x:c r="L603" s="63">
        <x:f t="shared" si="49"/>
        <x:v>0</x:v>
      </x:c>
      <x:c r="M603" s="61"/>
    </x:row>
    <x:row r="604">
      <x:c r="A604" s="61" t="str">
        <x:f>IF(E604="","",MAX($A$6:A603)+1)</x:f>
      </x:c>
      <x:c r="B604" s="61"/>
      <x:c r="C604" s="61"/>
      <x:c r="D604" s="62"/>
      <x:c r="E604" s="61"/>
      <x:c r="F604" s="61"/>
      <x:c r="G604" s="63"/>
      <x:c r="H604" s="63">
        <x:f t="shared" si="47"/>
        <x:v>0</x:v>
      </x:c>
      <x:c r="I604" s="64"/>
      <x:c r="J604" s="63">
        <x:f t="shared" si="48"/>
        <x:v>0</x:v>
      </x:c>
      <x:c r="K604" s="63" t="str">
        <x:f t="shared" si="46"/>
      </x:c>
      <x:c r="L604" s="63">
        <x:f t="shared" si="49"/>
        <x:v>0</x:v>
      </x:c>
      <x:c r="M604" s="61"/>
    </x:row>
    <x:row r="605">
      <x:c r="A605" s="61" t="str">
        <x:f>IF(E605="","",MAX($A$6:A604)+1)</x:f>
      </x:c>
      <x:c r="B605" s="61"/>
      <x:c r="C605" s="61"/>
      <x:c r="D605" s="62"/>
      <x:c r="E605" s="61"/>
      <x:c r="F605" s="61"/>
      <x:c r="G605" s="63"/>
      <x:c r="H605" s="63">
        <x:f t="shared" si="47"/>
        <x:v>0</x:v>
      </x:c>
      <x:c r="I605" s="64"/>
      <x:c r="J605" s="63">
        <x:f t="shared" si="48"/>
        <x:v>0</x:v>
      </x:c>
      <x:c r="K605" s="63" t="str">
        <x:f t="shared" si="46"/>
      </x:c>
      <x:c r="L605" s="63">
        <x:f t="shared" si="49"/>
        <x:v>0</x:v>
      </x:c>
      <x:c r="M605" s="61"/>
    </x:row>
    <x:row r="606">
      <x:c r="A606" s="61" t="str">
        <x:f>IF(E606="","",MAX($A$6:A605)+1)</x:f>
      </x:c>
      <x:c r="B606" s="61"/>
      <x:c r="C606" s="61"/>
      <x:c r="D606" s="62"/>
      <x:c r="E606" s="61"/>
      <x:c r="F606" s="61"/>
      <x:c r="G606" s="63"/>
      <x:c r="H606" s="63">
        <x:f t="shared" si="47"/>
        <x:v>0</x:v>
      </x:c>
      <x:c r="I606" s="64"/>
      <x:c r="J606" s="63">
        <x:f t="shared" si="48"/>
        <x:v>0</x:v>
      </x:c>
      <x:c r="K606" s="63" t="str">
        <x:f t="shared" si="46"/>
      </x:c>
      <x:c r="L606" s="63">
        <x:f t="shared" si="49"/>
        <x:v>0</x:v>
      </x:c>
      <x:c r="M606" s="61"/>
    </x:row>
    <x:row r="607">
      <x:c r="A607" s="61" t="str">
        <x:f>IF(E607="","",MAX($A$6:A606)+1)</x:f>
      </x:c>
      <x:c r="B607" s="61"/>
      <x:c r="C607" s="61"/>
      <x:c r="D607" s="62"/>
      <x:c r="E607" s="61"/>
      <x:c r="F607" s="61"/>
      <x:c r="G607" s="63"/>
      <x:c r="H607" s="63">
        <x:f t="shared" si="47"/>
        <x:v>0</x:v>
      </x:c>
      <x:c r="I607" s="64"/>
      <x:c r="J607" s="63">
        <x:f t="shared" si="48"/>
        <x:v>0</x:v>
      </x:c>
      <x:c r="K607" s="63" t="str">
        <x:f t="shared" si="46"/>
      </x:c>
      <x:c r="L607" s="63">
        <x:f t="shared" si="49"/>
        <x:v>0</x:v>
      </x:c>
      <x:c r="M607" s="61"/>
    </x:row>
    <x:row r="608">
      <x:c r="A608" s="61" t="str">
        <x:f>IF(E608="","",MAX($A$6:A607)+1)</x:f>
      </x:c>
      <x:c r="B608" s="61"/>
      <x:c r="C608" s="61"/>
      <x:c r="D608" s="62"/>
      <x:c r="E608" s="61"/>
      <x:c r="F608" s="61"/>
      <x:c r="G608" s="63"/>
      <x:c r="H608" s="63">
        <x:f t="shared" si="47"/>
        <x:v>0</x:v>
      </x:c>
      <x:c r="I608" s="64"/>
      <x:c r="J608" s="63">
        <x:f t="shared" si="48"/>
        <x:v>0</x:v>
      </x:c>
      <x:c r="K608" s="63" t="str">
        <x:f t="shared" si="46"/>
      </x:c>
      <x:c r="L608" s="63">
        <x:f t="shared" si="49"/>
        <x:v>0</x:v>
      </x:c>
      <x:c r="M608" s="61"/>
    </x:row>
    <x:row r="609">
      <x:c r="A609" s="61" t="str">
        <x:f>IF(E609="","",MAX($A$6:A608)+1)</x:f>
      </x:c>
      <x:c r="B609" s="61"/>
      <x:c r="C609" s="61"/>
      <x:c r="D609" s="62"/>
      <x:c r="E609" s="61"/>
      <x:c r="F609" s="61"/>
      <x:c r="G609" s="63"/>
      <x:c r="H609" s="63">
        <x:f t="shared" si="47"/>
        <x:v>0</x:v>
      </x:c>
      <x:c r="I609" s="64"/>
      <x:c r="J609" s="63">
        <x:f t="shared" si="48"/>
        <x:v>0</x:v>
      </x:c>
      <x:c r="K609" s="63" t="str">
        <x:f t="shared" si="46"/>
      </x:c>
      <x:c r="L609" s="63">
        <x:f t="shared" si="49"/>
        <x:v>0</x:v>
      </x:c>
      <x:c r="M609" s="61"/>
    </x:row>
    <x:row r="610">
      <x:c r="A610" s="61" t="str">
        <x:f>IF(E610="","",MAX($A$6:A609)+1)</x:f>
      </x:c>
      <x:c r="B610" s="61"/>
      <x:c r="C610" s="61"/>
      <x:c r="D610" s="62"/>
      <x:c r="E610" s="61"/>
      <x:c r="F610" s="61"/>
      <x:c r="G610" s="63"/>
      <x:c r="H610" s="63">
        <x:f t="shared" si="47"/>
        <x:v>0</x:v>
      </x:c>
      <x:c r="I610" s="64"/>
      <x:c r="J610" s="63">
        <x:f t="shared" si="48"/>
        <x:v>0</x:v>
      </x:c>
      <x:c r="K610" s="63" t="str">
        <x:f t="shared" si="46"/>
      </x:c>
      <x:c r="L610" s="63">
        <x:f t="shared" si="49"/>
        <x:v>0</x:v>
      </x:c>
      <x:c r="M610" s="61"/>
    </x:row>
    <x:row r="611">
      <x:c r="A611" s="61" t="str">
        <x:f>IF(E611="","",MAX($A$6:A610)+1)</x:f>
      </x:c>
      <x:c r="B611" s="61"/>
      <x:c r="C611" s="61"/>
      <x:c r="D611" s="62"/>
      <x:c r="E611" s="61"/>
      <x:c r="F611" s="61"/>
      <x:c r="G611" s="63"/>
      <x:c r="H611" s="63">
        <x:f t="shared" si="47"/>
        <x:v>0</x:v>
      </x:c>
      <x:c r="I611" s="64"/>
      <x:c r="J611" s="63">
        <x:f t="shared" si="48"/>
        <x:v>0</x:v>
      </x:c>
      <x:c r="K611" s="63" t="str">
        <x:f t="shared" si="46"/>
      </x:c>
      <x:c r="L611" s="63">
        <x:f t="shared" si="49"/>
        <x:v>0</x:v>
      </x:c>
      <x:c r="M611" s="61"/>
    </x:row>
    <x:row r="612">
      <x:c r="A612" s="61" t="str">
        <x:f>IF(E612="","",MAX($A$6:A611)+1)</x:f>
      </x:c>
      <x:c r="B612" s="61"/>
      <x:c r="C612" s="61"/>
      <x:c r="D612" s="62"/>
      <x:c r="E612" s="61"/>
      <x:c r="F612" s="61"/>
      <x:c r="G612" s="63"/>
      <x:c r="H612" s="63">
        <x:f t="shared" si="47"/>
        <x:v>0</x:v>
      </x:c>
      <x:c r="I612" s="64"/>
      <x:c r="J612" s="63">
        <x:f t="shared" si="48"/>
        <x:v>0</x:v>
      </x:c>
      <x:c r="K612" s="63" t="str">
        <x:f t="shared" si="46"/>
      </x:c>
      <x:c r="L612" s="63">
        <x:f t="shared" si="49"/>
        <x:v>0</x:v>
      </x:c>
      <x:c r="M612" s="61"/>
    </x:row>
    <x:row r="613">
      <x:c r="A613" s="61" t="str">
        <x:f>IF(E613="","",MAX($A$6:A612)+1)</x:f>
      </x:c>
      <x:c r="B613" s="61"/>
      <x:c r="C613" s="61"/>
      <x:c r="D613" s="62"/>
      <x:c r="E613" s="61"/>
      <x:c r="F613" s="61"/>
      <x:c r="G613" s="63"/>
      <x:c r="H613" s="63">
        <x:f t="shared" si="47"/>
        <x:v>0</x:v>
      </x:c>
      <x:c r="I613" s="64"/>
      <x:c r="J613" s="63">
        <x:f t="shared" si="48"/>
        <x:v>0</x:v>
      </x:c>
      <x:c r="K613" s="63" t="str">
        <x:f t="shared" si="46"/>
      </x:c>
      <x:c r="L613" s="63">
        <x:f t="shared" si="49"/>
        <x:v>0</x:v>
      </x:c>
      <x:c r="M613" s="61"/>
    </x:row>
    <x:row r="614">
      <x:c r="A614" s="61" t="str">
        <x:f>IF(E614="","",MAX($A$6:A613)+1)</x:f>
      </x:c>
      <x:c r="B614" s="61"/>
      <x:c r="C614" s="61"/>
      <x:c r="D614" s="62"/>
      <x:c r="E614" s="61"/>
      <x:c r="F614" s="61"/>
      <x:c r="G614" s="63"/>
      <x:c r="H614" s="63">
        <x:f t="shared" si="47"/>
        <x:v>0</x:v>
      </x:c>
      <x:c r="I614" s="64"/>
      <x:c r="J614" s="63">
        <x:f t="shared" si="48"/>
        <x:v>0</x:v>
      </x:c>
      <x:c r="K614" s="63" t="str">
        <x:f t="shared" si="46"/>
      </x:c>
      <x:c r="L614" s="63">
        <x:f t="shared" si="49"/>
        <x:v>0</x:v>
      </x:c>
      <x:c r="M614" s="61"/>
    </x:row>
    <x:row r="615">
      <x:c r="A615" s="61" t="str">
        <x:f>IF(E615="","",MAX($A$6:A614)+1)</x:f>
      </x:c>
      <x:c r="B615" s="61"/>
      <x:c r="C615" s="61"/>
      <x:c r="D615" s="62"/>
      <x:c r="E615" s="61"/>
      <x:c r="F615" s="61"/>
      <x:c r="G615" s="63"/>
      <x:c r="H615" s="63">
        <x:f t="shared" si="47"/>
        <x:v>0</x:v>
      </x:c>
      <x:c r="I615" s="64"/>
      <x:c r="J615" s="63">
        <x:f t="shared" si="48"/>
        <x:v>0</x:v>
      </x:c>
      <x:c r="K615" s="63" t="str">
        <x:f t="shared" si="46"/>
      </x:c>
      <x:c r="L615" s="63">
        <x:f t="shared" si="49"/>
        <x:v>0</x:v>
      </x:c>
      <x:c r="M615" s="61"/>
    </x:row>
    <x:row r="616">
      <x:c r="A616" s="61" t="str">
        <x:f>IF(E616="","",MAX($A$6:A615)+1)</x:f>
      </x:c>
      <x:c r="B616" s="61"/>
      <x:c r="C616" s="61"/>
      <x:c r="D616" s="62"/>
      <x:c r="E616" s="61"/>
      <x:c r="F616" s="61"/>
      <x:c r="G616" s="63"/>
      <x:c r="H616" s="63">
        <x:f t="shared" si="47"/>
        <x:v>0</x:v>
      </x:c>
      <x:c r="I616" s="64"/>
      <x:c r="J616" s="63">
        <x:f t="shared" si="48"/>
        <x:v>0</x:v>
      </x:c>
      <x:c r="K616" s="63" t="str">
        <x:f t="shared" si="46"/>
      </x:c>
      <x:c r="L616" s="63">
        <x:f t="shared" si="49"/>
        <x:v>0</x:v>
      </x:c>
      <x:c r="M616" s="61"/>
    </x:row>
    <x:row r="617">
      <x:c r="A617" s="61" t="str">
        <x:f>IF(E617="","",MAX($A$6:A616)+1)</x:f>
      </x:c>
      <x:c r="B617" s="61"/>
      <x:c r="C617" s="61"/>
      <x:c r="D617" s="62"/>
      <x:c r="E617" s="61"/>
      <x:c r="F617" s="61"/>
      <x:c r="G617" s="63"/>
      <x:c r="H617" s="63">
        <x:f t="shared" si="47"/>
        <x:v>0</x:v>
      </x:c>
      <x:c r="I617" s="64"/>
      <x:c r="J617" s="63">
        <x:f t="shared" si="48"/>
        <x:v>0</x:v>
      </x:c>
      <x:c r="K617" s="63" t="str">
        <x:f t="shared" si="46"/>
      </x:c>
      <x:c r="L617" s="63">
        <x:f t="shared" si="49"/>
        <x:v>0</x:v>
      </x:c>
      <x:c r="M617" s="61"/>
    </x:row>
    <x:row r="618">
      <x:c r="A618" s="61" t="str">
        <x:f>IF(E618="","",MAX($A$6:A617)+1)</x:f>
      </x:c>
      <x:c r="B618" s="61"/>
      <x:c r="C618" s="61"/>
      <x:c r="D618" s="62"/>
      <x:c r="E618" s="61"/>
      <x:c r="F618" s="61"/>
      <x:c r="G618" s="63"/>
      <x:c r="H618" s="63">
        <x:f t="shared" si="47"/>
        <x:v>0</x:v>
      </x:c>
      <x:c r="I618" s="64"/>
      <x:c r="J618" s="63">
        <x:f t="shared" si="48"/>
        <x:v>0</x:v>
      </x:c>
      <x:c r="K618" s="63" t="str">
        <x:f t="shared" si="46"/>
      </x:c>
      <x:c r="L618" s="63">
        <x:f t="shared" si="49"/>
        <x:v>0</x:v>
      </x:c>
      <x:c r="M618" s="61"/>
    </x:row>
    <x:row r="619">
      <x:c r="A619" s="61" t="str">
        <x:f>IF(E619="","",MAX($A$6:A618)+1)</x:f>
      </x:c>
      <x:c r="B619" s="61"/>
      <x:c r="C619" s="61"/>
      <x:c r="D619" s="62"/>
      <x:c r="E619" s="61"/>
      <x:c r="F619" s="61"/>
      <x:c r="G619" s="63"/>
      <x:c r="H619" s="63">
        <x:f t="shared" si="47"/>
        <x:v>0</x:v>
      </x:c>
      <x:c r="I619" s="64"/>
      <x:c r="J619" s="63">
        <x:f t="shared" si="48"/>
        <x:v>0</x:v>
      </x:c>
      <x:c r="K619" s="63" t="str">
        <x:f t="shared" si="46"/>
      </x:c>
      <x:c r="L619" s="63">
        <x:f t="shared" si="49"/>
        <x:v>0</x:v>
      </x:c>
      <x:c r="M619" s="61"/>
    </x:row>
    <x:row r="620">
      <x:c r="A620" s="61" t="str">
        <x:f>IF(E620="","",MAX($A$6:A619)+1)</x:f>
      </x:c>
      <x:c r="B620" s="61"/>
      <x:c r="C620" s="61"/>
      <x:c r="D620" s="62"/>
      <x:c r="E620" s="61"/>
      <x:c r="F620" s="61"/>
      <x:c r="G620" s="63"/>
      <x:c r="H620" s="63">
        <x:f t="shared" si="47"/>
        <x:v>0</x:v>
      </x:c>
      <x:c r="I620" s="64"/>
      <x:c r="J620" s="63">
        <x:f t="shared" si="48"/>
        <x:v>0</x:v>
      </x:c>
      <x:c r="K620" s="63" t="str">
        <x:f t="shared" si="46"/>
      </x:c>
      <x:c r="L620" s="63">
        <x:f t="shared" si="49"/>
        <x:v>0</x:v>
      </x:c>
      <x:c r="M620" s="61"/>
    </x:row>
    <x:row r="621">
      <x:c r="A621" s="61" t="str">
        <x:f>IF(E621="","",MAX($A$6:A620)+1)</x:f>
      </x:c>
      <x:c r="B621" s="61"/>
      <x:c r="C621" s="61"/>
      <x:c r="D621" s="62"/>
      <x:c r="E621" s="61"/>
      <x:c r="F621" s="61"/>
      <x:c r="G621" s="63"/>
      <x:c r="H621" s="63">
        <x:f t="shared" si="47"/>
        <x:v>0</x:v>
      </x:c>
      <x:c r="I621" s="64"/>
      <x:c r="J621" s="63">
        <x:f t="shared" si="48"/>
        <x:v>0</x:v>
      </x:c>
      <x:c r="K621" s="63" t="str">
        <x:f t="shared" si="46"/>
      </x:c>
      <x:c r="L621" s="63">
        <x:f t="shared" si="49"/>
        <x:v>0</x:v>
      </x:c>
      <x:c r="M621" s="61"/>
    </x:row>
    <x:row r="622">
      <x:c r="A622" s="61" t="str">
        <x:f>IF(E622="","",MAX($A$6:A621)+1)</x:f>
      </x:c>
      <x:c r="B622" s="61"/>
      <x:c r="C622" s="61"/>
      <x:c r="D622" s="62"/>
      <x:c r="E622" s="61"/>
      <x:c r="F622" s="61"/>
      <x:c r="G622" s="63"/>
      <x:c r="H622" s="63">
        <x:f t="shared" si="47"/>
        <x:v>0</x:v>
      </x:c>
      <x:c r="I622" s="64"/>
      <x:c r="J622" s="63">
        <x:f t="shared" si="48"/>
        <x:v>0</x:v>
      </x:c>
      <x:c r="K622" s="63" t="str">
        <x:f t="shared" si="46"/>
      </x:c>
      <x:c r="L622" s="63">
        <x:f t="shared" si="49"/>
        <x:v>0</x:v>
      </x:c>
      <x:c r="M622" s="61"/>
    </x:row>
    <x:row r="623">
      <x:c r="A623" s="61" t="str">
        <x:f>IF(E623="","",MAX($A$6:A622)+1)</x:f>
      </x:c>
      <x:c r="B623" s="61"/>
      <x:c r="C623" s="61"/>
      <x:c r="D623" s="62"/>
      <x:c r="E623" s="61"/>
      <x:c r="F623" s="61"/>
      <x:c r="G623" s="63"/>
      <x:c r="H623" s="63">
        <x:f t="shared" si="47"/>
        <x:v>0</x:v>
      </x:c>
      <x:c r="I623" s="64"/>
      <x:c r="J623" s="63">
        <x:f t="shared" si="48"/>
        <x:v>0</x:v>
      </x:c>
      <x:c r="K623" s="63" t="str">
        <x:f t="shared" si="46"/>
      </x:c>
      <x:c r="L623" s="63">
        <x:f t="shared" si="49"/>
        <x:v>0</x:v>
      </x:c>
      <x:c r="M623" s="61"/>
    </x:row>
    <x:row r="624">
      <x:c r="A624" s="61" t="str">
        <x:f>IF(E624="","",MAX($A$6:A623)+1)</x:f>
      </x:c>
      <x:c r="B624" s="61"/>
      <x:c r="C624" s="61"/>
      <x:c r="D624" s="62"/>
      <x:c r="E624" s="61"/>
      <x:c r="F624" s="61"/>
      <x:c r="G624" s="63"/>
      <x:c r="H624" s="63">
        <x:f t="shared" si="47"/>
        <x:v>0</x:v>
      </x:c>
      <x:c r="I624" s="64"/>
      <x:c r="J624" s="63">
        <x:f t="shared" si="48"/>
        <x:v>0</x:v>
      </x:c>
      <x:c r="K624" s="63" t="str">
        <x:f t="shared" si="46"/>
      </x:c>
      <x:c r="L624" s="63">
        <x:f t="shared" si="49"/>
        <x:v>0</x:v>
      </x:c>
      <x:c r="M624" s="61"/>
    </x:row>
    <x:row r="625">
      <x:c r="A625" s="61" t="str">
        <x:f>IF(E625="","",MAX($A$6:A624)+1)</x:f>
      </x:c>
      <x:c r="B625" s="61"/>
      <x:c r="C625" s="61"/>
      <x:c r="D625" s="62"/>
      <x:c r="E625" s="61"/>
      <x:c r="F625" s="61"/>
      <x:c r="G625" s="63"/>
      <x:c r="H625" s="63">
        <x:f t="shared" si="47"/>
        <x:v>0</x:v>
      </x:c>
      <x:c r="I625" s="64"/>
      <x:c r="J625" s="63">
        <x:f t="shared" si="48"/>
        <x:v>0</x:v>
      </x:c>
      <x:c r="K625" s="63" t="str">
        <x:f t="shared" si="46"/>
      </x:c>
      <x:c r="L625" s="63">
        <x:f t="shared" si="49"/>
        <x:v>0</x:v>
      </x:c>
      <x:c r="M625" s="61"/>
    </x:row>
    <x:row r="626">
      <x:c r="A626" s="61" t="str">
        <x:f>IF(E626="","",MAX($A$6:A625)+1)</x:f>
      </x:c>
      <x:c r="B626" s="61"/>
      <x:c r="C626" s="61"/>
      <x:c r="D626" s="62"/>
      <x:c r="E626" s="61"/>
      <x:c r="F626" s="61"/>
      <x:c r="G626" s="63"/>
      <x:c r="H626" s="63">
        <x:f t="shared" si="47"/>
        <x:v>0</x:v>
      </x:c>
      <x:c r="I626" s="64"/>
      <x:c r="J626" s="63">
        <x:f t="shared" si="48"/>
        <x:v>0</x:v>
      </x:c>
      <x:c r="K626" s="63" t="str">
        <x:f t="shared" si="46"/>
      </x:c>
      <x:c r="L626" s="63">
        <x:f t="shared" si="49"/>
        <x:v>0</x:v>
      </x:c>
      <x:c r="M626" s="61"/>
    </x:row>
    <x:row r="627">
      <x:c r="A627" s="61" t="str">
        <x:f>IF(E627="","",MAX($A$6:A626)+1)</x:f>
      </x:c>
      <x:c r="B627" s="61"/>
      <x:c r="C627" s="61"/>
      <x:c r="D627" s="62"/>
      <x:c r="E627" s="61"/>
      <x:c r="F627" s="61"/>
      <x:c r="G627" s="63"/>
      <x:c r="H627" s="63">
        <x:f t="shared" si="47"/>
        <x:v>0</x:v>
      </x:c>
      <x:c r="I627" s="64"/>
      <x:c r="J627" s="63">
        <x:f t="shared" si="48"/>
        <x:v>0</x:v>
      </x:c>
      <x:c r="K627" s="63" t="str">
        <x:f t="shared" si="46"/>
      </x:c>
      <x:c r="L627" s="63">
        <x:f t="shared" si="49"/>
        <x:v>0</x:v>
      </x:c>
      <x:c r="M627" s="61"/>
    </x:row>
    <x:row r="628">
      <x:c r="A628" s="61" t="str">
        <x:f>IF(E628="","",MAX($A$6:A627)+1)</x:f>
      </x:c>
      <x:c r="B628" s="61"/>
      <x:c r="C628" s="61"/>
      <x:c r="D628" s="62"/>
      <x:c r="E628" s="61"/>
      <x:c r="F628" s="61"/>
      <x:c r="G628" s="63"/>
      <x:c r="H628" s="63">
        <x:f t="shared" si="47"/>
        <x:v>0</x:v>
      </x:c>
      <x:c r="I628" s="64"/>
      <x:c r="J628" s="63">
        <x:f t="shared" si="48"/>
        <x:v>0</x:v>
      </x:c>
      <x:c r="K628" s="63" t="str">
        <x:f t="shared" si="46"/>
      </x:c>
      <x:c r="L628" s="63">
        <x:f t="shared" si="49"/>
        <x:v>0</x:v>
      </x:c>
      <x:c r="M628" s="61"/>
    </x:row>
    <x:row r="629">
      <x:c r="A629" s="61" t="str">
        <x:f>IF(E629="","",MAX($A$6:A628)+1)</x:f>
      </x:c>
      <x:c r="B629" s="61"/>
      <x:c r="C629" s="61"/>
      <x:c r="D629" s="62"/>
      <x:c r="E629" s="61"/>
      <x:c r="F629" s="61"/>
      <x:c r="G629" s="63"/>
      <x:c r="H629" s="63">
        <x:f t="shared" si="47"/>
        <x:v>0</x:v>
      </x:c>
      <x:c r="I629" s="64"/>
      <x:c r="J629" s="63">
        <x:f t="shared" si="48"/>
        <x:v>0</x:v>
      </x:c>
      <x:c r="K629" s="63" t="str">
        <x:f t="shared" si="46"/>
      </x:c>
      <x:c r="L629" s="63">
        <x:f t="shared" si="49"/>
        <x:v>0</x:v>
      </x:c>
      <x:c r="M629" s="61"/>
    </x:row>
    <x:row r="630">
      <x:c r="A630" s="61" t="str">
        <x:f>IF(E630="","",MAX($A$6:A629)+1)</x:f>
      </x:c>
      <x:c r="B630" s="61"/>
      <x:c r="C630" s="61"/>
      <x:c r="D630" s="62"/>
      <x:c r="E630" s="61"/>
      <x:c r="F630" s="61"/>
      <x:c r="G630" s="63"/>
      <x:c r="H630" s="63">
        <x:f t="shared" si="47"/>
        <x:v>0</x:v>
      </x:c>
      <x:c r="I630" s="64"/>
      <x:c r="J630" s="63">
        <x:f t="shared" si="48"/>
        <x:v>0</x:v>
      </x:c>
      <x:c r="K630" s="63" t="str">
        <x:f t="shared" ref="K630:K693" si="50">IFERROR(IF(G630="","",MAX(1,G630-J630)),0)</x:f>
      </x:c>
      <x:c r="L630" s="63">
        <x:f t="shared" si="49"/>
        <x:v>0</x:v>
      </x:c>
      <x:c r="M630" s="61"/>
    </x:row>
    <x:row r="631">
      <x:c r="A631" s="61" t="str">
        <x:f>IF(E631="","",MAX($A$6:A630)+1)</x:f>
      </x:c>
      <x:c r="B631" s="61"/>
      <x:c r="C631" s="61"/>
      <x:c r="D631" s="62"/>
      <x:c r="E631" s="61"/>
      <x:c r="F631" s="61"/>
      <x:c r="G631" s="63"/>
      <x:c r="H631" s="63">
        <x:f t="shared" si="47"/>
        <x:v>0</x:v>
      </x:c>
      <x:c r="I631" s="64"/>
      <x:c r="J631" s="63">
        <x:f t="shared" si="48"/>
        <x:v>0</x:v>
      </x:c>
      <x:c r="K631" s="63" t="str">
        <x:f t="shared" si="50"/>
      </x:c>
      <x:c r="L631" s="63">
        <x:f t="shared" si="49"/>
        <x:v>0</x:v>
      </x:c>
      <x:c r="M631" s="61"/>
    </x:row>
    <x:row r="632">
      <x:c r="A632" s="61" t="str">
        <x:f>IF(E632="","",MAX($A$6:A631)+1)</x:f>
      </x:c>
      <x:c r="B632" s="61"/>
      <x:c r="C632" s="61"/>
      <x:c r="D632" s="62"/>
      <x:c r="E632" s="61"/>
      <x:c r="F632" s="61"/>
      <x:c r="G632" s="63"/>
      <x:c r="H632" s="63">
        <x:f t="shared" si="47"/>
        <x:v>0</x:v>
      </x:c>
      <x:c r="I632" s="64"/>
      <x:c r="J632" s="63">
        <x:f t="shared" si="48"/>
        <x:v>0</x:v>
      </x:c>
      <x:c r="K632" s="63" t="str">
        <x:f t="shared" si="50"/>
      </x:c>
      <x:c r="L632" s="63">
        <x:f t="shared" si="49"/>
        <x:v>0</x:v>
      </x:c>
      <x:c r="M632" s="61"/>
    </x:row>
    <x:row r="633">
      <x:c r="A633" s="61" t="str">
        <x:f>IF(E633="","",MAX($A$6:A632)+1)</x:f>
      </x:c>
      <x:c r="B633" s="61"/>
      <x:c r="C633" s="61"/>
      <x:c r="D633" s="62"/>
      <x:c r="E633" s="61"/>
      <x:c r="F633" s="61"/>
      <x:c r="G633" s="63"/>
      <x:c r="H633" s="63">
        <x:f t="shared" si="47"/>
        <x:v>0</x:v>
      </x:c>
      <x:c r="I633" s="64"/>
      <x:c r="J633" s="63">
        <x:f t="shared" si="48"/>
        <x:v>0</x:v>
      </x:c>
      <x:c r="K633" s="63" t="str">
        <x:f t="shared" si="50"/>
      </x:c>
      <x:c r="L633" s="63">
        <x:f t="shared" si="49"/>
        <x:v>0</x:v>
      </x:c>
      <x:c r="M633" s="61"/>
    </x:row>
    <x:row r="634">
      <x:c r="A634" s="61" t="str">
        <x:f>IF(E634="","",MAX($A$6:A633)+1)</x:f>
      </x:c>
      <x:c r="B634" s="61"/>
      <x:c r="C634" s="61"/>
      <x:c r="D634" s="62"/>
      <x:c r="E634" s="61"/>
      <x:c r="F634" s="61"/>
      <x:c r="G634" s="63"/>
      <x:c r="H634" s="63">
        <x:f t="shared" si="47"/>
        <x:v>0</x:v>
      </x:c>
      <x:c r="I634" s="64"/>
      <x:c r="J634" s="63">
        <x:f t="shared" si="48"/>
        <x:v>0</x:v>
      </x:c>
      <x:c r="K634" s="63" t="str">
        <x:f t="shared" si="50"/>
      </x:c>
      <x:c r="L634" s="63">
        <x:f t="shared" si="49"/>
        <x:v>0</x:v>
      </x:c>
      <x:c r="M634" s="61"/>
    </x:row>
    <x:row r="635">
      <x:c r="A635" s="61" t="str">
        <x:f>IF(E635="","",MAX($A$6:A634)+1)</x:f>
      </x:c>
      <x:c r="B635" s="61"/>
      <x:c r="C635" s="61"/>
      <x:c r="D635" s="62"/>
      <x:c r="E635" s="61"/>
      <x:c r="F635" s="61"/>
      <x:c r="G635" s="63"/>
      <x:c r="H635" s="63">
        <x:f t="shared" si="47"/>
        <x:v>0</x:v>
      </x:c>
      <x:c r="I635" s="64"/>
      <x:c r="J635" s="63">
        <x:f t="shared" si="48"/>
        <x:v>0</x:v>
      </x:c>
      <x:c r="K635" s="63" t="str">
        <x:f t="shared" si="50"/>
      </x:c>
      <x:c r="L635" s="63">
        <x:f t="shared" si="49"/>
        <x:v>0</x:v>
      </x:c>
      <x:c r="M635" s="61"/>
    </x:row>
    <x:row r="636">
      <x:c r="A636" s="61" t="str">
        <x:f>IF(E636="","",MAX($A$6:A635)+1)</x:f>
      </x:c>
      <x:c r="B636" s="61"/>
      <x:c r="C636" s="61"/>
      <x:c r="D636" s="62"/>
      <x:c r="E636" s="61"/>
      <x:c r="F636" s="61"/>
      <x:c r="G636" s="63"/>
      <x:c r="H636" s="63">
        <x:f t="shared" si="47"/>
        <x:v>0</x:v>
      </x:c>
      <x:c r="I636" s="64"/>
      <x:c r="J636" s="63">
        <x:f t="shared" si="48"/>
        <x:v>0</x:v>
      </x:c>
      <x:c r="K636" s="63" t="str">
        <x:f t="shared" si="50"/>
      </x:c>
      <x:c r="L636" s="63">
        <x:f t="shared" si="49"/>
        <x:v>0</x:v>
      </x:c>
      <x:c r="M636" s="61"/>
    </x:row>
    <x:row r="637">
      <x:c r="A637" s="61" t="str">
        <x:f>IF(E637="","",MAX($A$6:A636)+1)</x:f>
      </x:c>
      <x:c r="B637" s="61"/>
      <x:c r="C637" s="61"/>
      <x:c r="D637" s="62"/>
      <x:c r="E637" s="61"/>
      <x:c r="F637" s="61"/>
      <x:c r="G637" s="63"/>
      <x:c r="H637" s="63">
        <x:f t="shared" si="47"/>
        <x:v>0</x:v>
      </x:c>
      <x:c r="I637" s="64"/>
      <x:c r="J637" s="63">
        <x:f t="shared" si="48"/>
        <x:v>0</x:v>
      </x:c>
      <x:c r="K637" s="63" t="str">
        <x:f t="shared" si="50"/>
      </x:c>
      <x:c r="L637" s="63">
        <x:f t="shared" si="49"/>
        <x:v>0</x:v>
      </x:c>
      <x:c r="M637" s="61"/>
    </x:row>
    <x:row r="638">
      <x:c r="A638" s="61" t="str">
        <x:f>IF(E638="","",MAX($A$6:A637)+1)</x:f>
      </x:c>
      <x:c r="B638" s="61"/>
      <x:c r="C638" s="61"/>
      <x:c r="D638" s="62"/>
      <x:c r="E638" s="61"/>
      <x:c r="F638" s="61"/>
      <x:c r="G638" s="63"/>
      <x:c r="H638" s="63">
        <x:f t="shared" si="47"/>
        <x:v>0</x:v>
      </x:c>
      <x:c r="I638" s="64"/>
      <x:c r="J638" s="63">
        <x:f t="shared" si="48"/>
        <x:v>0</x:v>
      </x:c>
      <x:c r="K638" s="63" t="str">
        <x:f t="shared" si="50"/>
      </x:c>
      <x:c r="L638" s="63">
        <x:f t="shared" si="49"/>
        <x:v>0</x:v>
      </x:c>
      <x:c r="M638" s="61"/>
    </x:row>
    <x:row r="639">
      <x:c r="A639" s="61" t="str">
        <x:f>IF(E639="","",MAX($A$6:A638)+1)</x:f>
      </x:c>
      <x:c r="B639" s="61"/>
      <x:c r="C639" s="61"/>
      <x:c r="D639" s="62"/>
      <x:c r="E639" s="61"/>
      <x:c r="F639" s="61"/>
      <x:c r="G639" s="63"/>
      <x:c r="H639" s="63">
        <x:f t="shared" si="47"/>
        <x:v>0</x:v>
      </x:c>
      <x:c r="I639" s="64"/>
      <x:c r="J639" s="63">
        <x:f t="shared" si="48"/>
        <x:v>0</x:v>
      </x:c>
      <x:c r="K639" s="63" t="str">
        <x:f t="shared" si="50"/>
      </x:c>
      <x:c r="L639" s="63">
        <x:f t="shared" si="49"/>
        <x:v>0</x:v>
      </x:c>
      <x:c r="M639" s="61"/>
    </x:row>
    <x:row r="640">
      <x:c r="A640" s="61" t="str">
        <x:f>IF(E640="","",MAX($A$6:A639)+1)</x:f>
      </x:c>
      <x:c r="B640" s="61"/>
      <x:c r="C640" s="61"/>
      <x:c r="D640" s="62"/>
      <x:c r="E640" s="61"/>
      <x:c r="F640" s="61"/>
      <x:c r="G640" s="63"/>
      <x:c r="H640" s="63">
        <x:f t="shared" si="47"/>
        <x:v>0</x:v>
      </x:c>
      <x:c r="I640" s="64"/>
      <x:c r="J640" s="63">
        <x:f t="shared" si="48"/>
        <x:v>0</x:v>
      </x:c>
      <x:c r="K640" s="63" t="str">
        <x:f t="shared" si="50"/>
      </x:c>
      <x:c r="L640" s="63">
        <x:f t="shared" si="49"/>
        <x:v>0</x:v>
      </x:c>
      <x:c r="M640" s="61"/>
    </x:row>
    <x:row r="641">
      <x:c r="A641" s="61" t="str">
        <x:f>IF(E641="","",MAX($A$6:A640)+1)</x:f>
      </x:c>
      <x:c r="B641" s="61"/>
      <x:c r="C641" s="61"/>
      <x:c r="D641" s="62"/>
      <x:c r="E641" s="61"/>
      <x:c r="F641" s="61"/>
      <x:c r="G641" s="63"/>
      <x:c r="H641" s="63">
        <x:f t="shared" si="47"/>
        <x:v>0</x:v>
      </x:c>
      <x:c r="I641" s="64"/>
      <x:c r="J641" s="63">
        <x:f t="shared" si="48"/>
        <x:v>0</x:v>
      </x:c>
      <x:c r="K641" s="63" t="str">
        <x:f t="shared" si="50"/>
      </x:c>
      <x:c r="L641" s="63">
        <x:f t="shared" si="49"/>
        <x:v>0</x:v>
      </x:c>
      <x:c r="M641" s="61"/>
    </x:row>
    <x:row r="642">
      <x:c r="A642" s="61" t="str">
        <x:f>IF(E642="","",MAX($A$6:A641)+1)</x:f>
      </x:c>
      <x:c r="B642" s="61"/>
      <x:c r="C642" s="61"/>
      <x:c r="D642" s="62"/>
      <x:c r="E642" s="61"/>
      <x:c r="F642" s="61"/>
      <x:c r="G642" s="63"/>
      <x:c r="H642" s="63">
        <x:f t="shared" si="47"/>
        <x:v>0</x:v>
      </x:c>
      <x:c r="I642" s="64"/>
      <x:c r="J642" s="63">
        <x:f t="shared" si="48"/>
        <x:v>0</x:v>
      </x:c>
      <x:c r="K642" s="63" t="str">
        <x:f t="shared" si="50"/>
      </x:c>
      <x:c r="L642" s="63">
        <x:f t="shared" si="49"/>
        <x:v>0</x:v>
      </x:c>
      <x:c r="M642" s="61"/>
    </x:row>
    <x:row r="643">
      <x:c r="A643" s="61" t="str">
        <x:f>IF(E643="","",MAX($A$6:A642)+1)</x:f>
      </x:c>
      <x:c r="B643" s="61"/>
      <x:c r="C643" s="61"/>
      <x:c r="D643" s="62"/>
      <x:c r="E643" s="61"/>
      <x:c r="F643" s="61"/>
      <x:c r="G643" s="63"/>
      <x:c r="H643" s="63">
        <x:f t="shared" si="47"/>
        <x:v>0</x:v>
      </x:c>
      <x:c r="I643" s="64"/>
      <x:c r="J643" s="63">
        <x:f t="shared" si="48"/>
        <x:v>0</x:v>
      </x:c>
      <x:c r="K643" s="63" t="str">
        <x:f t="shared" si="50"/>
      </x:c>
      <x:c r="L643" s="63">
        <x:f t="shared" si="49"/>
        <x:v>0</x:v>
      </x:c>
      <x:c r="M643" s="61"/>
    </x:row>
    <x:row r="644">
      <x:c r="A644" s="61" t="str">
        <x:f>IF(E644="","",MAX($A$6:A643)+1)</x:f>
      </x:c>
      <x:c r="B644" s="61"/>
      <x:c r="C644" s="61"/>
      <x:c r="D644" s="62"/>
      <x:c r="E644" s="61"/>
      <x:c r="F644" s="61"/>
      <x:c r="G644" s="63"/>
      <x:c r="H644" s="63">
        <x:f t="shared" si="47"/>
        <x:v>0</x:v>
      </x:c>
      <x:c r="I644" s="64"/>
      <x:c r="J644" s="63">
        <x:f t="shared" si="48"/>
        <x:v>0</x:v>
      </x:c>
      <x:c r="K644" s="63" t="str">
        <x:f t="shared" si="50"/>
      </x:c>
      <x:c r="L644" s="63">
        <x:f t="shared" si="49"/>
        <x:v>0</x:v>
      </x:c>
      <x:c r="M644" s="61"/>
    </x:row>
    <x:row r="645">
      <x:c r="A645" s="61" t="str">
        <x:f>IF(E645="","",MAX($A$6:A644)+1)</x:f>
      </x:c>
      <x:c r="B645" s="61"/>
      <x:c r="C645" s="61"/>
      <x:c r="D645" s="62"/>
      <x:c r="E645" s="61"/>
      <x:c r="F645" s="61"/>
      <x:c r="G645" s="63"/>
      <x:c r="H645" s="63">
        <x:f t="shared" si="47"/>
        <x:v>0</x:v>
      </x:c>
      <x:c r="I645" s="64"/>
      <x:c r="J645" s="63">
        <x:f t="shared" si="48"/>
        <x:v>0</x:v>
      </x:c>
      <x:c r="K645" s="63" t="str">
        <x:f t="shared" si="50"/>
      </x:c>
      <x:c r="L645" s="63">
        <x:f t="shared" si="49"/>
        <x:v>0</x:v>
      </x:c>
      <x:c r="M645" s="61"/>
    </x:row>
    <x:row r="646">
      <x:c r="A646" s="61" t="str">
        <x:f>IF(E646="","",MAX($A$6:A645)+1)</x:f>
      </x:c>
      <x:c r="B646" s="61"/>
      <x:c r="C646" s="61"/>
      <x:c r="D646" s="62"/>
      <x:c r="E646" s="61"/>
      <x:c r="F646" s="61"/>
      <x:c r="G646" s="63"/>
      <x:c r="H646" s="63" t="n">
        <x:f t="shared" ref="H646:H709" si="51">IFERROR(IF(OR($F$1="",D646=""),0,MAX(0,$F$1-D646)),0)</x:f>
        <x:v>0</x:v>
      </x:c>
      <x:c r="I646" s="64"/>
      <x:c r="J646" s="63" t="n">
        <x:f t="shared" ref="J646:J709" si="52">IFERROR(IF(OR(G646="",I646="",D646="",$F$1=""),0,IF($F$1&lt;D646,0,MIN(MAX(G646-1,0),MAX(0,(G646*I646/365)*H646)))),0)</x:f>
        <x:v>0</x:v>
      </x:c>
      <x:c r="K646" s="63" t="str">
        <x:f t="shared" si="50"/>
      </x:c>
      <x:c r="L646" s="63" t="n">
        <x:f t="shared" ref="L646:L709" si="53">IFERROR(IF(OR(G646="",I646="",D646="",$F$1=""),0,IF($F$1&lt;D646,0,IF(K646&lt;=1,0,MIN(G646*I646/12,K646-1)))),0)</x:f>
        <x:v>0</x:v>
      </x:c>
      <x:c r="M646" s="61"/>
    </x:row>
    <x:row r="647">
      <x:c r="A647" s="61" t="str">
        <x:f>IF(E647="","",MAX($A$6:A646)+1)</x:f>
      </x:c>
      <x:c r="B647" s="61"/>
      <x:c r="C647" s="61"/>
      <x:c r="D647" s="62"/>
      <x:c r="E647" s="61"/>
      <x:c r="F647" s="61"/>
      <x:c r="G647" s="63"/>
      <x:c r="H647" s="63">
        <x:f t="shared" si="51"/>
        <x:v>0</x:v>
      </x:c>
      <x:c r="I647" s="64"/>
      <x:c r="J647" s="63">
        <x:f t="shared" si="52"/>
        <x:v>0</x:v>
      </x:c>
      <x:c r="K647" s="63" t="str">
        <x:f t="shared" si="50"/>
      </x:c>
      <x:c r="L647" s="63">
        <x:f t="shared" si="53"/>
        <x:v>0</x:v>
      </x:c>
      <x:c r="M647" s="61"/>
    </x:row>
    <x:row r="648">
      <x:c r="A648" s="61" t="str">
        <x:f>IF(E648="","",MAX($A$6:A647)+1)</x:f>
      </x:c>
      <x:c r="B648" s="61"/>
      <x:c r="C648" s="61"/>
      <x:c r="D648" s="62"/>
      <x:c r="E648" s="61"/>
      <x:c r="F648" s="61"/>
      <x:c r="G648" s="63"/>
      <x:c r="H648" s="63">
        <x:f t="shared" si="51"/>
        <x:v>0</x:v>
      </x:c>
      <x:c r="I648" s="64"/>
      <x:c r="J648" s="63">
        <x:f t="shared" si="52"/>
        <x:v>0</x:v>
      </x:c>
      <x:c r="K648" s="63" t="str">
        <x:f t="shared" si="50"/>
      </x:c>
      <x:c r="L648" s="63">
        <x:f t="shared" si="53"/>
        <x:v>0</x:v>
      </x:c>
      <x:c r="M648" s="61"/>
    </x:row>
    <x:row r="649">
      <x:c r="A649" s="61" t="str">
        <x:f>IF(E649="","",MAX($A$6:A648)+1)</x:f>
      </x:c>
      <x:c r="B649" s="61"/>
      <x:c r="C649" s="61"/>
      <x:c r="D649" s="62"/>
      <x:c r="E649" s="61"/>
      <x:c r="F649" s="61"/>
      <x:c r="G649" s="63"/>
      <x:c r="H649" s="63">
        <x:f t="shared" si="51"/>
        <x:v>0</x:v>
      </x:c>
      <x:c r="I649" s="64"/>
      <x:c r="J649" s="63">
        <x:f t="shared" si="52"/>
        <x:v>0</x:v>
      </x:c>
      <x:c r="K649" s="63" t="str">
        <x:f t="shared" si="50"/>
      </x:c>
      <x:c r="L649" s="63">
        <x:f t="shared" si="53"/>
        <x:v>0</x:v>
      </x:c>
      <x:c r="M649" s="61"/>
    </x:row>
    <x:row r="650">
      <x:c r="A650" s="61" t="str">
        <x:f>IF(E650="","",MAX($A$6:A649)+1)</x:f>
      </x:c>
      <x:c r="B650" s="61"/>
      <x:c r="C650" s="61"/>
      <x:c r="D650" s="62"/>
      <x:c r="E650" s="61"/>
      <x:c r="F650" s="61"/>
      <x:c r="G650" s="63"/>
      <x:c r="H650" s="63">
        <x:f t="shared" si="51"/>
        <x:v>0</x:v>
      </x:c>
      <x:c r="I650" s="64"/>
      <x:c r="J650" s="63">
        <x:f t="shared" si="52"/>
        <x:v>0</x:v>
      </x:c>
      <x:c r="K650" s="63" t="str">
        <x:f t="shared" si="50"/>
      </x:c>
      <x:c r="L650" s="63">
        <x:f t="shared" si="53"/>
        <x:v>0</x:v>
      </x:c>
      <x:c r="M650" s="61"/>
    </x:row>
    <x:row r="651">
      <x:c r="A651" s="61" t="str">
        <x:f>IF(E651="","",MAX($A$6:A650)+1)</x:f>
      </x:c>
      <x:c r="B651" s="61"/>
      <x:c r="C651" s="61"/>
      <x:c r="D651" s="62"/>
      <x:c r="E651" s="61"/>
      <x:c r="F651" s="61"/>
      <x:c r="G651" s="63"/>
      <x:c r="H651" s="63">
        <x:f t="shared" si="51"/>
        <x:v>0</x:v>
      </x:c>
      <x:c r="I651" s="64"/>
      <x:c r="J651" s="63">
        <x:f t="shared" si="52"/>
        <x:v>0</x:v>
      </x:c>
      <x:c r="K651" s="63" t="str">
        <x:f t="shared" si="50"/>
      </x:c>
      <x:c r="L651" s="63">
        <x:f t="shared" si="53"/>
        <x:v>0</x:v>
      </x:c>
      <x:c r="M651" s="61"/>
    </x:row>
    <x:row r="652">
      <x:c r="A652" s="61" t="str">
        <x:f>IF(E652="","",MAX($A$6:A651)+1)</x:f>
      </x:c>
      <x:c r="B652" s="61"/>
      <x:c r="C652" s="61"/>
      <x:c r="D652" s="62"/>
      <x:c r="E652" s="61"/>
      <x:c r="F652" s="61"/>
      <x:c r="G652" s="63"/>
      <x:c r="H652" s="63">
        <x:f t="shared" si="51"/>
        <x:v>0</x:v>
      </x:c>
      <x:c r="I652" s="64"/>
      <x:c r="J652" s="63">
        <x:f t="shared" si="52"/>
        <x:v>0</x:v>
      </x:c>
      <x:c r="K652" s="63" t="str">
        <x:f t="shared" si="50"/>
      </x:c>
      <x:c r="L652" s="63">
        <x:f t="shared" si="53"/>
        <x:v>0</x:v>
      </x:c>
      <x:c r="M652" s="61"/>
    </x:row>
    <x:row r="653">
      <x:c r="A653" s="61" t="str">
        <x:f>IF(E653="","",MAX($A$6:A652)+1)</x:f>
      </x:c>
      <x:c r="B653" s="61"/>
      <x:c r="C653" s="61"/>
      <x:c r="D653" s="62"/>
      <x:c r="E653" s="61"/>
      <x:c r="F653" s="61"/>
      <x:c r="G653" s="63"/>
      <x:c r="H653" s="63">
        <x:f t="shared" si="51"/>
        <x:v>0</x:v>
      </x:c>
      <x:c r="I653" s="64"/>
      <x:c r="J653" s="63">
        <x:f t="shared" si="52"/>
        <x:v>0</x:v>
      </x:c>
      <x:c r="K653" s="63" t="str">
        <x:f t="shared" si="50"/>
      </x:c>
      <x:c r="L653" s="63">
        <x:f t="shared" si="53"/>
        <x:v>0</x:v>
      </x:c>
      <x:c r="M653" s="61"/>
    </x:row>
    <x:row r="654">
      <x:c r="A654" s="61" t="str">
        <x:f>IF(E654="","",MAX($A$6:A653)+1)</x:f>
      </x:c>
      <x:c r="B654" s="61"/>
      <x:c r="C654" s="61"/>
      <x:c r="D654" s="62"/>
      <x:c r="E654" s="61"/>
      <x:c r="F654" s="61"/>
      <x:c r="G654" s="63"/>
      <x:c r="H654" s="63">
        <x:f t="shared" si="51"/>
        <x:v>0</x:v>
      </x:c>
      <x:c r="I654" s="64"/>
      <x:c r="J654" s="63">
        <x:f t="shared" si="52"/>
        <x:v>0</x:v>
      </x:c>
      <x:c r="K654" s="63" t="str">
        <x:f t="shared" si="50"/>
      </x:c>
      <x:c r="L654" s="63">
        <x:f t="shared" si="53"/>
        <x:v>0</x:v>
      </x:c>
      <x:c r="M654" s="61"/>
    </x:row>
    <x:row r="655">
      <x:c r="A655" s="61" t="str">
        <x:f>IF(E655="","",MAX($A$6:A654)+1)</x:f>
      </x:c>
      <x:c r="B655" s="61"/>
      <x:c r="C655" s="61"/>
      <x:c r="D655" s="62"/>
      <x:c r="E655" s="61"/>
      <x:c r="F655" s="61"/>
      <x:c r="G655" s="63"/>
      <x:c r="H655" s="63">
        <x:f t="shared" si="51"/>
        <x:v>0</x:v>
      </x:c>
      <x:c r="I655" s="64"/>
      <x:c r="J655" s="63">
        <x:f t="shared" si="52"/>
        <x:v>0</x:v>
      </x:c>
      <x:c r="K655" s="63" t="str">
        <x:f t="shared" si="50"/>
      </x:c>
      <x:c r="L655" s="63">
        <x:f t="shared" si="53"/>
        <x:v>0</x:v>
      </x:c>
      <x:c r="M655" s="61"/>
    </x:row>
    <x:row r="656">
      <x:c r="A656" s="61" t="str">
        <x:f>IF(E656="","",MAX($A$6:A655)+1)</x:f>
      </x:c>
      <x:c r="B656" s="61"/>
      <x:c r="C656" s="61"/>
      <x:c r="D656" s="62"/>
      <x:c r="E656" s="61"/>
      <x:c r="F656" s="61"/>
      <x:c r="G656" s="63"/>
      <x:c r="H656" s="63">
        <x:f t="shared" si="51"/>
        <x:v>0</x:v>
      </x:c>
      <x:c r="I656" s="64"/>
      <x:c r="J656" s="63">
        <x:f t="shared" si="52"/>
        <x:v>0</x:v>
      </x:c>
      <x:c r="K656" s="63" t="str">
        <x:f t="shared" si="50"/>
      </x:c>
      <x:c r="L656" s="63">
        <x:f t="shared" si="53"/>
        <x:v>0</x:v>
      </x:c>
      <x:c r="M656" s="61"/>
    </x:row>
    <x:row r="657">
      <x:c r="A657" s="61" t="str">
        <x:f>IF(E657="","",MAX($A$6:A656)+1)</x:f>
      </x:c>
      <x:c r="B657" s="61"/>
      <x:c r="C657" s="61"/>
      <x:c r="D657" s="62"/>
      <x:c r="E657" s="61"/>
      <x:c r="F657" s="61"/>
      <x:c r="G657" s="63"/>
      <x:c r="H657" s="63">
        <x:f t="shared" si="51"/>
        <x:v>0</x:v>
      </x:c>
      <x:c r="I657" s="64"/>
      <x:c r="J657" s="63">
        <x:f t="shared" si="52"/>
        <x:v>0</x:v>
      </x:c>
      <x:c r="K657" s="63" t="str">
        <x:f t="shared" si="50"/>
      </x:c>
      <x:c r="L657" s="63">
        <x:f t="shared" si="53"/>
        <x:v>0</x:v>
      </x:c>
      <x:c r="M657" s="61"/>
    </x:row>
    <x:row r="658">
      <x:c r="A658" s="61" t="str">
        <x:f>IF(E658="","",MAX($A$6:A657)+1)</x:f>
      </x:c>
      <x:c r="B658" s="61"/>
      <x:c r="C658" s="61"/>
      <x:c r="D658" s="62"/>
      <x:c r="E658" s="61"/>
      <x:c r="F658" s="61"/>
      <x:c r="G658" s="63"/>
      <x:c r="H658" s="63">
        <x:f t="shared" si="51"/>
        <x:v>0</x:v>
      </x:c>
      <x:c r="I658" s="64"/>
      <x:c r="J658" s="63">
        <x:f t="shared" si="52"/>
        <x:v>0</x:v>
      </x:c>
      <x:c r="K658" s="63" t="str">
        <x:f t="shared" si="50"/>
      </x:c>
      <x:c r="L658" s="63">
        <x:f t="shared" si="53"/>
        <x:v>0</x:v>
      </x:c>
      <x:c r="M658" s="61"/>
    </x:row>
    <x:row r="659">
      <x:c r="A659" s="61" t="str">
        <x:f>IF(E659="","",MAX($A$6:A658)+1)</x:f>
      </x:c>
      <x:c r="B659" s="61"/>
      <x:c r="C659" s="61"/>
      <x:c r="D659" s="62"/>
      <x:c r="E659" s="61"/>
      <x:c r="F659" s="61"/>
      <x:c r="G659" s="63"/>
      <x:c r="H659" s="63">
        <x:f t="shared" si="51"/>
        <x:v>0</x:v>
      </x:c>
      <x:c r="I659" s="64"/>
      <x:c r="J659" s="63">
        <x:f t="shared" si="52"/>
        <x:v>0</x:v>
      </x:c>
      <x:c r="K659" s="63" t="str">
        <x:f t="shared" si="50"/>
      </x:c>
      <x:c r="L659" s="63">
        <x:f t="shared" si="53"/>
        <x:v>0</x:v>
      </x:c>
      <x:c r="M659" s="61"/>
    </x:row>
    <x:row r="660">
      <x:c r="A660" s="61" t="str">
        <x:f>IF(E660="","",MAX($A$6:A659)+1)</x:f>
      </x:c>
      <x:c r="B660" s="61"/>
      <x:c r="C660" s="61"/>
      <x:c r="D660" s="62"/>
      <x:c r="E660" s="61"/>
      <x:c r="F660" s="61"/>
      <x:c r="G660" s="63"/>
      <x:c r="H660" s="63">
        <x:f t="shared" si="51"/>
        <x:v>0</x:v>
      </x:c>
      <x:c r="I660" s="64"/>
      <x:c r="J660" s="63">
        <x:f t="shared" si="52"/>
        <x:v>0</x:v>
      </x:c>
      <x:c r="K660" s="63" t="str">
        <x:f t="shared" si="50"/>
      </x:c>
      <x:c r="L660" s="63">
        <x:f t="shared" si="53"/>
        <x:v>0</x:v>
      </x:c>
      <x:c r="M660" s="61"/>
    </x:row>
    <x:row r="661">
      <x:c r="A661" s="61" t="str">
        <x:f>IF(E661="","",MAX($A$6:A660)+1)</x:f>
      </x:c>
      <x:c r="B661" s="61"/>
      <x:c r="C661" s="61"/>
      <x:c r="D661" s="62"/>
      <x:c r="E661" s="61"/>
      <x:c r="F661" s="61"/>
      <x:c r="G661" s="63"/>
      <x:c r="H661" s="63">
        <x:f t="shared" si="51"/>
        <x:v>0</x:v>
      </x:c>
      <x:c r="I661" s="64"/>
      <x:c r="J661" s="63">
        <x:f t="shared" si="52"/>
        <x:v>0</x:v>
      </x:c>
      <x:c r="K661" s="63" t="str">
        <x:f t="shared" si="50"/>
      </x:c>
      <x:c r="L661" s="63">
        <x:f t="shared" si="53"/>
        <x:v>0</x:v>
      </x:c>
      <x:c r="M661" s="61"/>
    </x:row>
    <x:row r="662">
      <x:c r="A662" s="61" t="str">
        <x:f>IF(E662="","",MAX($A$6:A661)+1)</x:f>
      </x:c>
      <x:c r="B662" s="61"/>
      <x:c r="C662" s="61"/>
      <x:c r="D662" s="62"/>
      <x:c r="E662" s="61"/>
      <x:c r="F662" s="61"/>
      <x:c r="G662" s="63"/>
      <x:c r="H662" s="63">
        <x:f t="shared" si="51"/>
        <x:v>0</x:v>
      </x:c>
      <x:c r="I662" s="64"/>
      <x:c r="J662" s="63">
        <x:f t="shared" si="52"/>
        <x:v>0</x:v>
      </x:c>
      <x:c r="K662" s="63" t="str">
        <x:f t="shared" si="50"/>
      </x:c>
      <x:c r="L662" s="63">
        <x:f t="shared" si="53"/>
        <x:v>0</x:v>
      </x:c>
      <x:c r="M662" s="61"/>
    </x:row>
    <x:row r="663">
      <x:c r="A663" s="61" t="str">
        <x:f>IF(E663="","",MAX($A$6:A662)+1)</x:f>
      </x:c>
      <x:c r="B663" s="61"/>
      <x:c r="C663" s="61"/>
      <x:c r="D663" s="62"/>
      <x:c r="E663" s="61"/>
      <x:c r="F663" s="61"/>
      <x:c r="G663" s="63"/>
      <x:c r="H663" s="63">
        <x:f t="shared" si="51"/>
        <x:v>0</x:v>
      </x:c>
      <x:c r="I663" s="64"/>
      <x:c r="J663" s="63">
        <x:f t="shared" si="52"/>
        <x:v>0</x:v>
      </x:c>
      <x:c r="K663" s="63" t="str">
        <x:f t="shared" si="50"/>
      </x:c>
      <x:c r="L663" s="63">
        <x:f t="shared" si="53"/>
        <x:v>0</x:v>
      </x:c>
      <x:c r="M663" s="61"/>
    </x:row>
    <x:row r="664">
      <x:c r="A664" s="61" t="str">
        <x:f>IF(E664="","",MAX($A$6:A663)+1)</x:f>
      </x:c>
      <x:c r="B664" s="61"/>
      <x:c r="C664" s="61"/>
      <x:c r="D664" s="62"/>
      <x:c r="E664" s="61"/>
      <x:c r="F664" s="61"/>
      <x:c r="G664" s="63"/>
      <x:c r="H664" s="63">
        <x:f t="shared" si="51"/>
        <x:v>0</x:v>
      </x:c>
      <x:c r="I664" s="64"/>
      <x:c r="J664" s="63">
        <x:f t="shared" si="52"/>
        <x:v>0</x:v>
      </x:c>
      <x:c r="K664" s="63" t="str">
        <x:f t="shared" si="50"/>
      </x:c>
      <x:c r="L664" s="63">
        <x:f t="shared" si="53"/>
        <x:v>0</x:v>
      </x:c>
      <x:c r="M664" s="61"/>
    </x:row>
    <x:row r="665">
      <x:c r="A665" s="61" t="str">
        <x:f>IF(E665="","",MAX($A$6:A664)+1)</x:f>
      </x:c>
      <x:c r="B665" s="61"/>
      <x:c r="C665" s="61"/>
      <x:c r="D665" s="62"/>
      <x:c r="E665" s="61"/>
      <x:c r="F665" s="61"/>
      <x:c r="G665" s="63"/>
      <x:c r="H665" s="63">
        <x:f t="shared" si="51"/>
        <x:v>0</x:v>
      </x:c>
      <x:c r="I665" s="64"/>
      <x:c r="J665" s="63">
        <x:f t="shared" si="52"/>
        <x:v>0</x:v>
      </x:c>
      <x:c r="K665" s="63" t="str">
        <x:f t="shared" si="50"/>
      </x:c>
      <x:c r="L665" s="63">
        <x:f t="shared" si="53"/>
        <x:v>0</x:v>
      </x:c>
      <x:c r="M665" s="61"/>
    </x:row>
    <x:row r="666">
      <x:c r="A666" s="61" t="str">
        <x:f>IF(E666="","",MAX($A$6:A665)+1)</x:f>
      </x:c>
      <x:c r="B666" s="61"/>
      <x:c r="C666" s="61"/>
      <x:c r="D666" s="62"/>
      <x:c r="E666" s="61"/>
      <x:c r="F666" s="61"/>
      <x:c r="G666" s="63"/>
      <x:c r="H666" s="63">
        <x:f t="shared" si="51"/>
        <x:v>0</x:v>
      </x:c>
      <x:c r="I666" s="64"/>
      <x:c r="J666" s="63">
        <x:f t="shared" si="52"/>
        <x:v>0</x:v>
      </x:c>
      <x:c r="K666" s="63" t="str">
        <x:f t="shared" si="50"/>
      </x:c>
      <x:c r="L666" s="63">
        <x:f t="shared" si="53"/>
        <x:v>0</x:v>
      </x:c>
      <x:c r="M666" s="61"/>
    </x:row>
    <x:row r="667">
      <x:c r="A667" s="61" t="str">
        <x:f>IF(E667="","",MAX($A$6:A666)+1)</x:f>
      </x:c>
      <x:c r="B667" s="61"/>
      <x:c r="C667" s="61"/>
      <x:c r="D667" s="62"/>
      <x:c r="E667" s="61"/>
      <x:c r="F667" s="61"/>
      <x:c r="G667" s="63"/>
      <x:c r="H667" s="63">
        <x:f t="shared" si="51"/>
        <x:v>0</x:v>
      </x:c>
      <x:c r="I667" s="64"/>
      <x:c r="J667" s="63">
        <x:f t="shared" si="52"/>
        <x:v>0</x:v>
      </x:c>
      <x:c r="K667" s="63" t="str">
        <x:f t="shared" si="50"/>
      </x:c>
      <x:c r="L667" s="63">
        <x:f t="shared" si="53"/>
        <x:v>0</x:v>
      </x:c>
      <x:c r="M667" s="61"/>
    </x:row>
    <x:row r="668">
      <x:c r="A668" s="61" t="str">
        <x:f>IF(E668="","",MAX($A$6:A667)+1)</x:f>
      </x:c>
      <x:c r="B668" s="61"/>
      <x:c r="C668" s="61"/>
      <x:c r="D668" s="62"/>
      <x:c r="E668" s="61"/>
      <x:c r="F668" s="61"/>
      <x:c r="G668" s="63"/>
      <x:c r="H668" s="63">
        <x:f t="shared" si="51"/>
        <x:v>0</x:v>
      </x:c>
      <x:c r="I668" s="64"/>
      <x:c r="J668" s="63">
        <x:f t="shared" si="52"/>
        <x:v>0</x:v>
      </x:c>
      <x:c r="K668" s="63" t="str">
        <x:f t="shared" si="50"/>
      </x:c>
      <x:c r="L668" s="63">
        <x:f t="shared" si="53"/>
        <x:v>0</x:v>
      </x:c>
      <x:c r="M668" s="61"/>
    </x:row>
    <x:row r="669">
      <x:c r="A669" s="61" t="str">
        <x:f>IF(E669="","",MAX($A$6:A668)+1)</x:f>
      </x:c>
      <x:c r="B669" s="61"/>
      <x:c r="C669" s="61"/>
      <x:c r="D669" s="62"/>
      <x:c r="E669" s="61"/>
      <x:c r="F669" s="61"/>
      <x:c r="G669" s="63"/>
      <x:c r="H669" s="63">
        <x:f t="shared" si="51"/>
        <x:v>0</x:v>
      </x:c>
      <x:c r="I669" s="64"/>
      <x:c r="J669" s="63">
        <x:f t="shared" si="52"/>
        <x:v>0</x:v>
      </x:c>
      <x:c r="K669" s="63" t="str">
        <x:f t="shared" si="50"/>
      </x:c>
      <x:c r="L669" s="63">
        <x:f t="shared" si="53"/>
        <x:v>0</x:v>
      </x:c>
      <x:c r="M669" s="61"/>
    </x:row>
    <x:row r="670">
      <x:c r="A670" s="61" t="str">
        <x:f>IF(E670="","",MAX($A$6:A669)+1)</x:f>
      </x:c>
      <x:c r="B670" s="61"/>
      <x:c r="C670" s="61"/>
      <x:c r="D670" s="62"/>
      <x:c r="E670" s="61"/>
      <x:c r="F670" s="61"/>
      <x:c r="G670" s="63"/>
      <x:c r="H670" s="63">
        <x:f t="shared" si="51"/>
        <x:v>0</x:v>
      </x:c>
      <x:c r="I670" s="64"/>
      <x:c r="J670" s="63">
        <x:f t="shared" si="52"/>
        <x:v>0</x:v>
      </x:c>
      <x:c r="K670" s="63" t="str">
        <x:f t="shared" si="50"/>
      </x:c>
      <x:c r="L670" s="63">
        <x:f t="shared" si="53"/>
        <x:v>0</x:v>
      </x:c>
      <x:c r="M670" s="61"/>
    </x:row>
    <x:row r="671">
      <x:c r="A671" s="61" t="str">
        <x:f>IF(E671="","",MAX($A$6:A670)+1)</x:f>
      </x:c>
      <x:c r="B671" s="61"/>
      <x:c r="C671" s="61"/>
      <x:c r="D671" s="62"/>
      <x:c r="E671" s="61"/>
      <x:c r="F671" s="61"/>
      <x:c r="G671" s="63"/>
      <x:c r="H671" s="63">
        <x:f t="shared" si="51"/>
        <x:v>0</x:v>
      </x:c>
      <x:c r="I671" s="64"/>
      <x:c r="J671" s="63">
        <x:f t="shared" si="52"/>
        <x:v>0</x:v>
      </x:c>
      <x:c r="K671" s="63" t="str">
        <x:f t="shared" si="50"/>
      </x:c>
      <x:c r="L671" s="63">
        <x:f t="shared" si="53"/>
        <x:v>0</x:v>
      </x:c>
      <x:c r="M671" s="61"/>
    </x:row>
    <x:row r="672">
      <x:c r="A672" s="61" t="str">
        <x:f>IF(E672="","",MAX($A$6:A671)+1)</x:f>
      </x:c>
      <x:c r="B672" s="61"/>
      <x:c r="C672" s="61"/>
      <x:c r="D672" s="62"/>
      <x:c r="E672" s="61"/>
      <x:c r="F672" s="61"/>
      <x:c r="G672" s="63"/>
      <x:c r="H672" s="63">
        <x:f t="shared" si="51"/>
        <x:v>0</x:v>
      </x:c>
      <x:c r="I672" s="64"/>
      <x:c r="J672" s="63">
        <x:f t="shared" si="52"/>
        <x:v>0</x:v>
      </x:c>
      <x:c r="K672" s="63" t="str">
        <x:f t="shared" si="50"/>
      </x:c>
      <x:c r="L672" s="63">
        <x:f t="shared" si="53"/>
        <x:v>0</x:v>
      </x:c>
      <x:c r="M672" s="61"/>
    </x:row>
    <x:row r="673">
      <x:c r="A673" s="61" t="str">
        <x:f>IF(E673="","",MAX($A$6:A672)+1)</x:f>
      </x:c>
      <x:c r="B673" s="61"/>
      <x:c r="C673" s="61"/>
      <x:c r="D673" s="62"/>
      <x:c r="E673" s="61"/>
      <x:c r="F673" s="61"/>
      <x:c r="G673" s="63"/>
      <x:c r="H673" s="63">
        <x:f t="shared" si="51"/>
        <x:v>0</x:v>
      </x:c>
      <x:c r="I673" s="64"/>
      <x:c r="J673" s="63">
        <x:f t="shared" si="52"/>
        <x:v>0</x:v>
      </x:c>
      <x:c r="K673" s="63" t="str">
        <x:f t="shared" si="50"/>
      </x:c>
      <x:c r="L673" s="63">
        <x:f t="shared" si="53"/>
        <x:v>0</x:v>
      </x:c>
      <x:c r="M673" s="61"/>
    </x:row>
    <x:row r="674">
      <x:c r="A674" s="61" t="str">
        <x:f>IF(E674="","",MAX($A$6:A673)+1)</x:f>
      </x:c>
      <x:c r="B674" s="61"/>
      <x:c r="C674" s="61"/>
      <x:c r="D674" s="62"/>
      <x:c r="E674" s="61"/>
      <x:c r="F674" s="61"/>
      <x:c r="G674" s="63"/>
      <x:c r="H674" s="63">
        <x:f t="shared" si="51"/>
        <x:v>0</x:v>
      </x:c>
      <x:c r="I674" s="64"/>
      <x:c r="J674" s="63">
        <x:f t="shared" si="52"/>
        <x:v>0</x:v>
      </x:c>
      <x:c r="K674" s="63" t="str">
        <x:f t="shared" si="50"/>
      </x:c>
      <x:c r="L674" s="63">
        <x:f t="shared" si="53"/>
        <x:v>0</x:v>
      </x:c>
      <x:c r="M674" s="61"/>
    </x:row>
    <x:row r="675">
      <x:c r="A675" s="61" t="str">
        <x:f>IF(E675="","",MAX($A$6:A674)+1)</x:f>
      </x:c>
      <x:c r="B675" s="61"/>
      <x:c r="C675" s="61"/>
      <x:c r="D675" s="62"/>
      <x:c r="E675" s="61"/>
      <x:c r="F675" s="61"/>
      <x:c r="G675" s="63"/>
      <x:c r="H675" s="63">
        <x:f t="shared" si="51"/>
        <x:v>0</x:v>
      </x:c>
      <x:c r="I675" s="64"/>
      <x:c r="J675" s="63">
        <x:f t="shared" si="52"/>
        <x:v>0</x:v>
      </x:c>
      <x:c r="K675" s="63" t="str">
        <x:f t="shared" si="50"/>
      </x:c>
      <x:c r="L675" s="63">
        <x:f t="shared" si="53"/>
        <x:v>0</x:v>
      </x:c>
      <x:c r="M675" s="61"/>
    </x:row>
    <x:row r="676">
      <x:c r="A676" s="61" t="str">
        <x:f>IF(E676="","",MAX($A$6:A675)+1)</x:f>
      </x:c>
      <x:c r="B676" s="61"/>
      <x:c r="C676" s="61"/>
      <x:c r="D676" s="62"/>
      <x:c r="E676" s="61"/>
      <x:c r="F676" s="61"/>
      <x:c r="G676" s="63"/>
      <x:c r="H676" s="63">
        <x:f t="shared" si="51"/>
        <x:v>0</x:v>
      </x:c>
      <x:c r="I676" s="64"/>
      <x:c r="J676" s="63">
        <x:f t="shared" si="52"/>
        <x:v>0</x:v>
      </x:c>
      <x:c r="K676" s="63" t="str">
        <x:f t="shared" si="50"/>
      </x:c>
      <x:c r="L676" s="63">
        <x:f t="shared" si="53"/>
        <x:v>0</x:v>
      </x:c>
      <x:c r="M676" s="61"/>
    </x:row>
    <x:row r="677">
      <x:c r="A677" s="61" t="str">
        <x:f>IF(E677="","",MAX($A$6:A676)+1)</x:f>
      </x:c>
      <x:c r="B677" s="61"/>
      <x:c r="C677" s="61"/>
      <x:c r="D677" s="62"/>
      <x:c r="E677" s="61"/>
      <x:c r="F677" s="61"/>
      <x:c r="G677" s="63"/>
      <x:c r="H677" s="63">
        <x:f t="shared" si="51"/>
        <x:v>0</x:v>
      </x:c>
      <x:c r="I677" s="64"/>
      <x:c r="J677" s="63">
        <x:f t="shared" si="52"/>
        <x:v>0</x:v>
      </x:c>
      <x:c r="K677" s="63" t="str">
        <x:f t="shared" si="50"/>
      </x:c>
      <x:c r="L677" s="63">
        <x:f t="shared" si="53"/>
        <x:v>0</x:v>
      </x:c>
      <x:c r="M677" s="61"/>
    </x:row>
    <x:row r="678">
      <x:c r="A678" s="61" t="str">
        <x:f>IF(E678="","",MAX($A$6:A677)+1)</x:f>
      </x:c>
      <x:c r="B678" s="61"/>
      <x:c r="C678" s="61"/>
      <x:c r="D678" s="62"/>
      <x:c r="E678" s="61"/>
      <x:c r="F678" s="61"/>
      <x:c r="G678" s="63"/>
      <x:c r="H678" s="63">
        <x:f t="shared" si="51"/>
        <x:v>0</x:v>
      </x:c>
      <x:c r="I678" s="64"/>
      <x:c r="J678" s="63">
        <x:f t="shared" si="52"/>
        <x:v>0</x:v>
      </x:c>
      <x:c r="K678" s="63" t="str">
        <x:f t="shared" si="50"/>
      </x:c>
      <x:c r="L678" s="63">
        <x:f t="shared" si="53"/>
        <x:v>0</x:v>
      </x:c>
      <x:c r="M678" s="61"/>
    </x:row>
    <x:row r="679">
      <x:c r="A679" s="61" t="str">
        <x:f>IF(E679="","",MAX($A$6:A678)+1)</x:f>
      </x:c>
      <x:c r="B679" s="61"/>
      <x:c r="C679" s="61"/>
      <x:c r="D679" s="62"/>
      <x:c r="E679" s="61"/>
      <x:c r="F679" s="61"/>
      <x:c r="G679" s="63"/>
      <x:c r="H679" s="63">
        <x:f t="shared" si="51"/>
        <x:v>0</x:v>
      </x:c>
      <x:c r="I679" s="64"/>
      <x:c r="J679" s="63">
        <x:f t="shared" si="52"/>
        <x:v>0</x:v>
      </x:c>
      <x:c r="K679" s="63" t="str">
        <x:f t="shared" si="50"/>
      </x:c>
      <x:c r="L679" s="63">
        <x:f t="shared" si="53"/>
        <x:v>0</x:v>
      </x:c>
      <x:c r="M679" s="61"/>
    </x:row>
    <x:row r="680">
      <x:c r="A680" s="61" t="str">
        <x:f>IF(E680="","",MAX($A$6:A679)+1)</x:f>
      </x:c>
      <x:c r="B680" s="61"/>
      <x:c r="C680" s="61"/>
      <x:c r="D680" s="62"/>
      <x:c r="E680" s="61"/>
      <x:c r="F680" s="61"/>
      <x:c r="G680" s="63"/>
      <x:c r="H680" s="63">
        <x:f t="shared" si="51"/>
        <x:v>0</x:v>
      </x:c>
      <x:c r="I680" s="64"/>
      <x:c r="J680" s="63">
        <x:f t="shared" si="52"/>
        <x:v>0</x:v>
      </x:c>
      <x:c r="K680" s="63" t="str">
        <x:f t="shared" si="50"/>
      </x:c>
      <x:c r="L680" s="63">
        <x:f t="shared" si="53"/>
        <x:v>0</x:v>
      </x:c>
      <x:c r="M680" s="61"/>
    </x:row>
    <x:row r="681">
      <x:c r="A681" s="61" t="str">
        <x:f>IF(E681="","",MAX($A$6:A680)+1)</x:f>
      </x:c>
      <x:c r="B681" s="61"/>
      <x:c r="C681" s="61"/>
      <x:c r="D681" s="62"/>
      <x:c r="E681" s="61"/>
      <x:c r="F681" s="61"/>
      <x:c r="G681" s="63"/>
      <x:c r="H681" s="63">
        <x:f t="shared" si="51"/>
        <x:v>0</x:v>
      </x:c>
      <x:c r="I681" s="64"/>
      <x:c r="J681" s="63">
        <x:f t="shared" si="52"/>
        <x:v>0</x:v>
      </x:c>
      <x:c r="K681" s="63" t="str">
        <x:f t="shared" si="50"/>
      </x:c>
      <x:c r="L681" s="63">
        <x:f t="shared" si="53"/>
        <x:v>0</x:v>
      </x:c>
      <x:c r="M681" s="61"/>
    </x:row>
    <x:row r="682">
      <x:c r="A682" s="61" t="str">
        <x:f>IF(E682="","",MAX($A$6:A681)+1)</x:f>
      </x:c>
      <x:c r="B682" s="61"/>
      <x:c r="C682" s="61"/>
      <x:c r="D682" s="62"/>
      <x:c r="E682" s="61"/>
      <x:c r="F682" s="61"/>
      <x:c r="G682" s="63"/>
      <x:c r="H682" s="63">
        <x:f t="shared" si="51"/>
        <x:v>0</x:v>
      </x:c>
      <x:c r="I682" s="64"/>
      <x:c r="J682" s="63">
        <x:f t="shared" si="52"/>
        <x:v>0</x:v>
      </x:c>
      <x:c r="K682" s="63" t="str">
        <x:f t="shared" si="50"/>
      </x:c>
      <x:c r="L682" s="63">
        <x:f t="shared" si="53"/>
        <x:v>0</x:v>
      </x:c>
      <x:c r="M682" s="61"/>
    </x:row>
    <x:row r="683">
      <x:c r="A683" s="61" t="str">
        <x:f>IF(E683="","",MAX($A$6:A682)+1)</x:f>
      </x:c>
      <x:c r="B683" s="61"/>
      <x:c r="C683" s="61"/>
      <x:c r="D683" s="62"/>
      <x:c r="E683" s="61"/>
      <x:c r="F683" s="61"/>
      <x:c r="G683" s="63"/>
      <x:c r="H683" s="63">
        <x:f t="shared" si="51"/>
        <x:v>0</x:v>
      </x:c>
      <x:c r="I683" s="64"/>
      <x:c r="J683" s="63">
        <x:f t="shared" si="52"/>
        <x:v>0</x:v>
      </x:c>
      <x:c r="K683" s="63" t="str">
        <x:f t="shared" si="50"/>
      </x:c>
      <x:c r="L683" s="63">
        <x:f t="shared" si="53"/>
        <x:v>0</x:v>
      </x:c>
      <x:c r="M683" s="61"/>
    </x:row>
    <x:row r="684">
      <x:c r="A684" s="61" t="str">
        <x:f>IF(E684="","",MAX($A$6:A683)+1)</x:f>
      </x:c>
      <x:c r="B684" s="61"/>
      <x:c r="C684" s="61"/>
      <x:c r="D684" s="62"/>
      <x:c r="E684" s="61"/>
      <x:c r="F684" s="61"/>
      <x:c r="G684" s="63"/>
      <x:c r="H684" s="63">
        <x:f t="shared" si="51"/>
        <x:v>0</x:v>
      </x:c>
      <x:c r="I684" s="64"/>
      <x:c r="J684" s="63">
        <x:f t="shared" si="52"/>
        <x:v>0</x:v>
      </x:c>
      <x:c r="K684" s="63" t="str">
        <x:f t="shared" si="50"/>
      </x:c>
      <x:c r="L684" s="63">
        <x:f t="shared" si="53"/>
        <x:v>0</x:v>
      </x:c>
      <x:c r="M684" s="61"/>
    </x:row>
    <x:row r="685">
      <x:c r="A685" s="61" t="str">
        <x:f>IF(E685="","",MAX($A$6:A684)+1)</x:f>
      </x:c>
      <x:c r="B685" s="61"/>
      <x:c r="C685" s="61"/>
      <x:c r="D685" s="62"/>
      <x:c r="E685" s="61"/>
      <x:c r="F685" s="61"/>
      <x:c r="G685" s="63"/>
      <x:c r="H685" s="63">
        <x:f t="shared" si="51"/>
        <x:v>0</x:v>
      </x:c>
      <x:c r="I685" s="64"/>
      <x:c r="J685" s="63">
        <x:f t="shared" si="52"/>
        <x:v>0</x:v>
      </x:c>
      <x:c r="K685" s="63" t="str">
        <x:f t="shared" si="50"/>
      </x:c>
      <x:c r="L685" s="63">
        <x:f t="shared" si="53"/>
        <x:v>0</x:v>
      </x:c>
      <x:c r="M685" s="61"/>
    </x:row>
    <x:row r="686">
      <x:c r="A686" s="61" t="str">
        <x:f>IF(E686="","",MAX($A$6:A685)+1)</x:f>
      </x:c>
      <x:c r="B686" s="61"/>
      <x:c r="C686" s="61"/>
      <x:c r="D686" s="62"/>
      <x:c r="E686" s="61"/>
      <x:c r="F686" s="61"/>
      <x:c r="G686" s="63"/>
      <x:c r="H686" s="63">
        <x:f t="shared" si="51"/>
        <x:v>0</x:v>
      </x:c>
      <x:c r="I686" s="64"/>
      <x:c r="J686" s="63">
        <x:f t="shared" si="52"/>
        <x:v>0</x:v>
      </x:c>
      <x:c r="K686" s="63" t="str">
        <x:f t="shared" si="50"/>
      </x:c>
      <x:c r="L686" s="63">
        <x:f t="shared" si="53"/>
        <x:v>0</x:v>
      </x:c>
      <x:c r="M686" s="61"/>
    </x:row>
    <x:row r="687">
      <x:c r="A687" s="61" t="str">
        <x:f>IF(E687="","",MAX($A$6:A686)+1)</x:f>
      </x:c>
      <x:c r="B687" s="61"/>
      <x:c r="C687" s="61"/>
      <x:c r="D687" s="62"/>
      <x:c r="E687" s="61"/>
      <x:c r="F687" s="61"/>
      <x:c r="G687" s="63"/>
      <x:c r="H687" s="63">
        <x:f t="shared" si="51"/>
        <x:v>0</x:v>
      </x:c>
      <x:c r="I687" s="64"/>
      <x:c r="J687" s="63">
        <x:f t="shared" si="52"/>
        <x:v>0</x:v>
      </x:c>
      <x:c r="K687" s="63" t="str">
        <x:f t="shared" si="50"/>
      </x:c>
      <x:c r="L687" s="63">
        <x:f t="shared" si="53"/>
        <x:v>0</x:v>
      </x:c>
      <x:c r="M687" s="61"/>
    </x:row>
    <x:row r="688">
      <x:c r="A688" s="61" t="str">
        <x:f>IF(E688="","",MAX($A$6:A687)+1)</x:f>
      </x:c>
      <x:c r="B688" s="61"/>
      <x:c r="C688" s="61"/>
      <x:c r="D688" s="62"/>
      <x:c r="E688" s="61"/>
      <x:c r="F688" s="61"/>
      <x:c r="G688" s="63"/>
      <x:c r="H688" s="63">
        <x:f t="shared" si="51"/>
        <x:v>0</x:v>
      </x:c>
      <x:c r="I688" s="64"/>
      <x:c r="J688" s="63">
        <x:f t="shared" si="52"/>
        <x:v>0</x:v>
      </x:c>
      <x:c r="K688" s="63" t="str">
        <x:f t="shared" si="50"/>
      </x:c>
      <x:c r="L688" s="63">
        <x:f t="shared" si="53"/>
        <x:v>0</x:v>
      </x:c>
      <x:c r="M688" s="61"/>
    </x:row>
    <x:row r="689">
      <x:c r="A689" s="61" t="str">
        <x:f>IF(E689="","",MAX($A$6:A688)+1)</x:f>
      </x:c>
      <x:c r="B689" s="61"/>
      <x:c r="C689" s="61"/>
      <x:c r="D689" s="62"/>
      <x:c r="E689" s="61"/>
      <x:c r="F689" s="61"/>
      <x:c r="G689" s="63"/>
      <x:c r="H689" s="63">
        <x:f t="shared" si="51"/>
        <x:v>0</x:v>
      </x:c>
      <x:c r="I689" s="64"/>
      <x:c r="J689" s="63">
        <x:f t="shared" si="52"/>
        <x:v>0</x:v>
      </x:c>
      <x:c r="K689" s="63" t="str">
        <x:f t="shared" si="50"/>
      </x:c>
      <x:c r="L689" s="63">
        <x:f t="shared" si="53"/>
        <x:v>0</x:v>
      </x:c>
      <x:c r="M689" s="61"/>
    </x:row>
    <x:row r="690">
      <x:c r="A690" s="61" t="str">
        <x:f>IF(E690="","",MAX($A$6:A689)+1)</x:f>
      </x:c>
      <x:c r="B690" s="61"/>
      <x:c r="C690" s="61"/>
      <x:c r="D690" s="62"/>
      <x:c r="E690" s="61"/>
      <x:c r="F690" s="61"/>
      <x:c r="G690" s="63"/>
      <x:c r="H690" s="63">
        <x:f t="shared" si="51"/>
        <x:v>0</x:v>
      </x:c>
      <x:c r="I690" s="64"/>
      <x:c r="J690" s="63">
        <x:f t="shared" si="52"/>
        <x:v>0</x:v>
      </x:c>
      <x:c r="K690" s="63" t="str">
        <x:f t="shared" si="50"/>
      </x:c>
      <x:c r="L690" s="63">
        <x:f t="shared" si="53"/>
        <x:v>0</x:v>
      </x:c>
      <x:c r="M690" s="61"/>
    </x:row>
    <x:row r="691">
      <x:c r="A691" s="61" t="str">
        <x:f>IF(E691="","",MAX($A$6:A690)+1)</x:f>
      </x:c>
      <x:c r="B691" s="61"/>
      <x:c r="C691" s="61"/>
      <x:c r="D691" s="62"/>
      <x:c r="E691" s="61"/>
      <x:c r="F691" s="61"/>
      <x:c r="G691" s="63"/>
      <x:c r="H691" s="63">
        <x:f t="shared" si="51"/>
        <x:v>0</x:v>
      </x:c>
      <x:c r="I691" s="64"/>
      <x:c r="J691" s="63">
        <x:f t="shared" si="52"/>
        <x:v>0</x:v>
      </x:c>
      <x:c r="K691" s="63" t="str">
        <x:f t="shared" si="50"/>
      </x:c>
      <x:c r="L691" s="63">
        <x:f t="shared" si="53"/>
        <x:v>0</x:v>
      </x:c>
      <x:c r="M691" s="61"/>
    </x:row>
    <x:row r="692">
      <x:c r="A692" s="61" t="str">
        <x:f>IF(E692="","",MAX($A$6:A691)+1)</x:f>
      </x:c>
      <x:c r="B692" s="61"/>
      <x:c r="C692" s="61"/>
      <x:c r="D692" s="62"/>
      <x:c r="E692" s="61"/>
      <x:c r="F692" s="61"/>
      <x:c r="G692" s="63"/>
      <x:c r="H692" s="63">
        <x:f t="shared" si="51"/>
        <x:v>0</x:v>
      </x:c>
      <x:c r="I692" s="64"/>
      <x:c r="J692" s="63">
        <x:f t="shared" si="52"/>
        <x:v>0</x:v>
      </x:c>
      <x:c r="K692" s="63" t="str">
        <x:f t="shared" si="50"/>
      </x:c>
      <x:c r="L692" s="63">
        <x:f t="shared" si="53"/>
        <x:v>0</x:v>
      </x:c>
      <x:c r="M692" s="61"/>
    </x:row>
    <x:row r="693">
      <x:c r="A693" s="61" t="str">
        <x:f>IF(E693="","",MAX($A$6:A692)+1)</x:f>
      </x:c>
      <x:c r="B693" s="61"/>
      <x:c r="C693" s="61"/>
      <x:c r="D693" s="62"/>
      <x:c r="E693" s="61"/>
      <x:c r="F693" s="61"/>
      <x:c r="G693" s="63"/>
      <x:c r="H693" s="63">
        <x:f t="shared" si="51"/>
        <x:v>0</x:v>
      </x:c>
      <x:c r="I693" s="64"/>
      <x:c r="J693" s="63">
        <x:f t="shared" si="52"/>
        <x:v>0</x:v>
      </x:c>
      <x:c r="K693" s="63" t="str">
        <x:f t="shared" si="50"/>
      </x:c>
      <x:c r="L693" s="63">
        <x:f t="shared" si="53"/>
        <x:v>0</x:v>
      </x:c>
      <x:c r="M693" s="61"/>
    </x:row>
    <x:row r="694">
      <x:c r="A694" s="61" t="str">
        <x:f>IF(E694="","",MAX($A$6:A693)+1)</x:f>
      </x:c>
      <x:c r="B694" s="61"/>
      <x:c r="C694" s="61"/>
      <x:c r="D694" s="62"/>
      <x:c r="E694" s="61"/>
      <x:c r="F694" s="61"/>
      <x:c r="G694" s="63"/>
      <x:c r="H694" s="63">
        <x:f t="shared" si="51"/>
        <x:v>0</x:v>
      </x:c>
      <x:c r="I694" s="64"/>
      <x:c r="J694" s="63">
        <x:f t="shared" si="52"/>
        <x:v>0</x:v>
      </x:c>
      <x:c r="K694" s="63" t="str">
        <x:f t="shared" ref="K694:K757" si="54">IFERROR(IF(G694="","",MAX(1,G694-J694)),0)</x:f>
      </x:c>
      <x:c r="L694" s="63">
        <x:f t="shared" si="53"/>
        <x:v>0</x:v>
      </x:c>
      <x:c r="M694" s="61"/>
    </x:row>
    <x:row r="695">
      <x:c r="A695" s="61" t="str">
        <x:f>IF(E695="","",MAX($A$6:A694)+1)</x:f>
      </x:c>
      <x:c r="B695" s="61"/>
      <x:c r="C695" s="61"/>
      <x:c r="D695" s="62"/>
      <x:c r="E695" s="61"/>
      <x:c r="F695" s="61"/>
      <x:c r="G695" s="63"/>
      <x:c r="H695" s="63">
        <x:f t="shared" si="51"/>
        <x:v>0</x:v>
      </x:c>
      <x:c r="I695" s="64"/>
      <x:c r="J695" s="63">
        <x:f t="shared" si="52"/>
        <x:v>0</x:v>
      </x:c>
      <x:c r="K695" s="63" t="str">
        <x:f t="shared" si="54"/>
      </x:c>
      <x:c r="L695" s="63">
        <x:f t="shared" si="53"/>
        <x:v>0</x:v>
      </x:c>
      <x:c r="M695" s="61"/>
    </x:row>
    <x:row r="696">
      <x:c r="A696" s="61" t="str">
        <x:f>IF(E696="","",MAX($A$6:A695)+1)</x:f>
      </x:c>
      <x:c r="B696" s="61"/>
      <x:c r="C696" s="61"/>
      <x:c r="D696" s="62"/>
      <x:c r="E696" s="61"/>
      <x:c r="F696" s="61"/>
      <x:c r="G696" s="63"/>
      <x:c r="H696" s="63">
        <x:f t="shared" si="51"/>
        <x:v>0</x:v>
      </x:c>
      <x:c r="I696" s="64"/>
      <x:c r="J696" s="63">
        <x:f t="shared" si="52"/>
        <x:v>0</x:v>
      </x:c>
      <x:c r="K696" s="63" t="str">
        <x:f t="shared" si="54"/>
      </x:c>
      <x:c r="L696" s="63">
        <x:f t="shared" si="53"/>
        <x:v>0</x:v>
      </x:c>
      <x:c r="M696" s="61"/>
    </x:row>
    <x:row r="697">
      <x:c r="A697" s="61" t="str">
        <x:f>IF(E697="","",MAX($A$6:A696)+1)</x:f>
      </x:c>
      <x:c r="B697" s="61"/>
      <x:c r="C697" s="61"/>
      <x:c r="D697" s="62"/>
      <x:c r="E697" s="61"/>
      <x:c r="F697" s="61"/>
      <x:c r="G697" s="63"/>
      <x:c r="H697" s="63">
        <x:f t="shared" si="51"/>
        <x:v>0</x:v>
      </x:c>
      <x:c r="I697" s="64"/>
      <x:c r="J697" s="63">
        <x:f t="shared" si="52"/>
        <x:v>0</x:v>
      </x:c>
      <x:c r="K697" s="63" t="str">
        <x:f t="shared" si="54"/>
      </x:c>
      <x:c r="L697" s="63">
        <x:f t="shared" si="53"/>
        <x:v>0</x:v>
      </x:c>
      <x:c r="M697" s="61"/>
    </x:row>
    <x:row r="698">
      <x:c r="A698" s="61" t="str">
        <x:f>IF(E698="","",MAX($A$6:A697)+1)</x:f>
      </x:c>
      <x:c r="B698" s="61"/>
      <x:c r="C698" s="61"/>
      <x:c r="D698" s="62"/>
      <x:c r="E698" s="61"/>
      <x:c r="F698" s="61"/>
      <x:c r="G698" s="63"/>
      <x:c r="H698" s="63">
        <x:f t="shared" si="51"/>
        <x:v>0</x:v>
      </x:c>
      <x:c r="I698" s="64"/>
      <x:c r="J698" s="63">
        <x:f t="shared" si="52"/>
        <x:v>0</x:v>
      </x:c>
      <x:c r="K698" s="63" t="str">
        <x:f t="shared" si="54"/>
      </x:c>
      <x:c r="L698" s="63">
        <x:f t="shared" si="53"/>
        <x:v>0</x:v>
      </x:c>
      <x:c r="M698" s="61"/>
    </x:row>
    <x:row r="699">
      <x:c r="A699" s="61" t="str">
        <x:f>IF(E699="","",MAX($A$6:A698)+1)</x:f>
      </x:c>
      <x:c r="B699" s="61"/>
      <x:c r="C699" s="61"/>
      <x:c r="D699" s="62"/>
      <x:c r="E699" s="61"/>
      <x:c r="F699" s="61"/>
      <x:c r="G699" s="63"/>
      <x:c r="H699" s="63">
        <x:f t="shared" si="51"/>
        <x:v>0</x:v>
      </x:c>
      <x:c r="I699" s="64"/>
      <x:c r="J699" s="63">
        <x:f t="shared" si="52"/>
        <x:v>0</x:v>
      </x:c>
      <x:c r="K699" s="63" t="str">
        <x:f t="shared" si="54"/>
      </x:c>
      <x:c r="L699" s="63">
        <x:f t="shared" si="53"/>
        <x:v>0</x:v>
      </x:c>
      <x:c r="M699" s="61"/>
    </x:row>
    <x:row r="700">
      <x:c r="A700" s="61" t="str">
        <x:f>IF(E700="","",MAX($A$6:A699)+1)</x:f>
      </x:c>
      <x:c r="B700" s="61"/>
      <x:c r="C700" s="61"/>
      <x:c r="D700" s="62"/>
      <x:c r="E700" s="61"/>
      <x:c r="F700" s="61"/>
      <x:c r="G700" s="63"/>
      <x:c r="H700" s="63">
        <x:f t="shared" si="51"/>
        <x:v>0</x:v>
      </x:c>
      <x:c r="I700" s="64"/>
      <x:c r="J700" s="63">
        <x:f t="shared" si="52"/>
        <x:v>0</x:v>
      </x:c>
      <x:c r="K700" s="63" t="str">
        <x:f t="shared" si="54"/>
      </x:c>
      <x:c r="L700" s="63">
        <x:f t="shared" si="53"/>
        <x:v>0</x:v>
      </x:c>
      <x:c r="M700" s="61"/>
    </x:row>
    <x:row r="701">
      <x:c r="A701" s="61" t="str">
        <x:f>IF(E701="","",MAX($A$6:A700)+1)</x:f>
      </x:c>
      <x:c r="B701" s="61"/>
      <x:c r="C701" s="61"/>
      <x:c r="D701" s="62"/>
      <x:c r="E701" s="61"/>
      <x:c r="F701" s="61"/>
      <x:c r="G701" s="63"/>
      <x:c r="H701" s="63">
        <x:f t="shared" si="51"/>
        <x:v>0</x:v>
      </x:c>
      <x:c r="I701" s="64"/>
      <x:c r="J701" s="63">
        <x:f t="shared" si="52"/>
        <x:v>0</x:v>
      </x:c>
      <x:c r="K701" s="63" t="str">
        <x:f t="shared" si="54"/>
      </x:c>
      <x:c r="L701" s="63">
        <x:f t="shared" si="53"/>
        <x:v>0</x:v>
      </x:c>
      <x:c r="M701" s="61"/>
    </x:row>
    <x:row r="702">
      <x:c r="A702" s="61" t="str">
        <x:f>IF(E702="","",MAX($A$6:A701)+1)</x:f>
      </x:c>
      <x:c r="B702" s="61"/>
      <x:c r="C702" s="61"/>
      <x:c r="D702" s="62"/>
      <x:c r="E702" s="61"/>
      <x:c r="F702" s="61"/>
      <x:c r="G702" s="63"/>
      <x:c r="H702" s="63">
        <x:f t="shared" si="51"/>
        <x:v>0</x:v>
      </x:c>
      <x:c r="I702" s="64"/>
      <x:c r="J702" s="63">
        <x:f t="shared" si="52"/>
        <x:v>0</x:v>
      </x:c>
      <x:c r="K702" s="63" t="str">
        <x:f t="shared" si="54"/>
      </x:c>
      <x:c r="L702" s="63">
        <x:f t="shared" si="53"/>
        <x:v>0</x:v>
      </x:c>
      <x:c r="M702" s="61"/>
    </x:row>
    <x:row r="703">
      <x:c r="A703" s="61" t="str">
        <x:f>IF(E703="","",MAX($A$6:A702)+1)</x:f>
      </x:c>
      <x:c r="B703" s="61"/>
      <x:c r="C703" s="61"/>
      <x:c r="D703" s="62"/>
      <x:c r="E703" s="61"/>
      <x:c r="F703" s="61"/>
      <x:c r="G703" s="63"/>
      <x:c r="H703" s="63">
        <x:f t="shared" si="51"/>
        <x:v>0</x:v>
      </x:c>
      <x:c r="I703" s="64"/>
      <x:c r="J703" s="63">
        <x:f t="shared" si="52"/>
        <x:v>0</x:v>
      </x:c>
      <x:c r="K703" s="63" t="str">
        <x:f t="shared" si="54"/>
      </x:c>
      <x:c r="L703" s="63">
        <x:f t="shared" si="53"/>
        <x:v>0</x:v>
      </x:c>
      <x:c r="M703" s="61"/>
    </x:row>
    <x:row r="704">
      <x:c r="A704" s="61" t="str">
        <x:f>IF(E704="","",MAX($A$6:A703)+1)</x:f>
      </x:c>
      <x:c r="B704" s="61"/>
      <x:c r="C704" s="61"/>
      <x:c r="D704" s="62"/>
      <x:c r="E704" s="61"/>
      <x:c r="F704" s="61"/>
      <x:c r="G704" s="63"/>
      <x:c r="H704" s="63">
        <x:f t="shared" si="51"/>
        <x:v>0</x:v>
      </x:c>
      <x:c r="I704" s="64"/>
      <x:c r="J704" s="63">
        <x:f t="shared" si="52"/>
        <x:v>0</x:v>
      </x:c>
      <x:c r="K704" s="63" t="str">
        <x:f t="shared" si="54"/>
      </x:c>
      <x:c r="L704" s="63">
        <x:f t="shared" si="53"/>
        <x:v>0</x:v>
      </x:c>
      <x:c r="M704" s="61"/>
    </x:row>
    <x:row r="705">
      <x:c r="A705" s="61" t="str">
        <x:f>IF(E705="","",MAX($A$6:A704)+1)</x:f>
      </x:c>
      <x:c r="B705" s="61"/>
      <x:c r="C705" s="61"/>
      <x:c r="D705" s="62"/>
      <x:c r="E705" s="61"/>
      <x:c r="F705" s="61"/>
      <x:c r="G705" s="63"/>
      <x:c r="H705" s="63">
        <x:f t="shared" si="51"/>
        <x:v>0</x:v>
      </x:c>
      <x:c r="I705" s="64"/>
      <x:c r="J705" s="63">
        <x:f t="shared" si="52"/>
        <x:v>0</x:v>
      </x:c>
      <x:c r="K705" s="63" t="str">
        <x:f t="shared" si="54"/>
      </x:c>
      <x:c r="L705" s="63">
        <x:f t="shared" si="53"/>
        <x:v>0</x:v>
      </x:c>
      <x:c r="M705" s="61"/>
    </x:row>
    <x:row r="706">
      <x:c r="A706" s="61" t="str">
        <x:f>IF(E706="","",MAX($A$6:A705)+1)</x:f>
      </x:c>
      <x:c r="B706" s="61"/>
      <x:c r="C706" s="61"/>
      <x:c r="D706" s="62"/>
      <x:c r="E706" s="61"/>
      <x:c r="F706" s="61"/>
      <x:c r="G706" s="63"/>
      <x:c r="H706" s="63">
        <x:f t="shared" si="51"/>
        <x:v>0</x:v>
      </x:c>
      <x:c r="I706" s="64"/>
      <x:c r="J706" s="63">
        <x:f t="shared" si="52"/>
        <x:v>0</x:v>
      </x:c>
      <x:c r="K706" s="63" t="str">
        <x:f t="shared" si="54"/>
      </x:c>
      <x:c r="L706" s="63">
        <x:f t="shared" si="53"/>
        <x:v>0</x:v>
      </x:c>
      <x:c r="M706" s="61"/>
    </x:row>
    <x:row r="707">
      <x:c r="A707" s="61" t="str">
        <x:f>IF(E707="","",MAX($A$6:A706)+1)</x:f>
      </x:c>
      <x:c r="B707" s="61"/>
      <x:c r="C707" s="61"/>
      <x:c r="D707" s="62"/>
      <x:c r="E707" s="61"/>
      <x:c r="F707" s="61"/>
      <x:c r="G707" s="63"/>
      <x:c r="H707" s="63">
        <x:f t="shared" si="51"/>
        <x:v>0</x:v>
      </x:c>
      <x:c r="I707" s="64"/>
      <x:c r="J707" s="63">
        <x:f t="shared" si="52"/>
        <x:v>0</x:v>
      </x:c>
      <x:c r="K707" s="63" t="str">
        <x:f t="shared" si="54"/>
      </x:c>
      <x:c r="L707" s="63">
        <x:f t="shared" si="53"/>
        <x:v>0</x:v>
      </x:c>
      <x:c r="M707" s="61"/>
    </x:row>
    <x:row r="708">
      <x:c r="A708" s="61" t="str">
        <x:f>IF(E708="","",MAX($A$6:A707)+1)</x:f>
      </x:c>
      <x:c r="B708" s="61"/>
      <x:c r="C708" s="61"/>
      <x:c r="D708" s="62"/>
      <x:c r="E708" s="61"/>
      <x:c r="F708" s="61"/>
      <x:c r="G708" s="63"/>
      <x:c r="H708" s="63">
        <x:f t="shared" si="51"/>
        <x:v>0</x:v>
      </x:c>
      <x:c r="I708" s="64"/>
      <x:c r="J708" s="63">
        <x:f t="shared" si="52"/>
        <x:v>0</x:v>
      </x:c>
      <x:c r="K708" s="63" t="str">
        <x:f t="shared" si="54"/>
      </x:c>
      <x:c r="L708" s="63">
        <x:f t="shared" si="53"/>
        <x:v>0</x:v>
      </x:c>
      <x:c r="M708" s="61"/>
    </x:row>
    <x:row r="709">
      <x:c r="A709" s="61" t="str">
        <x:f>IF(E709="","",MAX($A$6:A708)+1)</x:f>
      </x:c>
      <x:c r="B709" s="61"/>
      <x:c r="C709" s="61"/>
      <x:c r="D709" s="62"/>
      <x:c r="E709" s="61"/>
      <x:c r="F709" s="61"/>
      <x:c r="G709" s="63"/>
      <x:c r="H709" s="63">
        <x:f t="shared" si="51"/>
        <x:v>0</x:v>
      </x:c>
      <x:c r="I709" s="64"/>
      <x:c r="J709" s="63">
        <x:f t="shared" si="52"/>
        <x:v>0</x:v>
      </x:c>
      <x:c r="K709" s="63" t="str">
        <x:f t="shared" si="54"/>
      </x:c>
      <x:c r="L709" s="63">
        <x:f t="shared" si="53"/>
        <x:v>0</x:v>
      </x:c>
      <x:c r="M709" s="61"/>
    </x:row>
    <x:row r="710">
      <x:c r="A710" s="61" t="str">
        <x:f>IF(E710="","",MAX($A$6:A709)+1)</x:f>
      </x:c>
      <x:c r="B710" s="61"/>
      <x:c r="C710" s="61"/>
      <x:c r="D710" s="62"/>
      <x:c r="E710" s="61"/>
      <x:c r="F710" s="61"/>
      <x:c r="G710" s="63"/>
      <x:c r="H710" s="63" t="n">
        <x:f t="shared" ref="H710:H773" si="55">IFERROR(IF(OR($F$1="",D710=""),0,MAX(0,$F$1-D710)),0)</x:f>
        <x:v>0</x:v>
      </x:c>
      <x:c r="I710" s="64"/>
      <x:c r="J710" s="63" t="n">
        <x:f t="shared" ref="J710:J773" si="56">IFERROR(IF(OR(G710="",I710="",D710="",$F$1=""),0,IF($F$1&lt;D710,0,MIN(MAX(G710-1,0),MAX(0,(G710*I710/365)*H710)))),0)</x:f>
        <x:v>0</x:v>
      </x:c>
      <x:c r="K710" s="63" t="str">
        <x:f t="shared" si="54"/>
      </x:c>
      <x:c r="L710" s="63" t="n">
        <x:f t="shared" ref="L710:L773" si="57">IFERROR(IF(OR(G710="",I710="",D710="",$F$1=""),0,IF($F$1&lt;D710,0,IF(K710&lt;=1,0,MIN(G710*I710/12,K710-1)))),0)</x:f>
        <x:v>0</x:v>
      </x:c>
      <x:c r="M710" s="61"/>
    </x:row>
    <x:row r="711">
      <x:c r="A711" s="61" t="str">
        <x:f>IF(E711="","",MAX($A$6:A710)+1)</x:f>
      </x:c>
      <x:c r="B711" s="61"/>
      <x:c r="C711" s="61"/>
      <x:c r="D711" s="62"/>
      <x:c r="E711" s="61"/>
      <x:c r="F711" s="61"/>
      <x:c r="G711" s="63"/>
      <x:c r="H711" s="63">
        <x:f t="shared" si="55"/>
        <x:v>0</x:v>
      </x:c>
      <x:c r="I711" s="64"/>
      <x:c r="J711" s="63">
        <x:f t="shared" si="56"/>
        <x:v>0</x:v>
      </x:c>
      <x:c r="K711" s="63" t="str">
        <x:f t="shared" si="54"/>
      </x:c>
      <x:c r="L711" s="63">
        <x:f t="shared" si="57"/>
        <x:v>0</x:v>
      </x:c>
      <x:c r="M711" s="61"/>
    </x:row>
    <x:row r="712">
      <x:c r="A712" s="61" t="str">
        <x:f>IF(E712="","",MAX($A$6:A711)+1)</x:f>
      </x:c>
      <x:c r="B712" s="61"/>
      <x:c r="C712" s="61"/>
      <x:c r="D712" s="62"/>
      <x:c r="E712" s="61"/>
      <x:c r="F712" s="61"/>
      <x:c r="G712" s="63"/>
      <x:c r="H712" s="63">
        <x:f t="shared" si="55"/>
        <x:v>0</x:v>
      </x:c>
      <x:c r="I712" s="64"/>
      <x:c r="J712" s="63">
        <x:f t="shared" si="56"/>
        <x:v>0</x:v>
      </x:c>
      <x:c r="K712" s="63" t="str">
        <x:f t="shared" si="54"/>
      </x:c>
      <x:c r="L712" s="63">
        <x:f t="shared" si="57"/>
        <x:v>0</x:v>
      </x:c>
      <x:c r="M712" s="61"/>
    </x:row>
    <x:row r="713">
      <x:c r="A713" s="61" t="str">
        <x:f>IF(E713="","",MAX($A$6:A712)+1)</x:f>
      </x:c>
      <x:c r="B713" s="61"/>
      <x:c r="C713" s="61"/>
      <x:c r="D713" s="62"/>
      <x:c r="E713" s="61"/>
      <x:c r="F713" s="61"/>
      <x:c r="G713" s="63"/>
      <x:c r="H713" s="63">
        <x:f t="shared" si="55"/>
        <x:v>0</x:v>
      </x:c>
      <x:c r="I713" s="64"/>
      <x:c r="J713" s="63">
        <x:f t="shared" si="56"/>
        <x:v>0</x:v>
      </x:c>
      <x:c r="K713" s="63" t="str">
        <x:f t="shared" si="54"/>
      </x:c>
      <x:c r="L713" s="63">
        <x:f t="shared" si="57"/>
        <x:v>0</x:v>
      </x:c>
      <x:c r="M713" s="61"/>
    </x:row>
    <x:row r="714">
      <x:c r="A714" s="61" t="str">
        <x:f>IF(E714="","",MAX($A$6:A713)+1)</x:f>
      </x:c>
      <x:c r="B714" s="61"/>
      <x:c r="C714" s="61"/>
      <x:c r="D714" s="62"/>
      <x:c r="E714" s="61"/>
      <x:c r="F714" s="61"/>
      <x:c r="G714" s="63"/>
      <x:c r="H714" s="63">
        <x:f t="shared" si="55"/>
        <x:v>0</x:v>
      </x:c>
      <x:c r="I714" s="64"/>
      <x:c r="J714" s="63">
        <x:f t="shared" si="56"/>
        <x:v>0</x:v>
      </x:c>
      <x:c r="K714" s="63" t="str">
        <x:f t="shared" si="54"/>
      </x:c>
      <x:c r="L714" s="63">
        <x:f t="shared" si="57"/>
        <x:v>0</x:v>
      </x:c>
      <x:c r="M714" s="61"/>
    </x:row>
    <x:row r="715">
      <x:c r="A715" s="61" t="str">
        <x:f>IF(E715="","",MAX($A$6:A714)+1)</x:f>
      </x:c>
      <x:c r="B715" s="61"/>
      <x:c r="C715" s="61"/>
      <x:c r="D715" s="62"/>
      <x:c r="E715" s="61"/>
      <x:c r="F715" s="61"/>
      <x:c r="G715" s="63"/>
      <x:c r="H715" s="63">
        <x:f t="shared" si="55"/>
        <x:v>0</x:v>
      </x:c>
      <x:c r="I715" s="64"/>
      <x:c r="J715" s="63">
        <x:f t="shared" si="56"/>
        <x:v>0</x:v>
      </x:c>
      <x:c r="K715" s="63" t="str">
        <x:f t="shared" si="54"/>
      </x:c>
      <x:c r="L715" s="63">
        <x:f t="shared" si="57"/>
        <x:v>0</x:v>
      </x:c>
      <x:c r="M715" s="61"/>
    </x:row>
    <x:row r="716">
      <x:c r="A716" s="61" t="str">
        <x:f>IF(E716="","",MAX($A$6:A715)+1)</x:f>
      </x:c>
      <x:c r="B716" s="61"/>
      <x:c r="C716" s="61"/>
      <x:c r="D716" s="62"/>
      <x:c r="E716" s="61"/>
      <x:c r="F716" s="61"/>
      <x:c r="G716" s="63"/>
      <x:c r="H716" s="63">
        <x:f t="shared" si="55"/>
        <x:v>0</x:v>
      </x:c>
      <x:c r="I716" s="64"/>
      <x:c r="J716" s="63">
        <x:f t="shared" si="56"/>
        <x:v>0</x:v>
      </x:c>
      <x:c r="K716" s="63" t="str">
        <x:f t="shared" si="54"/>
      </x:c>
      <x:c r="L716" s="63">
        <x:f t="shared" si="57"/>
        <x:v>0</x:v>
      </x:c>
      <x:c r="M716" s="61"/>
    </x:row>
    <x:row r="717">
      <x:c r="A717" s="61" t="str">
        <x:f>IF(E717="","",MAX($A$6:A716)+1)</x:f>
      </x:c>
      <x:c r="B717" s="61"/>
      <x:c r="C717" s="61"/>
      <x:c r="D717" s="62"/>
      <x:c r="E717" s="61"/>
      <x:c r="F717" s="61"/>
      <x:c r="G717" s="63"/>
      <x:c r="H717" s="63">
        <x:f t="shared" si="55"/>
        <x:v>0</x:v>
      </x:c>
      <x:c r="I717" s="64"/>
      <x:c r="J717" s="63">
        <x:f t="shared" si="56"/>
        <x:v>0</x:v>
      </x:c>
      <x:c r="K717" s="63" t="str">
        <x:f t="shared" si="54"/>
      </x:c>
      <x:c r="L717" s="63">
        <x:f t="shared" si="57"/>
        <x:v>0</x:v>
      </x:c>
      <x:c r="M717" s="61"/>
    </x:row>
    <x:row r="718">
      <x:c r="A718" s="61" t="str">
        <x:f>IF(E718="","",MAX($A$6:A717)+1)</x:f>
      </x:c>
      <x:c r="B718" s="61"/>
      <x:c r="C718" s="61"/>
      <x:c r="D718" s="62"/>
      <x:c r="E718" s="61"/>
      <x:c r="F718" s="61"/>
      <x:c r="G718" s="63"/>
      <x:c r="H718" s="63">
        <x:f t="shared" si="55"/>
        <x:v>0</x:v>
      </x:c>
      <x:c r="I718" s="64"/>
      <x:c r="J718" s="63">
        <x:f t="shared" si="56"/>
        <x:v>0</x:v>
      </x:c>
      <x:c r="K718" s="63" t="str">
        <x:f t="shared" si="54"/>
      </x:c>
      <x:c r="L718" s="63">
        <x:f t="shared" si="57"/>
        <x:v>0</x:v>
      </x:c>
      <x:c r="M718" s="61"/>
    </x:row>
    <x:row r="719">
      <x:c r="A719" s="61" t="str">
        <x:f>IF(E719="","",MAX($A$6:A718)+1)</x:f>
      </x:c>
      <x:c r="B719" s="61"/>
      <x:c r="C719" s="61"/>
      <x:c r="D719" s="62"/>
      <x:c r="E719" s="61"/>
      <x:c r="F719" s="61"/>
      <x:c r="G719" s="63"/>
      <x:c r="H719" s="63">
        <x:f t="shared" si="55"/>
        <x:v>0</x:v>
      </x:c>
      <x:c r="I719" s="64"/>
      <x:c r="J719" s="63">
        <x:f t="shared" si="56"/>
        <x:v>0</x:v>
      </x:c>
      <x:c r="K719" s="63" t="str">
        <x:f t="shared" si="54"/>
      </x:c>
      <x:c r="L719" s="63">
        <x:f t="shared" si="57"/>
        <x:v>0</x:v>
      </x:c>
      <x:c r="M719" s="61"/>
    </x:row>
    <x:row r="720">
      <x:c r="A720" s="61" t="str">
        <x:f>IF(E720="","",MAX($A$6:A719)+1)</x:f>
      </x:c>
      <x:c r="B720" s="61"/>
      <x:c r="C720" s="61"/>
      <x:c r="D720" s="62"/>
      <x:c r="E720" s="61"/>
      <x:c r="F720" s="61"/>
      <x:c r="G720" s="63"/>
      <x:c r="H720" s="63">
        <x:f t="shared" si="55"/>
        <x:v>0</x:v>
      </x:c>
      <x:c r="I720" s="64"/>
      <x:c r="J720" s="63">
        <x:f t="shared" si="56"/>
        <x:v>0</x:v>
      </x:c>
      <x:c r="K720" s="63" t="str">
        <x:f t="shared" si="54"/>
      </x:c>
      <x:c r="L720" s="63">
        <x:f t="shared" si="57"/>
        <x:v>0</x:v>
      </x:c>
      <x:c r="M720" s="61"/>
    </x:row>
    <x:row r="721">
      <x:c r="A721" s="61" t="str">
        <x:f>IF(E721="","",MAX($A$6:A720)+1)</x:f>
      </x:c>
      <x:c r="B721" s="61"/>
      <x:c r="C721" s="61"/>
      <x:c r="D721" s="62"/>
      <x:c r="E721" s="61"/>
      <x:c r="F721" s="61"/>
      <x:c r="G721" s="63"/>
      <x:c r="H721" s="63">
        <x:f t="shared" si="55"/>
        <x:v>0</x:v>
      </x:c>
      <x:c r="I721" s="64"/>
      <x:c r="J721" s="63">
        <x:f t="shared" si="56"/>
        <x:v>0</x:v>
      </x:c>
      <x:c r="K721" s="63" t="str">
        <x:f t="shared" si="54"/>
      </x:c>
      <x:c r="L721" s="63">
        <x:f t="shared" si="57"/>
        <x:v>0</x:v>
      </x:c>
      <x:c r="M721" s="61"/>
    </x:row>
    <x:row r="722">
      <x:c r="A722" s="61" t="str">
        <x:f>IF(E722="","",MAX($A$6:A721)+1)</x:f>
      </x:c>
      <x:c r="B722" s="61"/>
      <x:c r="C722" s="61"/>
      <x:c r="D722" s="62"/>
      <x:c r="E722" s="61"/>
      <x:c r="F722" s="61"/>
      <x:c r="G722" s="63"/>
      <x:c r="H722" s="63">
        <x:f t="shared" si="55"/>
        <x:v>0</x:v>
      </x:c>
      <x:c r="I722" s="64"/>
      <x:c r="J722" s="63">
        <x:f t="shared" si="56"/>
        <x:v>0</x:v>
      </x:c>
      <x:c r="K722" s="63" t="str">
        <x:f t="shared" si="54"/>
      </x:c>
      <x:c r="L722" s="63">
        <x:f t="shared" si="57"/>
        <x:v>0</x:v>
      </x:c>
      <x:c r="M722" s="61"/>
    </x:row>
    <x:row r="723">
      <x:c r="A723" s="61" t="str">
        <x:f>IF(E723="","",MAX($A$6:A722)+1)</x:f>
      </x:c>
      <x:c r="B723" s="61"/>
      <x:c r="C723" s="61"/>
      <x:c r="D723" s="62"/>
      <x:c r="E723" s="61"/>
      <x:c r="F723" s="61"/>
      <x:c r="G723" s="63"/>
      <x:c r="H723" s="63">
        <x:f t="shared" si="55"/>
        <x:v>0</x:v>
      </x:c>
      <x:c r="I723" s="64"/>
      <x:c r="J723" s="63">
        <x:f t="shared" si="56"/>
        <x:v>0</x:v>
      </x:c>
      <x:c r="K723" s="63" t="str">
        <x:f t="shared" si="54"/>
      </x:c>
      <x:c r="L723" s="63">
        <x:f t="shared" si="57"/>
        <x:v>0</x:v>
      </x:c>
      <x:c r="M723" s="61"/>
    </x:row>
    <x:row r="724">
      <x:c r="A724" s="61" t="str">
        <x:f>IF(E724="","",MAX($A$6:A723)+1)</x:f>
      </x:c>
      <x:c r="B724" s="61"/>
      <x:c r="C724" s="61"/>
      <x:c r="D724" s="62"/>
      <x:c r="E724" s="61"/>
      <x:c r="F724" s="61"/>
      <x:c r="G724" s="63"/>
      <x:c r="H724" s="63">
        <x:f t="shared" si="55"/>
        <x:v>0</x:v>
      </x:c>
      <x:c r="I724" s="64"/>
      <x:c r="J724" s="63">
        <x:f t="shared" si="56"/>
        <x:v>0</x:v>
      </x:c>
      <x:c r="K724" s="63" t="str">
        <x:f t="shared" si="54"/>
      </x:c>
      <x:c r="L724" s="63">
        <x:f t="shared" si="57"/>
        <x:v>0</x:v>
      </x:c>
      <x:c r="M724" s="61"/>
    </x:row>
    <x:row r="725">
      <x:c r="A725" s="61" t="str">
        <x:f>IF(E725="","",MAX($A$6:A724)+1)</x:f>
      </x:c>
      <x:c r="B725" s="61"/>
      <x:c r="C725" s="61"/>
      <x:c r="D725" s="62"/>
      <x:c r="E725" s="61"/>
      <x:c r="F725" s="61"/>
      <x:c r="G725" s="63"/>
      <x:c r="H725" s="63">
        <x:f t="shared" si="55"/>
        <x:v>0</x:v>
      </x:c>
      <x:c r="I725" s="64"/>
      <x:c r="J725" s="63">
        <x:f t="shared" si="56"/>
        <x:v>0</x:v>
      </x:c>
      <x:c r="K725" s="63" t="str">
        <x:f t="shared" si="54"/>
      </x:c>
      <x:c r="L725" s="63">
        <x:f t="shared" si="57"/>
        <x:v>0</x:v>
      </x:c>
      <x:c r="M725" s="61"/>
    </x:row>
    <x:row r="726">
      <x:c r="A726" s="61" t="str">
        <x:f>IF(E726="","",MAX($A$6:A725)+1)</x:f>
      </x:c>
      <x:c r="B726" s="61"/>
      <x:c r="C726" s="61"/>
      <x:c r="D726" s="62"/>
      <x:c r="E726" s="61"/>
      <x:c r="F726" s="61"/>
      <x:c r="G726" s="63"/>
      <x:c r="H726" s="63">
        <x:f t="shared" si="55"/>
        <x:v>0</x:v>
      </x:c>
      <x:c r="I726" s="64"/>
      <x:c r="J726" s="63">
        <x:f t="shared" si="56"/>
        <x:v>0</x:v>
      </x:c>
      <x:c r="K726" s="63" t="str">
        <x:f t="shared" si="54"/>
      </x:c>
      <x:c r="L726" s="63">
        <x:f t="shared" si="57"/>
        <x:v>0</x:v>
      </x:c>
      <x:c r="M726" s="61"/>
    </x:row>
    <x:row r="727">
      <x:c r="A727" s="61" t="str">
        <x:f>IF(E727="","",MAX($A$6:A726)+1)</x:f>
      </x:c>
      <x:c r="B727" s="61"/>
      <x:c r="C727" s="61"/>
      <x:c r="D727" s="62"/>
      <x:c r="E727" s="61"/>
      <x:c r="F727" s="61"/>
      <x:c r="G727" s="63"/>
      <x:c r="H727" s="63">
        <x:f t="shared" si="55"/>
        <x:v>0</x:v>
      </x:c>
      <x:c r="I727" s="64"/>
      <x:c r="J727" s="63">
        <x:f t="shared" si="56"/>
        <x:v>0</x:v>
      </x:c>
      <x:c r="K727" s="63" t="str">
        <x:f t="shared" si="54"/>
      </x:c>
      <x:c r="L727" s="63">
        <x:f t="shared" si="57"/>
        <x:v>0</x:v>
      </x:c>
      <x:c r="M727" s="61"/>
    </x:row>
    <x:row r="728">
      <x:c r="A728" s="61" t="str">
        <x:f>IF(E728="","",MAX($A$6:A727)+1)</x:f>
      </x:c>
      <x:c r="B728" s="61"/>
      <x:c r="C728" s="61"/>
      <x:c r="D728" s="62"/>
      <x:c r="E728" s="61"/>
      <x:c r="F728" s="61"/>
      <x:c r="G728" s="63"/>
      <x:c r="H728" s="63">
        <x:f t="shared" si="55"/>
        <x:v>0</x:v>
      </x:c>
      <x:c r="I728" s="64"/>
      <x:c r="J728" s="63">
        <x:f t="shared" si="56"/>
        <x:v>0</x:v>
      </x:c>
      <x:c r="K728" s="63" t="str">
        <x:f t="shared" si="54"/>
      </x:c>
      <x:c r="L728" s="63">
        <x:f t="shared" si="57"/>
        <x:v>0</x:v>
      </x:c>
      <x:c r="M728" s="61"/>
    </x:row>
    <x:row r="729">
      <x:c r="A729" s="61" t="str">
        <x:f>IF(E729="","",MAX($A$6:A728)+1)</x:f>
      </x:c>
      <x:c r="B729" s="61"/>
      <x:c r="C729" s="61"/>
      <x:c r="D729" s="62"/>
      <x:c r="E729" s="61"/>
      <x:c r="F729" s="61"/>
      <x:c r="G729" s="63"/>
      <x:c r="H729" s="63">
        <x:f t="shared" si="55"/>
        <x:v>0</x:v>
      </x:c>
      <x:c r="I729" s="64"/>
      <x:c r="J729" s="63">
        <x:f t="shared" si="56"/>
        <x:v>0</x:v>
      </x:c>
      <x:c r="K729" s="63" t="str">
        <x:f t="shared" si="54"/>
      </x:c>
      <x:c r="L729" s="63">
        <x:f t="shared" si="57"/>
        <x:v>0</x:v>
      </x:c>
      <x:c r="M729" s="61"/>
    </x:row>
    <x:row r="730">
      <x:c r="A730" s="61" t="str">
        <x:f>IF(E730="","",MAX($A$6:A729)+1)</x:f>
      </x:c>
      <x:c r="B730" s="61"/>
      <x:c r="C730" s="61"/>
      <x:c r="D730" s="62"/>
      <x:c r="E730" s="61"/>
      <x:c r="F730" s="61"/>
      <x:c r="G730" s="63"/>
      <x:c r="H730" s="63">
        <x:f t="shared" si="55"/>
        <x:v>0</x:v>
      </x:c>
      <x:c r="I730" s="64"/>
      <x:c r="J730" s="63">
        <x:f t="shared" si="56"/>
        <x:v>0</x:v>
      </x:c>
      <x:c r="K730" s="63" t="str">
        <x:f t="shared" si="54"/>
      </x:c>
      <x:c r="L730" s="63">
        <x:f t="shared" si="57"/>
        <x:v>0</x:v>
      </x:c>
      <x:c r="M730" s="61"/>
    </x:row>
    <x:row r="731">
      <x:c r="A731" s="61" t="str">
        <x:f>IF(E731="","",MAX($A$6:A730)+1)</x:f>
      </x:c>
      <x:c r="B731" s="61"/>
      <x:c r="C731" s="61"/>
      <x:c r="D731" s="62"/>
      <x:c r="E731" s="61"/>
      <x:c r="F731" s="61"/>
      <x:c r="G731" s="63"/>
      <x:c r="H731" s="63">
        <x:f t="shared" si="55"/>
        <x:v>0</x:v>
      </x:c>
      <x:c r="I731" s="64"/>
      <x:c r="J731" s="63">
        <x:f t="shared" si="56"/>
        <x:v>0</x:v>
      </x:c>
      <x:c r="K731" s="63" t="str">
        <x:f t="shared" si="54"/>
      </x:c>
      <x:c r="L731" s="63">
        <x:f t="shared" si="57"/>
        <x:v>0</x:v>
      </x:c>
      <x:c r="M731" s="61"/>
    </x:row>
    <x:row r="732">
      <x:c r="A732" s="61" t="str">
        <x:f>IF(E732="","",MAX($A$6:A731)+1)</x:f>
      </x:c>
      <x:c r="B732" s="61"/>
      <x:c r="C732" s="61"/>
      <x:c r="D732" s="62"/>
      <x:c r="E732" s="61"/>
      <x:c r="F732" s="61"/>
      <x:c r="G732" s="63"/>
      <x:c r="H732" s="63">
        <x:f t="shared" si="55"/>
        <x:v>0</x:v>
      </x:c>
      <x:c r="I732" s="64"/>
      <x:c r="J732" s="63">
        <x:f t="shared" si="56"/>
        <x:v>0</x:v>
      </x:c>
      <x:c r="K732" s="63" t="str">
        <x:f t="shared" si="54"/>
      </x:c>
      <x:c r="L732" s="63">
        <x:f t="shared" si="57"/>
        <x:v>0</x:v>
      </x:c>
      <x:c r="M732" s="61"/>
    </x:row>
    <x:row r="733">
      <x:c r="A733" s="61" t="str">
        <x:f>IF(E733="","",MAX($A$6:A732)+1)</x:f>
      </x:c>
      <x:c r="B733" s="61"/>
      <x:c r="C733" s="61"/>
      <x:c r="D733" s="62"/>
      <x:c r="E733" s="61"/>
      <x:c r="F733" s="61"/>
      <x:c r="G733" s="63"/>
      <x:c r="H733" s="63">
        <x:f t="shared" si="55"/>
        <x:v>0</x:v>
      </x:c>
      <x:c r="I733" s="64"/>
      <x:c r="J733" s="63">
        <x:f t="shared" si="56"/>
        <x:v>0</x:v>
      </x:c>
      <x:c r="K733" s="63" t="str">
        <x:f t="shared" si="54"/>
      </x:c>
      <x:c r="L733" s="63">
        <x:f t="shared" si="57"/>
        <x:v>0</x:v>
      </x:c>
      <x:c r="M733" s="61"/>
    </x:row>
    <x:row r="734">
      <x:c r="A734" s="61" t="str">
        <x:f>IF(E734="","",MAX($A$6:A733)+1)</x:f>
      </x:c>
      <x:c r="B734" s="61"/>
      <x:c r="C734" s="61"/>
      <x:c r="D734" s="62"/>
      <x:c r="E734" s="61"/>
      <x:c r="F734" s="61"/>
      <x:c r="G734" s="63"/>
      <x:c r="H734" s="63">
        <x:f t="shared" si="55"/>
        <x:v>0</x:v>
      </x:c>
      <x:c r="I734" s="64"/>
      <x:c r="J734" s="63">
        <x:f t="shared" si="56"/>
        <x:v>0</x:v>
      </x:c>
      <x:c r="K734" s="63" t="str">
        <x:f t="shared" si="54"/>
      </x:c>
      <x:c r="L734" s="63">
        <x:f t="shared" si="57"/>
        <x:v>0</x:v>
      </x:c>
      <x:c r="M734" s="61"/>
    </x:row>
    <x:row r="735">
      <x:c r="A735" s="61" t="str">
        <x:f>IF(E735="","",MAX($A$6:A734)+1)</x:f>
      </x:c>
      <x:c r="B735" s="61"/>
      <x:c r="C735" s="61"/>
      <x:c r="D735" s="62"/>
      <x:c r="E735" s="61"/>
      <x:c r="F735" s="61"/>
      <x:c r="G735" s="63"/>
      <x:c r="H735" s="63">
        <x:f t="shared" si="55"/>
        <x:v>0</x:v>
      </x:c>
      <x:c r="I735" s="64"/>
      <x:c r="J735" s="63">
        <x:f t="shared" si="56"/>
        <x:v>0</x:v>
      </x:c>
      <x:c r="K735" s="63" t="str">
        <x:f t="shared" si="54"/>
      </x:c>
      <x:c r="L735" s="63">
        <x:f t="shared" si="57"/>
        <x:v>0</x:v>
      </x:c>
      <x:c r="M735" s="61"/>
    </x:row>
    <x:row r="736">
      <x:c r="A736" s="61" t="str">
        <x:f>IF(E736="","",MAX($A$6:A735)+1)</x:f>
      </x:c>
      <x:c r="B736" s="61"/>
      <x:c r="C736" s="61"/>
      <x:c r="D736" s="62"/>
      <x:c r="E736" s="61"/>
      <x:c r="F736" s="61"/>
      <x:c r="G736" s="63"/>
      <x:c r="H736" s="63">
        <x:f t="shared" si="55"/>
        <x:v>0</x:v>
      </x:c>
      <x:c r="I736" s="64"/>
      <x:c r="J736" s="63">
        <x:f t="shared" si="56"/>
        <x:v>0</x:v>
      </x:c>
      <x:c r="K736" s="63" t="str">
        <x:f t="shared" si="54"/>
      </x:c>
      <x:c r="L736" s="63">
        <x:f t="shared" si="57"/>
        <x:v>0</x:v>
      </x:c>
      <x:c r="M736" s="61"/>
    </x:row>
    <x:row r="737">
      <x:c r="A737" s="61" t="str">
        <x:f>IF(E737="","",MAX($A$6:A736)+1)</x:f>
      </x:c>
      <x:c r="B737" s="61"/>
      <x:c r="C737" s="61"/>
      <x:c r="D737" s="62"/>
      <x:c r="E737" s="61"/>
      <x:c r="F737" s="61"/>
      <x:c r="G737" s="63"/>
      <x:c r="H737" s="63">
        <x:f t="shared" si="55"/>
        <x:v>0</x:v>
      </x:c>
      <x:c r="I737" s="64"/>
      <x:c r="J737" s="63">
        <x:f t="shared" si="56"/>
        <x:v>0</x:v>
      </x:c>
      <x:c r="K737" s="63" t="str">
        <x:f t="shared" si="54"/>
      </x:c>
      <x:c r="L737" s="63">
        <x:f t="shared" si="57"/>
        <x:v>0</x:v>
      </x:c>
      <x:c r="M737" s="61"/>
    </x:row>
    <x:row r="738">
      <x:c r="A738" s="61" t="str">
        <x:f>IF(E738="","",MAX($A$6:A737)+1)</x:f>
      </x:c>
      <x:c r="B738" s="61"/>
      <x:c r="C738" s="61"/>
      <x:c r="D738" s="62"/>
      <x:c r="E738" s="61"/>
      <x:c r="F738" s="61"/>
      <x:c r="G738" s="63"/>
      <x:c r="H738" s="63">
        <x:f t="shared" si="55"/>
        <x:v>0</x:v>
      </x:c>
      <x:c r="I738" s="64"/>
      <x:c r="J738" s="63">
        <x:f t="shared" si="56"/>
        <x:v>0</x:v>
      </x:c>
      <x:c r="K738" s="63" t="str">
        <x:f t="shared" si="54"/>
      </x:c>
      <x:c r="L738" s="63">
        <x:f t="shared" si="57"/>
        <x:v>0</x:v>
      </x:c>
      <x:c r="M738" s="61"/>
    </x:row>
    <x:row r="739">
      <x:c r="A739" s="61" t="str">
        <x:f>IF(E739="","",MAX($A$6:A738)+1)</x:f>
      </x:c>
      <x:c r="B739" s="61"/>
      <x:c r="C739" s="61"/>
      <x:c r="D739" s="62"/>
      <x:c r="E739" s="61"/>
      <x:c r="F739" s="61"/>
      <x:c r="G739" s="63"/>
      <x:c r="H739" s="63">
        <x:f t="shared" si="55"/>
        <x:v>0</x:v>
      </x:c>
      <x:c r="I739" s="64"/>
      <x:c r="J739" s="63">
        <x:f t="shared" si="56"/>
        <x:v>0</x:v>
      </x:c>
      <x:c r="K739" s="63" t="str">
        <x:f t="shared" si="54"/>
      </x:c>
      <x:c r="L739" s="63">
        <x:f t="shared" si="57"/>
        <x:v>0</x:v>
      </x:c>
      <x:c r="M739" s="61"/>
    </x:row>
    <x:row r="740">
      <x:c r="A740" s="61" t="str">
        <x:f>IF(E740="","",MAX($A$6:A739)+1)</x:f>
      </x:c>
      <x:c r="B740" s="61"/>
      <x:c r="C740" s="61"/>
      <x:c r="D740" s="62"/>
      <x:c r="E740" s="61"/>
      <x:c r="F740" s="61"/>
      <x:c r="G740" s="63"/>
      <x:c r="H740" s="63">
        <x:f t="shared" si="55"/>
        <x:v>0</x:v>
      </x:c>
      <x:c r="I740" s="64"/>
      <x:c r="J740" s="63">
        <x:f t="shared" si="56"/>
        <x:v>0</x:v>
      </x:c>
      <x:c r="K740" s="63" t="str">
        <x:f t="shared" si="54"/>
      </x:c>
      <x:c r="L740" s="63">
        <x:f t="shared" si="57"/>
        <x:v>0</x:v>
      </x:c>
      <x:c r="M740" s="61"/>
    </x:row>
    <x:row r="741">
      <x:c r="A741" s="61" t="str">
        <x:f>IF(E741="","",MAX($A$6:A740)+1)</x:f>
      </x:c>
      <x:c r="B741" s="61"/>
      <x:c r="C741" s="61"/>
      <x:c r="D741" s="62"/>
      <x:c r="E741" s="61"/>
      <x:c r="F741" s="61"/>
      <x:c r="G741" s="63"/>
      <x:c r="H741" s="63">
        <x:f t="shared" si="55"/>
        <x:v>0</x:v>
      </x:c>
      <x:c r="I741" s="64"/>
      <x:c r="J741" s="63">
        <x:f t="shared" si="56"/>
        <x:v>0</x:v>
      </x:c>
      <x:c r="K741" s="63" t="str">
        <x:f t="shared" si="54"/>
      </x:c>
      <x:c r="L741" s="63">
        <x:f t="shared" si="57"/>
        <x:v>0</x:v>
      </x:c>
      <x:c r="M741" s="61"/>
    </x:row>
    <x:row r="742">
      <x:c r="A742" s="61" t="str">
        <x:f>IF(E742="","",MAX($A$6:A741)+1)</x:f>
      </x:c>
      <x:c r="B742" s="61"/>
      <x:c r="C742" s="61"/>
      <x:c r="D742" s="62"/>
      <x:c r="E742" s="61"/>
      <x:c r="F742" s="61"/>
      <x:c r="G742" s="63"/>
      <x:c r="H742" s="63">
        <x:f t="shared" si="55"/>
        <x:v>0</x:v>
      </x:c>
      <x:c r="I742" s="64"/>
      <x:c r="J742" s="63">
        <x:f t="shared" si="56"/>
        <x:v>0</x:v>
      </x:c>
      <x:c r="K742" s="63" t="str">
        <x:f t="shared" si="54"/>
      </x:c>
      <x:c r="L742" s="63">
        <x:f t="shared" si="57"/>
        <x:v>0</x:v>
      </x:c>
      <x:c r="M742" s="61"/>
    </x:row>
    <x:row r="743">
      <x:c r="A743" s="61" t="str">
        <x:f>IF(E743="","",MAX($A$6:A742)+1)</x:f>
      </x:c>
      <x:c r="B743" s="61"/>
      <x:c r="C743" s="61"/>
      <x:c r="D743" s="62"/>
      <x:c r="E743" s="61"/>
      <x:c r="F743" s="61"/>
      <x:c r="G743" s="63"/>
      <x:c r="H743" s="63">
        <x:f t="shared" si="55"/>
        <x:v>0</x:v>
      </x:c>
      <x:c r="I743" s="64"/>
      <x:c r="J743" s="63">
        <x:f t="shared" si="56"/>
        <x:v>0</x:v>
      </x:c>
      <x:c r="K743" s="63" t="str">
        <x:f t="shared" si="54"/>
      </x:c>
      <x:c r="L743" s="63">
        <x:f t="shared" si="57"/>
        <x:v>0</x:v>
      </x:c>
      <x:c r="M743" s="61"/>
    </x:row>
    <x:row r="744">
      <x:c r="A744" s="61" t="str">
        <x:f>IF(E744="","",MAX($A$6:A743)+1)</x:f>
      </x:c>
      <x:c r="B744" s="61"/>
      <x:c r="C744" s="61"/>
      <x:c r="D744" s="62"/>
      <x:c r="E744" s="61"/>
      <x:c r="F744" s="61"/>
      <x:c r="G744" s="63"/>
      <x:c r="H744" s="63">
        <x:f t="shared" si="55"/>
        <x:v>0</x:v>
      </x:c>
      <x:c r="I744" s="64"/>
      <x:c r="J744" s="63">
        <x:f t="shared" si="56"/>
        <x:v>0</x:v>
      </x:c>
      <x:c r="K744" s="63" t="str">
        <x:f t="shared" si="54"/>
      </x:c>
      <x:c r="L744" s="63">
        <x:f t="shared" si="57"/>
        <x:v>0</x:v>
      </x:c>
      <x:c r="M744" s="61"/>
    </x:row>
    <x:row r="745">
      <x:c r="A745" s="61" t="str">
        <x:f>IF(E745="","",MAX($A$6:A744)+1)</x:f>
      </x:c>
      <x:c r="B745" s="61"/>
      <x:c r="C745" s="61"/>
      <x:c r="D745" s="62"/>
      <x:c r="E745" s="61"/>
      <x:c r="F745" s="61"/>
      <x:c r="G745" s="63"/>
      <x:c r="H745" s="63">
        <x:f t="shared" si="55"/>
        <x:v>0</x:v>
      </x:c>
      <x:c r="I745" s="64"/>
      <x:c r="J745" s="63">
        <x:f t="shared" si="56"/>
        <x:v>0</x:v>
      </x:c>
      <x:c r="K745" s="63" t="str">
        <x:f t="shared" si="54"/>
      </x:c>
      <x:c r="L745" s="63">
        <x:f t="shared" si="57"/>
        <x:v>0</x:v>
      </x:c>
      <x:c r="M745" s="61"/>
    </x:row>
    <x:row r="746">
      <x:c r="A746" s="61" t="str">
        <x:f>IF(E746="","",MAX($A$6:A745)+1)</x:f>
      </x:c>
      <x:c r="B746" s="61"/>
      <x:c r="C746" s="61"/>
      <x:c r="D746" s="62"/>
      <x:c r="E746" s="61"/>
      <x:c r="F746" s="61"/>
      <x:c r="G746" s="63"/>
      <x:c r="H746" s="63">
        <x:f t="shared" si="55"/>
        <x:v>0</x:v>
      </x:c>
      <x:c r="I746" s="64"/>
      <x:c r="J746" s="63">
        <x:f t="shared" si="56"/>
        <x:v>0</x:v>
      </x:c>
      <x:c r="K746" s="63" t="str">
        <x:f t="shared" si="54"/>
      </x:c>
      <x:c r="L746" s="63">
        <x:f t="shared" si="57"/>
        <x:v>0</x:v>
      </x:c>
      <x:c r="M746" s="61"/>
    </x:row>
    <x:row r="747">
      <x:c r="A747" s="61" t="str">
        <x:f>IF(E747="","",MAX($A$6:A746)+1)</x:f>
      </x:c>
      <x:c r="B747" s="61"/>
      <x:c r="C747" s="61"/>
      <x:c r="D747" s="62"/>
      <x:c r="E747" s="61"/>
      <x:c r="F747" s="61"/>
      <x:c r="G747" s="63"/>
      <x:c r="H747" s="63">
        <x:f t="shared" si="55"/>
        <x:v>0</x:v>
      </x:c>
      <x:c r="I747" s="64"/>
      <x:c r="J747" s="63">
        <x:f t="shared" si="56"/>
        <x:v>0</x:v>
      </x:c>
      <x:c r="K747" s="63" t="str">
        <x:f t="shared" si="54"/>
      </x:c>
      <x:c r="L747" s="63">
        <x:f t="shared" si="57"/>
        <x:v>0</x:v>
      </x:c>
      <x:c r="M747" s="61"/>
    </x:row>
    <x:row r="748">
      <x:c r="A748" s="61" t="str">
        <x:f>IF(E748="","",MAX($A$6:A747)+1)</x:f>
      </x:c>
      <x:c r="B748" s="61"/>
      <x:c r="C748" s="61"/>
      <x:c r="D748" s="62"/>
      <x:c r="E748" s="61"/>
      <x:c r="F748" s="61"/>
      <x:c r="G748" s="63"/>
      <x:c r="H748" s="63">
        <x:f t="shared" si="55"/>
        <x:v>0</x:v>
      </x:c>
      <x:c r="I748" s="64"/>
      <x:c r="J748" s="63">
        <x:f t="shared" si="56"/>
        <x:v>0</x:v>
      </x:c>
      <x:c r="K748" s="63" t="str">
        <x:f t="shared" si="54"/>
      </x:c>
      <x:c r="L748" s="63">
        <x:f t="shared" si="57"/>
        <x:v>0</x:v>
      </x:c>
      <x:c r="M748" s="61"/>
    </x:row>
    <x:row r="749">
      <x:c r="A749" s="61" t="str">
        <x:f>IF(E749="","",MAX($A$6:A748)+1)</x:f>
      </x:c>
      <x:c r="B749" s="61"/>
      <x:c r="C749" s="61"/>
      <x:c r="D749" s="62"/>
      <x:c r="E749" s="61"/>
      <x:c r="F749" s="61"/>
      <x:c r="G749" s="63"/>
      <x:c r="H749" s="63">
        <x:f t="shared" si="55"/>
        <x:v>0</x:v>
      </x:c>
      <x:c r="I749" s="64"/>
      <x:c r="J749" s="63">
        <x:f t="shared" si="56"/>
        <x:v>0</x:v>
      </x:c>
      <x:c r="K749" s="63" t="str">
        <x:f t="shared" si="54"/>
      </x:c>
      <x:c r="L749" s="63">
        <x:f t="shared" si="57"/>
        <x:v>0</x:v>
      </x:c>
      <x:c r="M749" s="61"/>
    </x:row>
    <x:row r="750">
      <x:c r="A750" s="61" t="str">
        <x:f>IF(E750="","",MAX($A$6:A749)+1)</x:f>
      </x:c>
      <x:c r="B750" s="61"/>
      <x:c r="C750" s="61"/>
      <x:c r="D750" s="62"/>
      <x:c r="E750" s="61"/>
      <x:c r="F750" s="61"/>
      <x:c r="G750" s="63"/>
      <x:c r="H750" s="63">
        <x:f t="shared" si="55"/>
        <x:v>0</x:v>
      </x:c>
      <x:c r="I750" s="64"/>
      <x:c r="J750" s="63">
        <x:f t="shared" si="56"/>
        <x:v>0</x:v>
      </x:c>
      <x:c r="K750" s="63" t="str">
        <x:f t="shared" si="54"/>
      </x:c>
      <x:c r="L750" s="63">
        <x:f t="shared" si="57"/>
        <x:v>0</x:v>
      </x:c>
      <x:c r="M750" s="61"/>
    </x:row>
    <x:row r="751">
      <x:c r="A751" s="61" t="str">
        <x:f>IF(E751="","",MAX($A$6:A750)+1)</x:f>
      </x:c>
      <x:c r="B751" s="61"/>
      <x:c r="C751" s="61"/>
      <x:c r="D751" s="62"/>
      <x:c r="E751" s="61"/>
      <x:c r="F751" s="61"/>
      <x:c r="G751" s="63"/>
      <x:c r="H751" s="63">
        <x:f t="shared" si="55"/>
        <x:v>0</x:v>
      </x:c>
      <x:c r="I751" s="64"/>
      <x:c r="J751" s="63">
        <x:f t="shared" si="56"/>
        <x:v>0</x:v>
      </x:c>
      <x:c r="K751" s="63" t="str">
        <x:f t="shared" si="54"/>
      </x:c>
      <x:c r="L751" s="63">
        <x:f t="shared" si="57"/>
        <x:v>0</x:v>
      </x:c>
      <x:c r="M751" s="61"/>
    </x:row>
    <x:row r="752">
      <x:c r="A752" s="61" t="str">
        <x:f>IF(E752="","",MAX($A$6:A751)+1)</x:f>
      </x:c>
      <x:c r="B752" s="61"/>
      <x:c r="C752" s="61"/>
      <x:c r="D752" s="62"/>
      <x:c r="E752" s="61"/>
      <x:c r="F752" s="61"/>
      <x:c r="G752" s="63"/>
      <x:c r="H752" s="63">
        <x:f t="shared" si="55"/>
        <x:v>0</x:v>
      </x:c>
      <x:c r="I752" s="64"/>
      <x:c r="J752" s="63">
        <x:f t="shared" si="56"/>
        <x:v>0</x:v>
      </x:c>
      <x:c r="K752" s="63" t="str">
        <x:f t="shared" si="54"/>
      </x:c>
      <x:c r="L752" s="63">
        <x:f t="shared" si="57"/>
        <x:v>0</x:v>
      </x:c>
      <x:c r="M752" s="61"/>
    </x:row>
    <x:row r="753">
      <x:c r="A753" s="61" t="str">
        <x:f>IF(E753="","",MAX($A$6:A752)+1)</x:f>
      </x:c>
      <x:c r="B753" s="61"/>
      <x:c r="C753" s="61"/>
      <x:c r="D753" s="62"/>
      <x:c r="E753" s="61"/>
      <x:c r="F753" s="61"/>
      <x:c r="G753" s="63"/>
      <x:c r="H753" s="63">
        <x:f t="shared" si="55"/>
        <x:v>0</x:v>
      </x:c>
      <x:c r="I753" s="64"/>
      <x:c r="J753" s="63">
        <x:f t="shared" si="56"/>
        <x:v>0</x:v>
      </x:c>
      <x:c r="K753" s="63" t="str">
        <x:f t="shared" si="54"/>
      </x:c>
      <x:c r="L753" s="63">
        <x:f t="shared" si="57"/>
        <x:v>0</x:v>
      </x:c>
      <x:c r="M753" s="61"/>
    </x:row>
    <x:row r="754">
      <x:c r="A754" s="61" t="str">
        <x:f>IF(E754="","",MAX($A$6:A753)+1)</x:f>
      </x:c>
      <x:c r="B754" s="61"/>
      <x:c r="C754" s="61"/>
      <x:c r="D754" s="62"/>
      <x:c r="E754" s="61"/>
      <x:c r="F754" s="61"/>
      <x:c r="G754" s="63"/>
      <x:c r="H754" s="63">
        <x:f t="shared" si="55"/>
        <x:v>0</x:v>
      </x:c>
      <x:c r="I754" s="64"/>
      <x:c r="J754" s="63">
        <x:f t="shared" si="56"/>
        <x:v>0</x:v>
      </x:c>
      <x:c r="K754" s="63" t="str">
        <x:f t="shared" si="54"/>
      </x:c>
      <x:c r="L754" s="63">
        <x:f t="shared" si="57"/>
        <x:v>0</x:v>
      </x:c>
      <x:c r="M754" s="61"/>
    </x:row>
    <x:row r="755">
      <x:c r="A755" s="61" t="str">
        <x:f>IF(E755="","",MAX($A$6:A754)+1)</x:f>
      </x:c>
      <x:c r="B755" s="61"/>
      <x:c r="C755" s="61"/>
      <x:c r="D755" s="62"/>
      <x:c r="E755" s="61"/>
      <x:c r="F755" s="61"/>
      <x:c r="G755" s="63"/>
      <x:c r="H755" s="63">
        <x:f t="shared" si="55"/>
        <x:v>0</x:v>
      </x:c>
      <x:c r="I755" s="64"/>
      <x:c r="J755" s="63">
        <x:f t="shared" si="56"/>
        <x:v>0</x:v>
      </x:c>
      <x:c r="K755" s="63" t="str">
        <x:f t="shared" si="54"/>
      </x:c>
      <x:c r="L755" s="63">
        <x:f t="shared" si="57"/>
        <x:v>0</x:v>
      </x:c>
      <x:c r="M755" s="61"/>
    </x:row>
    <x:row r="756">
      <x:c r="A756" s="61" t="str">
        <x:f>IF(E756="","",MAX($A$6:A755)+1)</x:f>
      </x:c>
      <x:c r="B756" s="61"/>
      <x:c r="C756" s="61"/>
      <x:c r="D756" s="62"/>
      <x:c r="E756" s="61"/>
      <x:c r="F756" s="61"/>
      <x:c r="G756" s="63"/>
      <x:c r="H756" s="63">
        <x:f t="shared" si="55"/>
        <x:v>0</x:v>
      </x:c>
      <x:c r="I756" s="64"/>
      <x:c r="J756" s="63">
        <x:f t="shared" si="56"/>
        <x:v>0</x:v>
      </x:c>
      <x:c r="K756" s="63" t="str">
        <x:f t="shared" si="54"/>
      </x:c>
      <x:c r="L756" s="63">
        <x:f t="shared" si="57"/>
        <x:v>0</x:v>
      </x:c>
      <x:c r="M756" s="61"/>
    </x:row>
    <x:row r="757">
      <x:c r="A757" s="61" t="str">
        <x:f>IF(E757="","",MAX($A$6:A756)+1)</x:f>
      </x:c>
      <x:c r="B757" s="61"/>
      <x:c r="C757" s="61"/>
      <x:c r="D757" s="62"/>
      <x:c r="E757" s="61"/>
      <x:c r="F757" s="61"/>
      <x:c r="G757" s="63"/>
      <x:c r="H757" s="63">
        <x:f t="shared" si="55"/>
        <x:v>0</x:v>
      </x:c>
      <x:c r="I757" s="64"/>
      <x:c r="J757" s="63">
        <x:f t="shared" si="56"/>
        <x:v>0</x:v>
      </x:c>
      <x:c r="K757" s="63" t="str">
        <x:f t="shared" si="54"/>
      </x:c>
      <x:c r="L757" s="63">
        <x:f t="shared" si="57"/>
        <x:v>0</x:v>
      </x:c>
      <x:c r="M757" s="61"/>
    </x:row>
    <x:row r="758">
      <x:c r="A758" s="61" t="str">
        <x:f>IF(E758="","",MAX($A$6:A757)+1)</x:f>
      </x:c>
      <x:c r="B758" s="61"/>
      <x:c r="C758" s="61"/>
      <x:c r="D758" s="62"/>
      <x:c r="E758" s="61"/>
      <x:c r="F758" s="61"/>
      <x:c r="G758" s="63"/>
      <x:c r="H758" s="63">
        <x:f t="shared" si="55"/>
        <x:v>0</x:v>
      </x:c>
      <x:c r="I758" s="64"/>
      <x:c r="J758" s="63">
        <x:f t="shared" si="56"/>
        <x:v>0</x:v>
      </x:c>
      <x:c r="K758" s="63" t="str">
        <x:f t="shared" ref="K758:K821" si="58">IFERROR(IF(G758="","",MAX(1,G758-J758)),0)</x:f>
      </x:c>
      <x:c r="L758" s="63">
        <x:f t="shared" si="57"/>
        <x:v>0</x:v>
      </x:c>
      <x:c r="M758" s="61"/>
    </x:row>
    <x:row r="759">
      <x:c r="A759" s="61" t="str">
        <x:f>IF(E759="","",MAX($A$6:A758)+1)</x:f>
      </x:c>
      <x:c r="B759" s="61"/>
      <x:c r="C759" s="61"/>
      <x:c r="D759" s="62"/>
      <x:c r="E759" s="61"/>
      <x:c r="F759" s="61"/>
      <x:c r="G759" s="63"/>
      <x:c r="H759" s="63">
        <x:f t="shared" si="55"/>
        <x:v>0</x:v>
      </x:c>
      <x:c r="I759" s="64"/>
      <x:c r="J759" s="63">
        <x:f t="shared" si="56"/>
        <x:v>0</x:v>
      </x:c>
      <x:c r="K759" s="63" t="str">
        <x:f t="shared" si="58"/>
      </x:c>
      <x:c r="L759" s="63">
        <x:f t="shared" si="57"/>
        <x:v>0</x:v>
      </x:c>
      <x:c r="M759" s="61"/>
    </x:row>
    <x:row r="760">
      <x:c r="A760" s="61" t="str">
        <x:f>IF(E760="","",MAX($A$6:A759)+1)</x:f>
      </x:c>
      <x:c r="B760" s="61"/>
      <x:c r="C760" s="61"/>
      <x:c r="D760" s="62"/>
      <x:c r="E760" s="61"/>
      <x:c r="F760" s="61"/>
      <x:c r="G760" s="63"/>
      <x:c r="H760" s="63">
        <x:f t="shared" si="55"/>
        <x:v>0</x:v>
      </x:c>
      <x:c r="I760" s="64"/>
      <x:c r="J760" s="63">
        <x:f t="shared" si="56"/>
        <x:v>0</x:v>
      </x:c>
      <x:c r="K760" s="63" t="str">
        <x:f t="shared" si="58"/>
      </x:c>
      <x:c r="L760" s="63">
        <x:f t="shared" si="57"/>
        <x:v>0</x:v>
      </x:c>
      <x:c r="M760" s="61"/>
    </x:row>
    <x:row r="761">
      <x:c r="A761" s="61" t="str">
        <x:f>IF(E761="","",MAX($A$6:A760)+1)</x:f>
      </x:c>
      <x:c r="B761" s="61"/>
      <x:c r="C761" s="61"/>
      <x:c r="D761" s="62"/>
      <x:c r="E761" s="61"/>
      <x:c r="F761" s="61"/>
      <x:c r="G761" s="63"/>
      <x:c r="H761" s="63">
        <x:f t="shared" si="55"/>
        <x:v>0</x:v>
      </x:c>
      <x:c r="I761" s="64"/>
      <x:c r="J761" s="63">
        <x:f t="shared" si="56"/>
        <x:v>0</x:v>
      </x:c>
      <x:c r="K761" s="63" t="str">
        <x:f t="shared" si="58"/>
      </x:c>
      <x:c r="L761" s="63">
        <x:f t="shared" si="57"/>
        <x:v>0</x:v>
      </x:c>
      <x:c r="M761" s="61"/>
    </x:row>
    <x:row r="762">
      <x:c r="A762" s="61" t="str">
        <x:f>IF(E762="","",MAX($A$6:A761)+1)</x:f>
      </x:c>
      <x:c r="B762" s="61"/>
      <x:c r="C762" s="61"/>
      <x:c r="D762" s="62"/>
      <x:c r="E762" s="61"/>
      <x:c r="F762" s="61"/>
      <x:c r="G762" s="63"/>
      <x:c r="H762" s="63">
        <x:f t="shared" si="55"/>
        <x:v>0</x:v>
      </x:c>
      <x:c r="I762" s="64"/>
      <x:c r="J762" s="63">
        <x:f t="shared" si="56"/>
        <x:v>0</x:v>
      </x:c>
      <x:c r="K762" s="63" t="str">
        <x:f t="shared" si="58"/>
      </x:c>
      <x:c r="L762" s="63">
        <x:f t="shared" si="57"/>
        <x:v>0</x:v>
      </x:c>
      <x:c r="M762" s="61"/>
    </x:row>
    <x:row r="763">
      <x:c r="A763" s="61" t="str">
        <x:f>IF(E763="","",MAX($A$6:A762)+1)</x:f>
      </x:c>
      <x:c r="B763" s="61"/>
      <x:c r="C763" s="61"/>
      <x:c r="D763" s="62"/>
      <x:c r="E763" s="61"/>
      <x:c r="F763" s="61"/>
      <x:c r="G763" s="63"/>
      <x:c r="H763" s="63">
        <x:f t="shared" si="55"/>
        <x:v>0</x:v>
      </x:c>
      <x:c r="I763" s="64"/>
      <x:c r="J763" s="63">
        <x:f t="shared" si="56"/>
        <x:v>0</x:v>
      </x:c>
      <x:c r="K763" s="63" t="str">
        <x:f t="shared" si="58"/>
      </x:c>
      <x:c r="L763" s="63">
        <x:f t="shared" si="57"/>
        <x:v>0</x:v>
      </x:c>
      <x:c r="M763" s="61"/>
    </x:row>
    <x:row r="764">
      <x:c r="A764" s="61" t="str">
        <x:f>IF(E764="","",MAX($A$6:A763)+1)</x:f>
      </x:c>
      <x:c r="B764" s="61"/>
      <x:c r="C764" s="61"/>
      <x:c r="D764" s="62"/>
      <x:c r="E764" s="61"/>
      <x:c r="F764" s="61"/>
      <x:c r="G764" s="63"/>
      <x:c r="H764" s="63">
        <x:f t="shared" si="55"/>
        <x:v>0</x:v>
      </x:c>
      <x:c r="I764" s="64"/>
      <x:c r="J764" s="63">
        <x:f t="shared" si="56"/>
        <x:v>0</x:v>
      </x:c>
      <x:c r="K764" s="63" t="str">
        <x:f t="shared" si="58"/>
      </x:c>
      <x:c r="L764" s="63">
        <x:f t="shared" si="57"/>
        <x:v>0</x:v>
      </x:c>
      <x:c r="M764" s="61"/>
    </x:row>
    <x:row r="765">
      <x:c r="A765" s="61" t="str">
        <x:f>IF(E765="","",MAX($A$6:A764)+1)</x:f>
      </x:c>
      <x:c r="B765" s="61"/>
      <x:c r="C765" s="61"/>
      <x:c r="D765" s="62"/>
      <x:c r="E765" s="61"/>
      <x:c r="F765" s="61"/>
      <x:c r="G765" s="63"/>
      <x:c r="H765" s="63">
        <x:f t="shared" si="55"/>
        <x:v>0</x:v>
      </x:c>
      <x:c r="I765" s="64"/>
      <x:c r="J765" s="63">
        <x:f t="shared" si="56"/>
        <x:v>0</x:v>
      </x:c>
      <x:c r="K765" s="63" t="str">
        <x:f t="shared" si="58"/>
      </x:c>
      <x:c r="L765" s="63">
        <x:f t="shared" si="57"/>
        <x:v>0</x:v>
      </x:c>
      <x:c r="M765" s="61"/>
    </x:row>
    <x:row r="766">
      <x:c r="A766" s="61" t="str">
        <x:f>IF(E766="","",MAX($A$6:A765)+1)</x:f>
      </x:c>
      <x:c r="B766" s="61"/>
      <x:c r="C766" s="61"/>
      <x:c r="D766" s="62"/>
      <x:c r="E766" s="61"/>
      <x:c r="F766" s="61"/>
      <x:c r="G766" s="63"/>
      <x:c r="H766" s="63">
        <x:f t="shared" si="55"/>
        <x:v>0</x:v>
      </x:c>
      <x:c r="I766" s="64"/>
      <x:c r="J766" s="63">
        <x:f t="shared" si="56"/>
        <x:v>0</x:v>
      </x:c>
      <x:c r="K766" s="63" t="str">
        <x:f t="shared" si="58"/>
      </x:c>
      <x:c r="L766" s="63">
        <x:f t="shared" si="57"/>
        <x:v>0</x:v>
      </x:c>
      <x:c r="M766" s="61"/>
    </x:row>
    <x:row r="767">
      <x:c r="A767" s="61" t="str">
        <x:f>IF(E767="","",MAX($A$6:A766)+1)</x:f>
      </x:c>
      <x:c r="B767" s="61"/>
      <x:c r="C767" s="61"/>
      <x:c r="D767" s="62"/>
      <x:c r="E767" s="61"/>
      <x:c r="F767" s="61"/>
      <x:c r="G767" s="63"/>
      <x:c r="H767" s="63">
        <x:f t="shared" si="55"/>
        <x:v>0</x:v>
      </x:c>
      <x:c r="I767" s="64"/>
      <x:c r="J767" s="63">
        <x:f t="shared" si="56"/>
        <x:v>0</x:v>
      </x:c>
      <x:c r="K767" s="63" t="str">
        <x:f t="shared" si="58"/>
      </x:c>
      <x:c r="L767" s="63">
        <x:f t="shared" si="57"/>
        <x:v>0</x:v>
      </x:c>
      <x:c r="M767" s="61"/>
    </x:row>
    <x:row r="768">
      <x:c r="A768" s="61" t="str">
        <x:f>IF(E768="","",MAX($A$6:A767)+1)</x:f>
      </x:c>
      <x:c r="B768" s="61"/>
      <x:c r="C768" s="61"/>
      <x:c r="D768" s="62"/>
      <x:c r="E768" s="61"/>
      <x:c r="F768" s="61"/>
      <x:c r="G768" s="63"/>
      <x:c r="H768" s="63">
        <x:f t="shared" si="55"/>
        <x:v>0</x:v>
      </x:c>
      <x:c r="I768" s="64"/>
      <x:c r="J768" s="63">
        <x:f t="shared" si="56"/>
        <x:v>0</x:v>
      </x:c>
      <x:c r="K768" s="63" t="str">
        <x:f t="shared" si="58"/>
      </x:c>
      <x:c r="L768" s="63">
        <x:f t="shared" si="57"/>
        <x:v>0</x:v>
      </x:c>
      <x:c r="M768" s="61"/>
    </x:row>
    <x:row r="769">
      <x:c r="A769" s="61" t="str">
        <x:f>IF(E769="","",MAX($A$6:A768)+1)</x:f>
      </x:c>
      <x:c r="B769" s="61"/>
      <x:c r="C769" s="61"/>
      <x:c r="D769" s="62"/>
      <x:c r="E769" s="61"/>
      <x:c r="F769" s="61"/>
      <x:c r="G769" s="63"/>
      <x:c r="H769" s="63">
        <x:f t="shared" si="55"/>
        <x:v>0</x:v>
      </x:c>
      <x:c r="I769" s="64"/>
      <x:c r="J769" s="63">
        <x:f t="shared" si="56"/>
        <x:v>0</x:v>
      </x:c>
      <x:c r="K769" s="63" t="str">
        <x:f t="shared" si="58"/>
      </x:c>
      <x:c r="L769" s="63">
        <x:f t="shared" si="57"/>
        <x:v>0</x:v>
      </x:c>
      <x:c r="M769" s="61"/>
    </x:row>
    <x:row r="770">
      <x:c r="A770" s="61" t="str">
        <x:f>IF(E770="","",MAX($A$6:A769)+1)</x:f>
      </x:c>
      <x:c r="B770" s="61"/>
      <x:c r="C770" s="61"/>
      <x:c r="D770" s="62"/>
      <x:c r="E770" s="61"/>
      <x:c r="F770" s="61"/>
      <x:c r="G770" s="63"/>
      <x:c r="H770" s="63">
        <x:f t="shared" si="55"/>
        <x:v>0</x:v>
      </x:c>
      <x:c r="I770" s="64"/>
      <x:c r="J770" s="63">
        <x:f t="shared" si="56"/>
        <x:v>0</x:v>
      </x:c>
      <x:c r="K770" s="63" t="str">
        <x:f t="shared" si="58"/>
      </x:c>
      <x:c r="L770" s="63">
        <x:f t="shared" si="57"/>
        <x:v>0</x:v>
      </x:c>
      <x:c r="M770" s="61"/>
    </x:row>
    <x:row r="771">
      <x:c r="A771" s="61" t="str">
        <x:f>IF(E771="","",MAX($A$6:A770)+1)</x:f>
      </x:c>
      <x:c r="B771" s="61"/>
      <x:c r="C771" s="61"/>
      <x:c r="D771" s="62"/>
      <x:c r="E771" s="61"/>
      <x:c r="F771" s="61"/>
      <x:c r="G771" s="63"/>
      <x:c r="H771" s="63">
        <x:f t="shared" si="55"/>
        <x:v>0</x:v>
      </x:c>
      <x:c r="I771" s="64"/>
      <x:c r="J771" s="63">
        <x:f t="shared" si="56"/>
        <x:v>0</x:v>
      </x:c>
      <x:c r="K771" s="63" t="str">
        <x:f t="shared" si="58"/>
      </x:c>
      <x:c r="L771" s="63">
        <x:f t="shared" si="57"/>
        <x:v>0</x:v>
      </x:c>
      <x:c r="M771" s="61"/>
    </x:row>
    <x:row r="772">
      <x:c r="A772" s="61" t="str">
        <x:f>IF(E772="","",MAX($A$6:A771)+1)</x:f>
      </x:c>
      <x:c r="B772" s="61"/>
      <x:c r="C772" s="61"/>
      <x:c r="D772" s="62"/>
      <x:c r="E772" s="61"/>
      <x:c r="F772" s="61"/>
      <x:c r="G772" s="63"/>
      <x:c r="H772" s="63">
        <x:f t="shared" si="55"/>
        <x:v>0</x:v>
      </x:c>
      <x:c r="I772" s="64"/>
      <x:c r="J772" s="63">
        <x:f t="shared" si="56"/>
        <x:v>0</x:v>
      </x:c>
      <x:c r="K772" s="63" t="str">
        <x:f t="shared" si="58"/>
      </x:c>
      <x:c r="L772" s="63">
        <x:f t="shared" si="57"/>
        <x:v>0</x:v>
      </x:c>
      <x:c r="M772" s="61"/>
    </x:row>
    <x:row r="773">
      <x:c r="A773" s="61" t="str">
        <x:f>IF(E773="","",MAX($A$6:A772)+1)</x:f>
      </x:c>
      <x:c r="B773" s="61"/>
      <x:c r="C773" s="61"/>
      <x:c r="D773" s="62"/>
      <x:c r="E773" s="61"/>
      <x:c r="F773" s="61"/>
      <x:c r="G773" s="63"/>
      <x:c r="H773" s="63">
        <x:f t="shared" si="55"/>
        <x:v>0</x:v>
      </x:c>
      <x:c r="I773" s="64"/>
      <x:c r="J773" s="63">
        <x:f t="shared" si="56"/>
        <x:v>0</x:v>
      </x:c>
      <x:c r="K773" s="63" t="str">
        <x:f t="shared" si="58"/>
      </x:c>
      <x:c r="L773" s="63">
        <x:f t="shared" si="57"/>
        <x:v>0</x:v>
      </x:c>
      <x:c r="M773" s="61"/>
    </x:row>
    <x:row r="774">
      <x:c r="A774" s="61" t="str">
        <x:f>IF(E774="","",MAX($A$6:A773)+1)</x:f>
      </x:c>
      <x:c r="B774" s="61"/>
      <x:c r="C774" s="61"/>
      <x:c r="D774" s="62"/>
      <x:c r="E774" s="61"/>
      <x:c r="F774" s="61"/>
      <x:c r="G774" s="63"/>
      <x:c r="H774" s="63" t="n">
        <x:f t="shared" ref="H774:H837" si="59">IFERROR(IF(OR($F$1="",D774=""),0,MAX(0,$F$1-D774)),0)</x:f>
        <x:v>0</x:v>
      </x:c>
      <x:c r="I774" s="64"/>
      <x:c r="J774" s="63" t="n">
        <x:f t="shared" ref="J774:J837" si="60">IFERROR(IF(OR(G774="",I774="",D774="",$F$1=""),0,IF($F$1&lt;D774,0,MIN(MAX(G774-1,0),MAX(0,(G774*I774/365)*H774)))),0)</x:f>
        <x:v>0</x:v>
      </x:c>
      <x:c r="K774" s="63" t="str">
        <x:f t="shared" si="58"/>
      </x:c>
      <x:c r="L774" s="63" t="n">
        <x:f t="shared" ref="L774:L837" si="61">IFERROR(IF(OR(G774="",I774="",D774="",$F$1=""),0,IF($F$1&lt;D774,0,IF(K774&lt;=1,0,MIN(G774*I774/12,K774-1)))),0)</x:f>
        <x:v>0</x:v>
      </x:c>
      <x:c r="M774" s="61"/>
    </x:row>
    <x:row r="775">
      <x:c r="A775" s="61" t="str">
        <x:f>IF(E775="","",MAX($A$6:A774)+1)</x:f>
      </x:c>
      <x:c r="B775" s="61"/>
      <x:c r="C775" s="61"/>
      <x:c r="D775" s="62"/>
      <x:c r="E775" s="61"/>
      <x:c r="F775" s="61"/>
      <x:c r="G775" s="63"/>
      <x:c r="H775" s="63">
        <x:f t="shared" si="59"/>
        <x:v>0</x:v>
      </x:c>
      <x:c r="I775" s="64"/>
      <x:c r="J775" s="63">
        <x:f t="shared" si="60"/>
        <x:v>0</x:v>
      </x:c>
      <x:c r="K775" s="63" t="str">
        <x:f t="shared" si="58"/>
      </x:c>
      <x:c r="L775" s="63">
        <x:f t="shared" si="61"/>
        <x:v>0</x:v>
      </x:c>
      <x:c r="M775" s="61"/>
    </x:row>
    <x:row r="776">
      <x:c r="A776" s="61" t="str">
        <x:f>IF(E776="","",MAX($A$6:A775)+1)</x:f>
      </x:c>
      <x:c r="B776" s="61"/>
      <x:c r="C776" s="61"/>
      <x:c r="D776" s="62"/>
      <x:c r="E776" s="61"/>
      <x:c r="F776" s="61"/>
      <x:c r="G776" s="63"/>
      <x:c r="H776" s="63">
        <x:f t="shared" si="59"/>
        <x:v>0</x:v>
      </x:c>
      <x:c r="I776" s="64"/>
      <x:c r="J776" s="63">
        <x:f t="shared" si="60"/>
        <x:v>0</x:v>
      </x:c>
      <x:c r="K776" s="63" t="str">
        <x:f t="shared" si="58"/>
      </x:c>
      <x:c r="L776" s="63">
        <x:f t="shared" si="61"/>
        <x:v>0</x:v>
      </x:c>
      <x:c r="M776" s="61"/>
    </x:row>
    <x:row r="777">
      <x:c r="A777" s="61" t="str">
        <x:f>IF(E777="","",MAX($A$6:A776)+1)</x:f>
      </x:c>
      <x:c r="B777" s="61"/>
      <x:c r="C777" s="61"/>
      <x:c r="D777" s="62"/>
      <x:c r="E777" s="61"/>
      <x:c r="F777" s="61"/>
      <x:c r="G777" s="63"/>
      <x:c r="H777" s="63">
        <x:f t="shared" si="59"/>
        <x:v>0</x:v>
      </x:c>
      <x:c r="I777" s="64"/>
      <x:c r="J777" s="63">
        <x:f t="shared" si="60"/>
        <x:v>0</x:v>
      </x:c>
      <x:c r="K777" s="63" t="str">
        <x:f t="shared" si="58"/>
      </x:c>
      <x:c r="L777" s="63">
        <x:f t="shared" si="61"/>
        <x:v>0</x:v>
      </x:c>
      <x:c r="M777" s="61"/>
    </x:row>
    <x:row r="778">
      <x:c r="A778" s="61" t="str">
        <x:f>IF(E778="","",MAX($A$6:A777)+1)</x:f>
      </x:c>
      <x:c r="B778" s="61"/>
      <x:c r="C778" s="61"/>
      <x:c r="D778" s="62"/>
      <x:c r="E778" s="61"/>
      <x:c r="F778" s="61"/>
      <x:c r="G778" s="63"/>
      <x:c r="H778" s="63">
        <x:f t="shared" si="59"/>
        <x:v>0</x:v>
      </x:c>
      <x:c r="I778" s="64"/>
      <x:c r="J778" s="63">
        <x:f t="shared" si="60"/>
        <x:v>0</x:v>
      </x:c>
      <x:c r="K778" s="63" t="str">
        <x:f t="shared" si="58"/>
      </x:c>
      <x:c r="L778" s="63">
        <x:f t="shared" si="61"/>
        <x:v>0</x:v>
      </x:c>
      <x:c r="M778" s="61"/>
    </x:row>
    <x:row r="779">
      <x:c r="A779" s="61" t="str">
        <x:f>IF(E779="","",MAX($A$6:A778)+1)</x:f>
      </x:c>
      <x:c r="B779" s="61"/>
      <x:c r="C779" s="61"/>
      <x:c r="D779" s="62"/>
      <x:c r="E779" s="61"/>
      <x:c r="F779" s="61"/>
      <x:c r="G779" s="63"/>
      <x:c r="H779" s="63">
        <x:f t="shared" si="59"/>
        <x:v>0</x:v>
      </x:c>
      <x:c r="I779" s="64"/>
      <x:c r="J779" s="63">
        <x:f t="shared" si="60"/>
        <x:v>0</x:v>
      </x:c>
      <x:c r="K779" s="63" t="str">
        <x:f t="shared" si="58"/>
      </x:c>
      <x:c r="L779" s="63">
        <x:f t="shared" si="61"/>
        <x:v>0</x:v>
      </x:c>
      <x:c r="M779" s="61"/>
    </x:row>
    <x:row r="780">
      <x:c r="A780" s="61" t="str">
        <x:f>IF(E780="","",MAX($A$6:A779)+1)</x:f>
      </x:c>
      <x:c r="B780" s="61"/>
      <x:c r="C780" s="61"/>
      <x:c r="D780" s="62"/>
      <x:c r="E780" s="61"/>
      <x:c r="F780" s="61"/>
      <x:c r="G780" s="63"/>
      <x:c r="H780" s="63">
        <x:f t="shared" si="59"/>
        <x:v>0</x:v>
      </x:c>
      <x:c r="I780" s="64"/>
      <x:c r="J780" s="63">
        <x:f t="shared" si="60"/>
        <x:v>0</x:v>
      </x:c>
      <x:c r="K780" s="63" t="str">
        <x:f t="shared" si="58"/>
      </x:c>
      <x:c r="L780" s="63">
        <x:f t="shared" si="61"/>
        <x:v>0</x:v>
      </x:c>
      <x:c r="M780" s="61"/>
    </x:row>
    <x:row r="781">
      <x:c r="A781" s="61" t="str">
        <x:f>IF(E781="","",MAX($A$6:A780)+1)</x:f>
      </x:c>
      <x:c r="B781" s="61"/>
      <x:c r="C781" s="61"/>
      <x:c r="D781" s="62"/>
      <x:c r="E781" s="61"/>
      <x:c r="F781" s="61"/>
      <x:c r="G781" s="63"/>
      <x:c r="H781" s="63">
        <x:f t="shared" si="59"/>
        <x:v>0</x:v>
      </x:c>
      <x:c r="I781" s="64"/>
      <x:c r="J781" s="63">
        <x:f t="shared" si="60"/>
        <x:v>0</x:v>
      </x:c>
      <x:c r="K781" s="63" t="str">
        <x:f t="shared" si="58"/>
      </x:c>
      <x:c r="L781" s="63">
        <x:f t="shared" si="61"/>
        <x:v>0</x:v>
      </x:c>
      <x:c r="M781" s="61"/>
    </x:row>
    <x:row r="782">
      <x:c r="A782" s="61" t="str">
        <x:f>IF(E782="","",MAX($A$6:A781)+1)</x:f>
      </x:c>
      <x:c r="B782" s="61"/>
      <x:c r="C782" s="61"/>
      <x:c r="D782" s="62"/>
      <x:c r="E782" s="61"/>
      <x:c r="F782" s="61"/>
      <x:c r="G782" s="63"/>
      <x:c r="H782" s="63">
        <x:f t="shared" si="59"/>
        <x:v>0</x:v>
      </x:c>
      <x:c r="I782" s="64"/>
      <x:c r="J782" s="63">
        <x:f t="shared" si="60"/>
        <x:v>0</x:v>
      </x:c>
      <x:c r="K782" s="63" t="str">
        <x:f t="shared" si="58"/>
      </x:c>
      <x:c r="L782" s="63">
        <x:f t="shared" si="61"/>
        <x:v>0</x:v>
      </x:c>
      <x:c r="M782" s="61"/>
    </x:row>
    <x:row r="783">
      <x:c r="A783" s="61" t="str">
        <x:f>IF(E783="","",MAX($A$6:A782)+1)</x:f>
      </x:c>
      <x:c r="B783" s="61"/>
      <x:c r="C783" s="61"/>
      <x:c r="D783" s="62"/>
      <x:c r="E783" s="61"/>
      <x:c r="F783" s="61"/>
      <x:c r="G783" s="63"/>
      <x:c r="H783" s="63">
        <x:f t="shared" si="59"/>
        <x:v>0</x:v>
      </x:c>
      <x:c r="I783" s="64"/>
      <x:c r="J783" s="63">
        <x:f t="shared" si="60"/>
        <x:v>0</x:v>
      </x:c>
      <x:c r="K783" s="63" t="str">
        <x:f t="shared" si="58"/>
      </x:c>
      <x:c r="L783" s="63">
        <x:f t="shared" si="61"/>
        <x:v>0</x:v>
      </x:c>
      <x:c r="M783" s="61"/>
    </x:row>
    <x:row r="784">
      <x:c r="A784" s="61" t="str">
        <x:f>IF(E784="","",MAX($A$6:A783)+1)</x:f>
      </x:c>
      <x:c r="B784" s="61"/>
      <x:c r="C784" s="61"/>
      <x:c r="D784" s="62"/>
      <x:c r="E784" s="61"/>
      <x:c r="F784" s="61"/>
      <x:c r="G784" s="63"/>
      <x:c r="H784" s="63">
        <x:f t="shared" si="59"/>
        <x:v>0</x:v>
      </x:c>
      <x:c r="I784" s="64"/>
      <x:c r="J784" s="63">
        <x:f t="shared" si="60"/>
        <x:v>0</x:v>
      </x:c>
      <x:c r="K784" s="63" t="str">
        <x:f t="shared" si="58"/>
      </x:c>
      <x:c r="L784" s="63">
        <x:f t="shared" si="61"/>
        <x:v>0</x:v>
      </x:c>
      <x:c r="M784" s="61"/>
    </x:row>
    <x:row r="785">
      <x:c r="A785" s="61" t="str">
        <x:f>IF(E785="","",MAX($A$6:A784)+1)</x:f>
      </x:c>
      <x:c r="B785" s="61"/>
      <x:c r="C785" s="61"/>
      <x:c r="D785" s="62"/>
      <x:c r="E785" s="61"/>
      <x:c r="F785" s="61"/>
      <x:c r="G785" s="63"/>
      <x:c r="H785" s="63">
        <x:f t="shared" si="59"/>
        <x:v>0</x:v>
      </x:c>
      <x:c r="I785" s="64"/>
      <x:c r="J785" s="63">
        <x:f t="shared" si="60"/>
        <x:v>0</x:v>
      </x:c>
      <x:c r="K785" s="63" t="str">
        <x:f t="shared" si="58"/>
      </x:c>
      <x:c r="L785" s="63">
        <x:f t="shared" si="61"/>
        <x:v>0</x:v>
      </x:c>
      <x:c r="M785" s="61"/>
    </x:row>
    <x:row r="786">
      <x:c r="A786" s="61" t="str">
        <x:f>IF(E786="","",MAX($A$6:A785)+1)</x:f>
      </x:c>
      <x:c r="B786" s="61"/>
      <x:c r="C786" s="61"/>
      <x:c r="D786" s="62"/>
      <x:c r="E786" s="61"/>
      <x:c r="F786" s="61"/>
      <x:c r="G786" s="63"/>
      <x:c r="H786" s="63">
        <x:f t="shared" si="59"/>
        <x:v>0</x:v>
      </x:c>
      <x:c r="I786" s="64"/>
      <x:c r="J786" s="63">
        <x:f t="shared" si="60"/>
        <x:v>0</x:v>
      </x:c>
      <x:c r="K786" s="63" t="str">
        <x:f t="shared" si="58"/>
      </x:c>
      <x:c r="L786" s="63">
        <x:f t="shared" si="61"/>
        <x:v>0</x:v>
      </x:c>
      <x:c r="M786" s="61"/>
    </x:row>
    <x:row r="787">
      <x:c r="A787" s="61" t="str">
        <x:f>IF(E787="","",MAX($A$6:A786)+1)</x:f>
      </x:c>
      <x:c r="B787" s="61"/>
      <x:c r="C787" s="61"/>
      <x:c r="D787" s="62"/>
      <x:c r="E787" s="61"/>
      <x:c r="F787" s="61"/>
      <x:c r="G787" s="63"/>
      <x:c r="H787" s="63">
        <x:f t="shared" si="59"/>
        <x:v>0</x:v>
      </x:c>
      <x:c r="I787" s="64"/>
      <x:c r="J787" s="63">
        <x:f t="shared" si="60"/>
        <x:v>0</x:v>
      </x:c>
      <x:c r="K787" s="63" t="str">
        <x:f t="shared" si="58"/>
      </x:c>
      <x:c r="L787" s="63">
        <x:f t="shared" si="61"/>
        <x:v>0</x:v>
      </x:c>
      <x:c r="M787" s="61"/>
    </x:row>
    <x:row r="788">
      <x:c r="A788" s="61" t="str">
        <x:f>IF(E788="","",MAX($A$6:A787)+1)</x:f>
      </x:c>
      <x:c r="B788" s="61"/>
      <x:c r="C788" s="61"/>
      <x:c r="D788" s="62"/>
      <x:c r="E788" s="61"/>
      <x:c r="F788" s="61"/>
      <x:c r="G788" s="63"/>
      <x:c r="H788" s="63">
        <x:f t="shared" si="59"/>
        <x:v>0</x:v>
      </x:c>
      <x:c r="I788" s="64"/>
      <x:c r="J788" s="63">
        <x:f t="shared" si="60"/>
        <x:v>0</x:v>
      </x:c>
      <x:c r="K788" s="63" t="str">
        <x:f t="shared" si="58"/>
      </x:c>
      <x:c r="L788" s="63">
        <x:f t="shared" si="61"/>
        <x:v>0</x:v>
      </x:c>
      <x:c r="M788" s="61"/>
    </x:row>
    <x:row r="789">
      <x:c r="A789" s="61" t="str">
        <x:f>IF(E789="","",MAX($A$6:A788)+1)</x:f>
      </x:c>
      <x:c r="B789" s="61"/>
      <x:c r="C789" s="61"/>
      <x:c r="D789" s="62"/>
      <x:c r="E789" s="61"/>
      <x:c r="F789" s="61"/>
      <x:c r="G789" s="63"/>
      <x:c r="H789" s="63">
        <x:f t="shared" si="59"/>
        <x:v>0</x:v>
      </x:c>
      <x:c r="I789" s="64"/>
      <x:c r="J789" s="63">
        <x:f t="shared" si="60"/>
        <x:v>0</x:v>
      </x:c>
      <x:c r="K789" s="63" t="str">
        <x:f t="shared" si="58"/>
      </x:c>
      <x:c r="L789" s="63">
        <x:f t="shared" si="61"/>
        <x:v>0</x:v>
      </x:c>
      <x:c r="M789" s="61"/>
    </x:row>
    <x:row r="790">
      <x:c r="A790" s="61" t="str">
        <x:f>IF(E790="","",MAX($A$6:A789)+1)</x:f>
      </x:c>
      <x:c r="B790" s="61"/>
      <x:c r="C790" s="61"/>
      <x:c r="D790" s="62"/>
      <x:c r="E790" s="61"/>
      <x:c r="F790" s="61"/>
      <x:c r="G790" s="63"/>
      <x:c r="H790" s="63">
        <x:f t="shared" si="59"/>
        <x:v>0</x:v>
      </x:c>
      <x:c r="I790" s="64"/>
      <x:c r="J790" s="63">
        <x:f t="shared" si="60"/>
        <x:v>0</x:v>
      </x:c>
      <x:c r="K790" s="63" t="str">
        <x:f t="shared" si="58"/>
      </x:c>
      <x:c r="L790" s="63">
        <x:f t="shared" si="61"/>
        <x:v>0</x:v>
      </x:c>
      <x:c r="M790" s="61"/>
    </x:row>
    <x:row r="791">
      <x:c r="A791" s="61" t="str">
        <x:f>IF(E791="","",MAX($A$6:A790)+1)</x:f>
      </x:c>
      <x:c r="B791" s="61"/>
      <x:c r="C791" s="61"/>
      <x:c r="D791" s="62"/>
      <x:c r="E791" s="61"/>
      <x:c r="F791" s="61"/>
      <x:c r="G791" s="63"/>
      <x:c r="H791" s="63">
        <x:f t="shared" si="59"/>
        <x:v>0</x:v>
      </x:c>
      <x:c r="I791" s="64"/>
      <x:c r="J791" s="63">
        <x:f t="shared" si="60"/>
        <x:v>0</x:v>
      </x:c>
      <x:c r="K791" s="63" t="str">
        <x:f t="shared" si="58"/>
      </x:c>
      <x:c r="L791" s="63">
        <x:f t="shared" si="61"/>
        <x:v>0</x:v>
      </x:c>
      <x:c r="M791" s="61"/>
    </x:row>
    <x:row r="792">
      <x:c r="A792" s="61" t="str">
        <x:f>IF(E792="","",MAX($A$6:A791)+1)</x:f>
      </x:c>
      <x:c r="B792" s="61"/>
      <x:c r="C792" s="61"/>
      <x:c r="D792" s="62"/>
      <x:c r="E792" s="61"/>
      <x:c r="F792" s="61"/>
      <x:c r="G792" s="63"/>
      <x:c r="H792" s="63">
        <x:f t="shared" si="59"/>
        <x:v>0</x:v>
      </x:c>
      <x:c r="I792" s="64"/>
      <x:c r="J792" s="63">
        <x:f t="shared" si="60"/>
        <x:v>0</x:v>
      </x:c>
      <x:c r="K792" s="63" t="str">
        <x:f t="shared" si="58"/>
      </x:c>
      <x:c r="L792" s="63">
        <x:f t="shared" si="61"/>
        <x:v>0</x:v>
      </x:c>
      <x:c r="M792" s="61"/>
    </x:row>
    <x:row r="793">
      <x:c r="A793" s="61" t="str">
        <x:f>IF(E793="","",MAX($A$6:A792)+1)</x:f>
      </x:c>
      <x:c r="B793" s="61"/>
      <x:c r="C793" s="61"/>
      <x:c r="D793" s="62"/>
      <x:c r="E793" s="61"/>
      <x:c r="F793" s="61"/>
      <x:c r="G793" s="63"/>
      <x:c r="H793" s="63">
        <x:f t="shared" si="59"/>
        <x:v>0</x:v>
      </x:c>
      <x:c r="I793" s="64"/>
      <x:c r="J793" s="63">
        <x:f t="shared" si="60"/>
        <x:v>0</x:v>
      </x:c>
      <x:c r="K793" s="63" t="str">
        <x:f t="shared" si="58"/>
      </x:c>
      <x:c r="L793" s="63">
        <x:f t="shared" si="61"/>
        <x:v>0</x:v>
      </x:c>
      <x:c r="M793" s="61"/>
    </x:row>
    <x:row r="794">
      <x:c r="A794" s="61" t="str">
        <x:f>IF(E794="","",MAX($A$6:A793)+1)</x:f>
      </x:c>
      <x:c r="B794" s="61"/>
      <x:c r="C794" s="61"/>
      <x:c r="D794" s="62"/>
      <x:c r="E794" s="61"/>
      <x:c r="F794" s="61"/>
      <x:c r="G794" s="63"/>
      <x:c r="H794" s="63">
        <x:f t="shared" si="59"/>
        <x:v>0</x:v>
      </x:c>
      <x:c r="I794" s="64"/>
      <x:c r="J794" s="63">
        <x:f t="shared" si="60"/>
        <x:v>0</x:v>
      </x:c>
      <x:c r="K794" s="63" t="str">
        <x:f t="shared" si="58"/>
      </x:c>
      <x:c r="L794" s="63">
        <x:f t="shared" si="61"/>
        <x:v>0</x:v>
      </x:c>
      <x:c r="M794" s="61"/>
    </x:row>
    <x:row r="795">
      <x:c r="A795" s="61" t="str">
        <x:f>IF(E795="","",MAX($A$6:A794)+1)</x:f>
      </x:c>
      <x:c r="B795" s="61"/>
      <x:c r="C795" s="61"/>
      <x:c r="D795" s="62"/>
      <x:c r="E795" s="61"/>
      <x:c r="F795" s="61"/>
      <x:c r="G795" s="63"/>
      <x:c r="H795" s="63">
        <x:f t="shared" si="59"/>
        <x:v>0</x:v>
      </x:c>
      <x:c r="I795" s="64"/>
      <x:c r="J795" s="63">
        <x:f t="shared" si="60"/>
        <x:v>0</x:v>
      </x:c>
      <x:c r="K795" s="63" t="str">
        <x:f t="shared" si="58"/>
      </x:c>
      <x:c r="L795" s="63">
        <x:f t="shared" si="61"/>
        <x:v>0</x:v>
      </x:c>
      <x:c r="M795" s="61"/>
    </x:row>
    <x:row r="796">
      <x:c r="A796" s="61" t="str">
        <x:f>IF(E796="","",MAX($A$6:A795)+1)</x:f>
      </x:c>
      <x:c r="B796" s="61"/>
      <x:c r="C796" s="61"/>
      <x:c r="D796" s="62"/>
      <x:c r="E796" s="61"/>
      <x:c r="F796" s="61"/>
      <x:c r="G796" s="63"/>
      <x:c r="H796" s="63">
        <x:f t="shared" si="59"/>
        <x:v>0</x:v>
      </x:c>
      <x:c r="I796" s="64"/>
      <x:c r="J796" s="63">
        <x:f t="shared" si="60"/>
        <x:v>0</x:v>
      </x:c>
      <x:c r="K796" s="63" t="str">
        <x:f t="shared" si="58"/>
      </x:c>
      <x:c r="L796" s="63">
        <x:f t="shared" si="61"/>
        <x:v>0</x:v>
      </x:c>
      <x:c r="M796" s="61"/>
    </x:row>
    <x:row r="797">
      <x:c r="A797" s="61" t="str">
        <x:f>IF(E797="","",MAX($A$6:A796)+1)</x:f>
      </x:c>
      <x:c r="B797" s="61"/>
      <x:c r="C797" s="61"/>
      <x:c r="D797" s="62"/>
      <x:c r="E797" s="61"/>
      <x:c r="F797" s="61"/>
      <x:c r="G797" s="63"/>
      <x:c r="H797" s="63">
        <x:f t="shared" si="59"/>
        <x:v>0</x:v>
      </x:c>
      <x:c r="I797" s="64"/>
      <x:c r="J797" s="63">
        <x:f t="shared" si="60"/>
        <x:v>0</x:v>
      </x:c>
      <x:c r="K797" s="63" t="str">
        <x:f t="shared" si="58"/>
      </x:c>
      <x:c r="L797" s="63">
        <x:f t="shared" si="61"/>
        <x:v>0</x:v>
      </x:c>
      <x:c r="M797" s="61"/>
    </x:row>
    <x:row r="798">
      <x:c r="A798" s="61" t="str">
        <x:f>IF(E798="","",MAX($A$6:A797)+1)</x:f>
      </x:c>
      <x:c r="B798" s="61"/>
      <x:c r="C798" s="61"/>
      <x:c r="D798" s="62"/>
      <x:c r="E798" s="61"/>
      <x:c r="F798" s="61"/>
      <x:c r="G798" s="63"/>
      <x:c r="H798" s="63">
        <x:f t="shared" si="59"/>
        <x:v>0</x:v>
      </x:c>
      <x:c r="I798" s="64"/>
      <x:c r="J798" s="63">
        <x:f t="shared" si="60"/>
        <x:v>0</x:v>
      </x:c>
      <x:c r="K798" s="63" t="str">
        <x:f t="shared" si="58"/>
      </x:c>
      <x:c r="L798" s="63">
        <x:f t="shared" si="61"/>
        <x:v>0</x:v>
      </x:c>
      <x:c r="M798" s="61"/>
    </x:row>
    <x:row r="799">
      <x:c r="A799" s="61" t="str">
        <x:f>IF(E799="","",MAX($A$6:A798)+1)</x:f>
      </x:c>
      <x:c r="B799" s="61"/>
      <x:c r="C799" s="61"/>
      <x:c r="D799" s="62"/>
      <x:c r="E799" s="61"/>
      <x:c r="F799" s="61"/>
      <x:c r="G799" s="63"/>
      <x:c r="H799" s="63">
        <x:f t="shared" si="59"/>
        <x:v>0</x:v>
      </x:c>
      <x:c r="I799" s="64"/>
      <x:c r="J799" s="63">
        <x:f t="shared" si="60"/>
        <x:v>0</x:v>
      </x:c>
      <x:c r="K799" s="63" t="str">
        <x:f t="shared" si="58"/>
      </x:c>
      <x:c r="L799" s="63">
        <x:f t="shared" si="61"/>
        <x:v>0</x:v>
      </x:c>
      <x:c r="M799" s="61"/>
    </x:row>
    <x:row r="800">
      <x:c r="A800" s="61" t="str">
        <x:f>IF(E800="","",MAX($A$6:A799)+1)</x:f>
      </x:c>
      <x:c r="B800" s="61"/>
      <x:c r="C800" s="61"/>
      <x:c r="D800" s="62"/>
      <x:c r="E800" s="61"/>
      <x:c r="F800" s="61"/>
      <x:c r="G800" s="63"/>
      <x:c r="H800" s="63">
        <x:f t="shared" si="59"/>
        <x:v>0</x:v>
      </x:c>
      <x:c r="I800" s="64"/>
      <x:c r="J800" s="63">
        <x:f t="shared" si="60"/>
        <x:v>0</x:v>
      </x:c>
      <x:c r="K800" s="63" t="str">
        <x:f t="shared" si="58"/>
      </x:c>
      <x:c r="L800" s="63">
        <x:f t="shared" si="61"/>
        <x:v>0</x:v>
      </x:c>
      <x:c r="M800" s="61"/>
    </x:row>
    <x:row r="801">
      <x:c r="A801" s="61" t="str">
        <x:f>IF(E801="","",MAX($A$6:A800)+1)</x:f>
      </x:c>
      <x:c r="B801" s="61"/>
      <x:c r="C801" s="61"/>
      <x:c r="D801" s="62"/>
      <x:c r="E801" s="61"/>
      <x:c r="F801" s="61"/>
      <x:c r="G801" s="63"/>
      <x:c r="H801" s="63">
        <x:f t="shared" si="59"/>
        <x:v>0</x:v>
      </x:c>
      <x:c r="I801" s="64"/>
      <x:c r="J801" s="63">
        <x:f t="shared" si="60"/>
        <x:v>0</x:v>
      </x:c>
      <x:c r="K801" s="63" t="str">
        <x:f t="shared" si="58"/>
      </x:c>
      <x:c r="L801" s="63">
        <x:f t="shared" si="61"/>
        <x:v>0</x:v>
      </x:c>
      <x:c r="M801" s="61"/>
    </x:row>
    <x:row r="802">
      <x:c r="A802" s="61" t="str">
        <x:f>IF(E802="","",MAX($A$6:A801)+1)</x:f>
      </x:c>
      <x:c r="B802" s="61"/>
      <x:c r="C802" s="61"/>
      <x:c r="D802" s="62"/>
      <x:c r="E802" s="61"/>
      <x:c r="F802" s="61"/>
      <x:c r="G802" s="63"/>
      <x:c r="H802" s="63">
        <x:f t="shared" si="59"/>
        <x:v>0</x:v>
      </x:c>
      <x:c r="I802" s="64"/>
      <x:c r="J802" s="63">
        <x:f t="shared" si="60"/>
        <x:v>0</x:v>
      </x:c>
      <x:c r="K802" s="63" t="str">
        <x:f t="shared" si="58"/>
      </x:c>
      <x:c r="L802" s="63">
        <x:f t="shared" si="61"/>
        <x:v>0</x:v>
      </x:c>
      <x:c r="M802" s="61"/>
    </x:row>
    <x:row r="803">
      <x:c r="A803" s="61" t="str">
        <x:f>IF(E803="","",MAX($A$6:A802)+1)</x:f>
      </x:c>
      <x:c r="B803" s="61"/>
      <x:c r="C803" s="61"/>
      <x:c r="D803" s="62"/>
      <x:c r="E803" s="61"/>
      <x:c r="F803" s="61"/>
      <x:c r="G803" s="63"/>
      <x:c r="H803" s="63">
        <x:f t="shared" si="59"/>
        <x:v>0</x:v>
      </x:c>
      <x:c r="I803" s="64"/>
      <x:c r="J803" s="63">
        <x:f t="shared" si="60"/>
        <x:v>0</x:v>
      </x:c>
      <x:c r="K803" s="63" t="str">
        <x:f t="shared" si="58"/>
      </x:c>
      <x:c r="L803" s="63">
        <x:f t="shared" si="61"/>
        <x:v>0</x:v>
      </x:c>
      <x:c r="M803" s="61"/>
    </x:row>
    <x:row r="804">
      <x:c r="A804" s="61" t="str">
        <x:f>IF(E804="","",MAX($A$6:A803)+1)</x:f>
      </x:c>
      <x:c r="B804" s="61"/>
      <x:c r="C804" s="61"/>
      <x:c r="D804" s="62"/>
      <x:c r="E804" s="61"/>
      <x:c r="F804" s="61"/>
      <x:c r="G804" s="63"/>
      <x:c r="H804" s="63">
        <x:f t="shared" si="59"/>
        <x:v>0</x:v>
      </x:c>
      <x:c r="I804" s="64"/>
      <x:c r="J804" s="63">
        <x:f t="shared" si="60"/>
        <x:v>0</x:v>
      </x:c>
      <x:c r="K804" s="63" t="str">
        <x:f t="shared" si="58"/>
      </x:c>
      <x:c r="L804" s="63">
        <x:f t="shared" si="61"/>
        <x:v>0</x:v>
      </x:c>
      <x:c r="M804" s="61"/>
    </x:row>
    <x:row r="805">
      <x:c r="A805" s="61" t="str">
        <x:f>IF(E805="","",MAX($A$6:A804)+1)</x:f>
      </x:c>
      <x:c r="B805" s="61"/>
      <x:c r="C805" s="61"/>
      <x:c r="D805" s="62"/>
      <x:c r="E805" s="61"/>
      <x:c r="F805" s="61"/>
      <x:c r="G805" s="63"/>
      <x:c r="H805" s="63">
        <x:f t="shared" si="59"/>
        <x:v>0</x:v>
      </x:c>
      <x:c r="I805" s="64"/>
      <x:c r="J805" s="63">
        <x:f t="shared" si="60"/>
        <x:v>0</x:v>
      </x:c>
      <x:c r="K805" s="63" t="str">
        <x:f t="shared" si="58"/>
      </x:c>
      <x:c r="L805" s="63">
        <x:f t="shared" si="61"/>
        <x:v>0</x:v>
      </x:c>
      <x:c r="M805" s="61"/>
    </x:row>
    <x:row r="806">
      <x:c r="A806" s="61" t="str">
        <x:f>IF(E806="","",MAX($A$6:A805)+1)</x:f>
      </x:c>
      <x:c r="B806" s="61"/>
      <x:c r="C806" s="61"/>
      <x:c r="D806" s="62"/>
      <x:c r="E806" s="61"/>
      <x:c r="F806" s="61"/>
      <x:c r="G806" s="63"/>
      <x:c r="H806" s="63">
        <x:f t="shared" si="59"/>
        <x:v>0</x:v>
      </x:c>
      <x:c r="I806" s="64"/>
      <x:c r="J806" s="63">
        <x:f t="shared" si="60"/>
        <x:v>0</x:v>
      </x:c>
      <x:c r="K806" s="63" t="str">
        <x:f t="shared" si="58"/>
      </x:c>
      <x:c r="L806" s="63">
        <x:f t="shared" si="61"/>
        <x:v>0</x:v>
      </x:c>
      <x:c r="M806" s="61"/>
    </x:row>
    <x:row r="807">
      <x:c r="A807" s="61" t="str">
        <x:f>IF(E807="","",MAX($A$6:A806)+1)</x:f>
      </x:c>
      <x:c r="B807" s="61"/>
      <x:c r="C807" s="61"/>
      <x:c r="D807" s="62"/>
      <x:c r="E807" s="61"/>
      <x:c r="F807" s="61"/>
      <x:c r="G807" s="63"/>
      <x:c r="H807" s="63">
        <x:f t="shared" si="59"/>
        <x:v>0</x:v>
      </x:c>
      <x:c r="I807" s="64"/>
      <x:c r="J807" s="63">
        <x:f t="shared" si="60"/>
        <x:v>0</x:v>
      </x:c>
      <x:c r="K807" s="63" t="str">
        <x:f t="shared" si="58"/>
      </x:c>
      <x:c r="L807" s="63">
        <x:f t="shared" si="61"/>
        <x:v>0</x:v>
      </x:c>
      <x:c r="M807" s="61"/>
    </x:row>
    <x:row r="808">
      <x:c r="A808" s="61" t="str">
        <x:f>IF(E808="","",MAX($A$6:A807)+1)</x:f>
      </x:c>
      <x:c r="B808" s="61"/>
      <x:c r="C808" s="61"/>
      <x:c r="D808" s="62"/>
      <x:c r="E808" s="61"/>
      <x:c r="F808" s="61"/>
      <x:c r="G808" s="63"/>
      <x:c r="H808" s="63">
        <x:f t="shared" si="59"/>
        <x:v>0</x:v>
      </x:c>
      <x:c r="I808" s="64"/>
      <x:c r="J808" s="63">
        <x:f t="shared" si="60"/>
        <x:v>0</x:v>
      </x:c>
      <x:c r="K808" s="63" t="str">
        <x:f t="shared" si="58"/>
      </x:c>
      <x:c r="L808" s="63">
        <x:f t="shared" si="61"/>
        <x:v>0</x:v>
      </x:c>
      <x:c r="M808" s="61"/>
    </x:row>
    <x:row r="809">
      <x:c r="A809" s="61" t="str">
        <x:f>IF(E809="","",MAX($A$6:A808)+1)</x:f>
      </x:c>
      <x:c r="B809" s="61"/>
      <x:c r="C809" s="61"/>
      <x:c r="D809" s="62"/>
      <x:c r="E809" s="61"/>
      <x:c r="F809" s="61"/>
      <x:c r="G809" s="63"/>
      <x:c r="H809" s="63">
        <x:f t="shared" si="59"/>
        <x:v>0</x:v>
      </x:c>
      <x:c r="I809" s="64"/>
      <x:c r="J809" s="63">
        <x:f t="shared" si="60"/>
        <x:v>0</x:v>
      </x:c>
      <x:c r="K809" s="63" t="str">
        <x:f t="shared" si="58"/>
      </x:c>
      <x:c r="L809" s="63">
        <x:f t="shared" si="61"/>
        <x:v>0</x:v>
      </x:c>
      <x:c r="M809" s="61"/>
    </x:row>
    <x:row r="810">
      <x:c r="A810" s="61" t="str">
        <x:f>IF(E810="","",MAX($A$6:A809)+1)</x:f>
      </x:c>
      <x:c r="B810" s="61"/>
      <x:c r="C810" s="61"/>
      <x:c r="D810" s="62"/>
      <x:c r="E810" s="61"/>
      <x:c r="F810" s="61"/>
      <x:c r="G810" s="63"/>
      <x:c r="H810" s="63">
        <x:f t="shared" si="59"/>
        <x:v>0</x:v>
      </x:c>
      <x:c r="I810" s="64"/>
      <x:c r="J810" s="63">
        <x:f t="shared" si="60"/>
        <x:v>0</x:v>
      </x:c>
      <x:c r="K810" s="63" t="str">
        <x:f t="shared" si="58"/>
      </x:c>
      <x:c r="L810" s="63">
        <x:f t="shared" si="61"/>
        <x:v>0</x:v>
      </x:c>
      <x:c r="M810" s="61"/>
    </x:row>
    <x:row r="811">
      <x:c r="A811" s="61" t="str">
        <x:f>IF(E811="","",MAX($A$6:A810)+1)</x:f>
      </x:c>
      <x:c r="B811" s="61"/>
      <x:c r="C811" s="61"/>
      <x:c r="D811" s="62"/>
      <x:c r="E811" s="61"/>
      <x:c r="F811" s="61"/>
      <x:c r="G811" s="63"/>
      <x:c r="H811" s="63">
        <x:f t="shared" si="59"/>
        <x:v>0</x:v>
      </x:c>
      <x:c r="I811" s="64"/>
      <x:c r="J811" s="63">
        <x:f t="shared" si="60"/>
        <x:v>0</x:v>
      </x:c>
      <x:c r="K811" s="63" t="str">
        <x:f t="shared" si="58"/>
      </x:c>
      <x:c r="L811" s="63">
        <x:f t="shared" si="61"/>
        <x:v>0</x:v>
      </x:c>
      <x:c r="M811" s="61"/>
    </x:row>
    <x:row r="812">
      <x:c r="A812" s="61" t="str">
        <x:f>IF(E812="","",MAX($A$6:A811)+1)</x:f>
      </x:c>
      <x:c r="B812" s="61"/>
      <x:c r="C812" s="61"/>
      <x:c r="D812" s="62"/>
      <x:c r="E812" s="61"/>
      <x:c r="F812" s="61"/>
      <x:c r="G812" s="63"/>
      <x:c r="H812" s="63">
        <x:f t="shared" si="59"/>
        <x:v>0</x:v>
      </x:c>
      <x:c r="I812" s="64"/>
      <x:c r="J812" s="63">
        <x:f t="shared" si="60"/>
        <x:v>0</x:v>
      </x:c>
      <x:c r="K812" s="63" t="str">
        <x:f t="shared" si="58"/>
      </x:c>
      <x:c r="L812" s="63">
        <x:f t="shared" si="61"/>
        <x:v>0</x:v>
      </x:c>
      <x:c r="M812" s="61"/>
    </x:row>
    <x:row r="813">
      <x:c r="A813" s="61" t="str">
        <x:f>IF(E813="","",MAX($A$6:A812)+1)</x:f>
      </x:c>
      <x:c r="B813" s="61"/>
      <x:c r="C813" s="61"/>
      <x:c r="D813" s="62"/>
      <x:c r="E813" s="61"/>
      <x:c r="F813" s="61"/>
      <x:c r="G813" s="63"/>
      <x:c r="H813" s="63">
        <x:f t="shared" si="59"/>
        <x:v>0</x:v>
      </x:c>
      <x:c r="I813" s="64"/>
      <x:c r="J813" s="63">
        <x:f t="shared" si="60"/>
        <x:v>0</x:v>
      </x:c>
      <x:c r="K813" s="63" t="str">
        <x:f t="shared" si="58"/>
      </x:c>
      <x:c r="L813" s="63">
        <x:f t="shared" si="61"/>
        <x:v>0</x:v>
      </x:c>
      <x:c r="M813" s="61"/>
    </x:row>
    <x:row r="814">
      <x:c r="A814" s="61" t="str">
        <x:f>IF(E814="","",MAX($A$6:A813)+1)</x:f>
      </x:c>
      <x:c r="B814" s="61"/>
      <x:c r="C814" s="61"/>
      <x:c r="D814" s="62"/>
      <x:c r="E814" s="61"/>
      <x:c r="F814" s="61"/>
      <x:c r="G814" s="63"/>
      <x:c r="H814" s="63">
        <x:f t="shared" si="59"/>
        <x:v>0</x:v>
      </x:c>
      <x:c r="I814" s="64"/>
      <x:c r="J814" s="63">
        <x:f t="shared" si="60"/>
        <x:v>0</x:v>
      </x:c>
      <x:c r="K814" s="63" t="str">
        <x:f t="shared" si="58"/>
      </x:c>
      <x:c r="L814" s="63">
        <x:f t="shared" si="61"/>
        <x:v>0</x:v>
      </x:c>
      <x:c r="M814" s="61"/>
    </x:row>
    <x:row r="815">
      <x:c r="A815" s="61" t="str">
        <x:f>IF(E815="","",MAX($A$6:A814)+1)</x:f>
      </x:c>
      <x:c r="B815" s="61"/>
      <x:c r="C815" s="61"/>
      <x:c r="D815" s="62"/>
      <x:c r="E815" s="61"/>
      <x:c r="F815" s="61"/>
      <x:c r="G815" s="63"/>
      <x:c r="H815" s="63">
        <x:f t="shared" si="59"/>
        <x:v>0</x:v>
      </x:c>
      <x:c r="I815" s="64"/>
      <x:c r="J815" s="63">
        <x:f t="shared" si="60"/>
        <x:v>0</x:v>
      </x:c>
      <x:c r="K815" s="63" t="str">
        <x:f t="shared" si="58"/>
      </x:c>
      <x:c r="L815" s="63">
        <x:f t="shared" si="61"/>
        <x:v>0</x:v>
      </x:c>
      <x:c r="M815" s="61"/>
    </x:row>
    <x:row r="816">
      <x:c r="A816" s="61" t="str">
        <x:f>IF(E816="","",MAX($A$6:A815)+1)</x:f>
      </x:c>
      <x:c r="B816" s="61"/>
      <x:c r="C816" s="61"/>
      <x:c r="D816" s="62"/>
      <x:c r="E816" s="61"/>
      <x:c r="F816" s="61"/>
      <x:c r="G816" s="63"/>
      <x:c r="H816" s="63">
        <x:f t="shared" si="59"/>
        <x:v>0</x:v>
      </x:c>
      <x:c r="I816" s="64"/>
      <x:c r="J816" s="63">
        <x:f t="shared" si="60"/>
        <x:v>0</x:v>
      </x:c>
      <x:c r="K816" s="63" t="str">
        <x:f t="shared" si="58"/>
      </x:c>
      <x:c r="L816" s="63">
        <x:f t="shared" si="61"/>
        <x:v>0</x:v>
      </x:c>
      <x:c r="M816" s="61"/>
    </x:row>
    <x:row r="817">
      <x:c r="A817" s="61" t="str">
        <x:f>IF(E817="","",MAX($A$6:A816)+1)</x:f>
      </x:c>
      <x:c r="B817" s="61"/>
      <x:c r="C817" s="61"/>
      <x:c r="D817" s="62"/>
      <x:c r="E817" s="61"/>
      <x:c r="F817" s="61"/>
      <x:c r="G817" s="63"/>
      <x:c r="H817" s="63">
        <x:f t="shared" si="59"/>
        <x:v>0</x:v>
      </x:c>
      <x:c r="I817" s="64"/>
      <x:c r="J817" s="63">
        <x:f t="shared" si="60"/>
        <x:v>0</x:v>
      </x:c>
      <x:c r="K817" s="63" t="str">
        <x:f t="shared" si="58"/>
      </x:c>
      <x:c r="L817" s="63">
        <x:f t="shared" si="61"/>
        <x:v>0</x:v>
      </x:c>
      <x:c r="M817" s="61"/>
    </x:row>
    <x:row r="818">
      <x:c r="A818" s="61" t="str">
        <x:f>IF(E818="","",MAX($A$6:A817)+1)</x:f>
      </x:c>
      <x:c r="B818" s="61"/>
      <x:c r="C818" s="61"/>
      <x:c r="D818" s="62"/>
      <x:c r="E818" s="61"/>
      <x:c r="F818" s="61"/>
      <x:c r="G818" s="63"/>
      <x:c r="H818" s="63">
        <x:f t="shared" si="59"/>
        <x:v>0</x:v>
      </x:c>
      <x:c r="I818" s="64"/>
      <x:c r="J818" s="63">
        <x:f t="shared" si="60"/>
        <x:v>0</x:v>
      </x:c>
      <x:c r="K818" s="63" t="str">
        <x:f t="shared" si="58"/>
      </x:c>
      <x:c r="L818" s="63">
        <x:f t="shared" si="61"/>
        <x:v>0</x:v>
      </x:c>
      <x:c r="M818" s="61"/>
    </x:row>
    <x:row r="819">
      <x:c r="A819" s="61" t="str">
        <x:f>IF(E819="","",MAX($A$6:A818)+1)</x:f>
      </x:c>
      <x:c r="B819" s="61"/>
      <x:c r="C819" s="61"/>
      <x:c r="D819" s="62"/>
      <x:c r="E819" s="61"/>
      <x:c r="F819" s="61"/>
      <x:c r="G819" s="63"/>
      <x:c r="H819" s="63">
        <x:f t="shared" si="59"/>
        <x:v>0</x:v>
      </x:c>
      <x:c r="I819" s="64"/>
      <x:c r="J819" s="63">
        <x:f t="shared" si="60"/>
        <x:v>0</x:v>
      </x:c>
      <x:c r="K819" s="63" t="str">
        <x:f t="shared" si="58"/>
      </x:c>
      <x:c r="L819" s="63">
        <x:f t="shared" si="61"/>
        <x:v>0</x:v>
      </x:c>
      <x:c r="M819" s="61"/>
    </x:row>
    <x:row r="820">
      <x:c r="A820" s="61" t="str">
        <x:f>IF(E820="","",MAX($A$6:A819)+1)</x:f>
      </x:c>
      <x:c r="B820" s="61"/>
      <x:c r="C820" s="61"/>
      <x:c r="D820" s="62"/>
      <x:c r="E820" s="61"/>
      <x:c r="F820" s="61"/>
      <x:c r="G820" s="63"/>
      <x:c r="H820" s="63">
        <x:f t="shared" si="59"/>
        <x:v>0</x:v>
      </x:c>
      <x:c r="I820" s="64"/>
      <x:c r="J820" s="63">
        <x:f t="shared" si="60"/>
        <x:v>0</x:v>
      </x:c>
      <x:c r="K820" s="63" t="str">
        <x:f t="shared" si="58"/>
      </x:c>
      <x:c r="L820" s="63">
        <x:f t="shared" si="61"/>
        <x:v>0</x:v>
      </x:c>
      <x:c r="M820" s="61"/>
    </x:row>
    <x:row r="821">
      <x:c r="A821" s="61" t="str">
        <x:f>IF(E821="","",MAX($A$6:A820)+1)</x:f>
      </x:c>
      <x:c r="B821" s="61"/>
      <x:c r="C821" s="61"/>
      <x:c r="D821" s="62"/>
      <x:c r="E821" s="61"/>
      <x:c r="F821" s="61"/>
      <x:c r="G821" s="63"/>
      <x:c r="H821" s="63">
        <x:f t="shared" si="59"/>
        <x:v>0</x:v>
      </x:c>
      <x:c r="I821" s="64"/>
      <x:c r="J821" s="63">
        <x:f t="shared" si="60"/>
        <x:v>0</x:v>
      </x:c>
      <x:c r="K821" s="63" t="str">
        <x:f t="shared" si="58"/>
      </x:c>
      <x:c r="L821" s="63">
        <x:f t="shared" si="61"/>
        <x:v>0</x:v>
      </x:c>
      <x:c r="M821" s="61"/>
    </x:row>
    <x:row r="822">
      <x:c r="A822" s="61" t="str">
        <x:f>IF(E822="","",MAX($A$6:A821)+1)</x:f>
      </x:c>
      <x:c r="B822" s="61"/>
      <x:c r="C822" s="61"/>
      <x:c r="D822" s="62"/>
      <x:c r="E822" s="61"/>
      <x:c r="F822" s="61"/>
      <x:c r="G822" s="63"/>
      <x:c r="H822" s="63">
        <x:f t="shared" si="59"/>
        <x:v>0</x:v>
      </x:c>
      <x:c r="I822" s="64"/>
      <x:c r="J822" s="63">
        <x:f t="shared" si="60"/>
        <x:v>0</x:v>
      </x:c>
      <x:c r="K822" s="63" t="str">
        <x:f t="shared" ref="K822:K885" si="62">IFERROR(IF(G822="","",MAX(1,G822-J822)),0)</x:f>
      </x:c>
      <x:c r="L822" s="63">
        <x:f t="shared" si="61"/>
        <x:v>0</x:v>
      </x:c>
      <x:c r="M822" s="61"/>
    </x:row>
    <x:row r="823">
      <x:c r="A823" s="61" t="str">
        <x:f>IF(E823="","",MAX($A$6:A822)+1)</x:f>
      </x:c>
      <x:c r="B823" s="61"/>
      <x:c r="C823" s="61"/>
      <x:c r="D823" s="62"/>
      <x:c r="E823" s="61"/>
      <x:c r="F823" s="61"/>
      <x:c r="G823" s="63"/>
      <x:c r="H823" s="63">
        <x:f t="shared" si="59"/>
        <x:v>0</x:v>
      </x:c>
      <x:c r="I823" s="64"/>
      <x:c r="J823" s="63">
        <x:f t="shared" si="60"/>
        <x:v>0</x:v>
      </x:c>
      <x:c r="K823" s="63" t="str">
        <x:f t="shared" si="62"/>
      </x:c>
      <x:c r="L823" s="63">
        <x:f t="shared" si="61"/>
        <x:v>0</x:v>
      </x:c>
      <x:c r="M823" s="61"/>
    </x:row>
    <x:row r="824">
      <x:c r="A824" s="61" t="str">
        <x:f>IF(E824="","",MAX($A$6:A823)+1)</x:f>
      </x:c>
      <x:c r="B824" s="61"/>
      <x:c r="C824" s="61"/>
      <x:c r="D824" s="62"/>
      <x:c r="E824" s="61"/>
      <x:c r="F824" s="61"/>
      <x:c r="G824" s="63"/>
      <x:c r="H824" s="63">
        <x:f t="shared" si="59"/>
        <x:v>0</x:v>
      </x:c>
      <x:c r="I824" s="64"/>
      <x:c r="J824" s="63">
        <x:f t="shared" si="60"/>
        <x:v>0</x:v>
      </x:c>
      <x:c r="K824" s="63" t="str">
        <x:f t="shared" si="62"/>
      </x:c>
      <x:c r="L824" s="63">
        <x:f t="shared" si="61"/>
        <x:v>0</x:v>
      </x:c>
      <x:c r="M824" s="61"/>
    </x:row>
    <x:row r="825">
      <x:c r="A825" s="61" t="str">
        <x:f>IF(E825="","",MAX($A$6:A824)+1)</x:f>
      </x:c>
      <x:c r="B825" s="61"/>
      <x:c r="C825" s="61"/>
      <x:c r="D825" s="62"/>
      <x:c r="E825" s="61"/>
      <x:c r="F825" s="61"/>
      <x:c r="G825" s="63"/>
      <x:c r="H825" s="63">
        <x:f t="shared" si="59"/>
        <x:v>0</x:v>
      </x:c>
      <x:c r="I825" s="64"/>
      <x:c r="J825" s="63">
        <x:f t="shared" si="60"/>
        <x:v>0</x:v>
      </x:c>
      <x:c r="K825" s="63" t="str">
        <x:f t="shared" si="62"/>
      </x:c>
      <x:c r="L825" s="63">
        <x:f t="shared" si="61"/>
        <x:v>0</x:v>
      </x:c>
      <x:c r="M825" s="61"/>
    </x:row>
    <x:row r="826">
      <x:c r="A826" s="61" t="str">
        <x:f>IF(E826="","",MAX($A$6:A825)+1)</x:f>
      </x:c>
      <x:c r="B826" s="61"/>
      <x:c r="C826" s="61"/>
      <x:c r="D826" s="62"/>
      <x:c r="E826" s="61"/>
      <x:c r="F826" s="61"/>
      <x:c r="G826" s="63"/>
      <x:c r="H826" s="63">
        <x:f t="shared" si="59"/>
        <x:v>0</x:v>
      </x:c>
      <x:c r="I826" s="64"/>
      <x:c r="J826" s="63">
        <x:f t="shared" si="60"/>
        <x:v>0</x:v>
      </x:c>
      <x:c r="K826" s="63" t="str">
        <x:f t="shared" si="62"/>
      </x:c>
      <x:c r="L826" s="63">
        <x:f t="shared" si="61"/>
        <x:v>0</x:v>
      </x:c>
      <x:c r="M826" s="61"/>
    </x:row>
    <x:row r="827">
      <x:c r="A827" s="61" t="str">
        <x:f>IF(E827="","",MAX($A$6:A826)+1)</x:f>
      </x:c>
      <x:c r="B827" s="61"/>
      <x:c r="C827" s="61"/>
      <x:c r="D827" s="62"/>
      <x:c r="E827" s="61"/>
      <x:c r="F827" s="61"/>
      <x:c r="G827" s="63"/>
      <x:c r="H827" s="63">
        <x:f t="shared" si="59"/>
        <x:v>0</x:v>
      </x:c>
      <x:c r="I827" s="64"/>
      <x:c r="J827" s="63">
        <x:f t="shared" si="60"/>
        <x:v>0</x:v>
      </x:c>
      <x:c r="K827" s="63" t="str">
        <x:f t="shared" si="62"/>
      </x:c>
      <x:c r="L827" s="63">
        <x:f t="shared" si="61"/>
        <x:v>0</x:v>
      </x:c>
      <x:c r="M827" s="61"/>
    </x:row>
    <x:row r="828">
      <x:c r="A828" s="61" t="str">
        <x:f>IF(E828="","",MAX($A$6:A827)+1)</x:f>
      </x:c>
      <x:c r="B828" s="61"/>
      <x:c r="C828" s="61"/>
      <x:c r="D828" s="62"/>
      <x:c r="E828" s="61"/>
      <x:c r="F828" s="61"/>
      <x:c r="G828" s="63"/>
      <x:c r="H828" s="63">
        <x:f t="shared" si="59"/>
        <x:v>0</x:v>
      </x:c>
      <x:c r="I828" s="64"/>
      <x:c r="J828" s="63">
        <x:f t="shared" si="60"/>
        <x:v>0</x:v>
      </x:c>
      <x:c r="K828" s="63" t="str">
        <x:f t="shared" si="62"/>
      </x:c>
      <x:c r="L828" s="63">
        <x:f t="shared" si="61"/>
        <x:v>0</x:v>
      </x:c>
      <x:c r="M828" s="61"/>
    </x:row>
    <x:row r="829">
      <x:c r="A829" s="61" t="str">
        <x:f>IF(E829="","",MAX($A$6:A828)+1)</x:f>
      </x:c>
      <x:c r="B829" s="61"/>
      <x:c r="C829" s="61"/>
      <x:c r="D829" s="62"/>
      <x:c r="E829" s="61"/>
      <x:c r="F829" s="61"/>
      <x:c r="G829" s="63"/>
      <x:c r="H829" s="63">
        <x:f t="shared" si="59"/>
        <x:v>0</x:v>
      </x:c>
      <x:c r="I829" s="64"/>
      <x:c r="J829" s="63">
        <x:f t="shared" si="60"/>
        <x:v>0</x:v>
      </x:c>
      <x:c r="K829" s="63" t="str">
        <x:f t="shared" si="62"/>
      </x:c>
      <x:c r="L829" s="63">
        <x:f t="shared" si="61"/>
        <x:v>0</x:v>
      </x:c>
      <x:c r="M829" s="61"/>
    </x:row>
    <x:row r="830">
      <x:c r="A830" s="61" t="str">
        <x:f>IF(E830="","",MAX($A$6:A829)+1)</x:f>
      </x:c>
      <x:c r="B830" s="61"/>
      <x:c r="C830" s="61"/>
      <x:c r="D830" s="62"/>
      <x:c r="E830" s="61"/>
      <x:c r="F830" s="61"/>
      <x:c r="G830" s="63"/>
      <x:c r="H830" s="63">
        <x:f t="shared" si="59"/>
        <x:v>0</x:v>
      </x:c>
      <x:c r="I830" s="64"/>
      <x:c r="J830" s="63">
        <x:f t="shared" si="60"/>
        <x:v>0</x:v>
      </x:c>
      <x:c r="K830" s="63" t="str">
        <x:f t="shared" si="62"/>
      </x:c>
      <x:c r="L830" s="63">
        <x:f t="shared" si="61"/>
        <x:v>0</x:v>
      </x:c>
      <x:c r="M830" s="61"/>
    </x:row>
    <x:row r="831">
      <x:c r="A831" s="61" t="str">
        <x:f>IF(E831="","",MAX($A$6:A830)+1)</x:f>
      </x:c>
      <x:c r="B831" s="61"/>
      <x:c r="C831" s="61"/>
      <x:c r="D831" s="62"/>
      <x:c r="E831" s="61"/>
      <x:c r="F831" s="61"/>
      <x:c r="G831" s="63"/>
      <x:c r="H831" s="63">
        <x:f t="shared" si="59"/>
        <x:v>0</x:v>
      </x:c>
      <x:c r="I831" s="64"/>
      <x:c r="J831" s="63">
        <x:f t="shared" si="60"/>
        <x:v>0</x:v>
      </x:c>
      <x:c r="K831" s="63" t="str">
        <x:f t="shared" si="62"/>
      </x:c>
      <x:c r="L831" s="63">
        <x:f t="shared" si="61"/>
        <x:v>0</x:v>
      </x:c>
      <x:c r="M831" s="61"/>
    </x:row>
    <x:row r="832">
      <x:c r="A832" s="61" t="str">
        <x:f>IF(E832="","",MAX($A$6:A831)+1)</x:f>
      </x:c>
      <x:c r="B832" s="61"/>
      <x:c r="C832" s="61"/>
      <x:c r="D832" s="62"/>
      <x:c r="E832" s="61"/>
      <x:c r="F832" s="61"/>
      <x:c r="G832" s="63"/>
      <x:c r="H832" s="63">
        <x:f t="shared" si="59"/>
        <x:v>0</x:v>
      </x:c>
      <x:c r="I832" s="64"/>
      <x:c r="J832" s="63">
        <x:f t="shared" si="60"/>
        <x:v>0</x:v>
      </x:c>
      <x:c r="K832" s="63" t="str">
        <x:f t="shared" si="62"/>
      </x:c>
      <x:c r="L832" s="63">
        <x:f t="shared" si="61"/>
        <x:v>0</x:v>
      </x:c>
      <x:c r="M832" s="61"/>
    </x:row>
    <x:row r="833">
      <x:c r="A833" s="61" t="str">
        <x:f>IF(E833="","",MAX($A$6:A832)+1)</x:f>
      </x:c>
      <x:c r="B833" s="61"/>
      <x:c r="C833" s="61"/>
      <x:c r="D833" s="62"/>
      <x:c r="E833" s="61"/>
      <x:c r="F833" s="61"/>
      <x:c r="G833" s="63"/>
      <x:c r="H833" s="63">
        <x:f t="shared" si="59"/>
        <x:v>0</x:v>
      </x:c>
      <x:c r="I833" s="64"/>
      <x:c r="J833" s="63">
        <x:f t="shared" si="60"/>
        <x:v>0</x:v>
      </x:c>
      <x:c r="K833" s="63" t="str">
        <x:f t="shared" si="62"/>
      </x:c>
      <x:c r="L833" s="63">
        <x:f t="shared" si="61"/>
        <x:v>0</x:v>
      </x:c>
      <x:c r="M833" s="61"/>
    </x:row>
    <x:row r="834">
      <x:c r="A834" s="61" t="str">
        <x:f>IF(E834="","",MAX($A$6:A833)+1)</x:f>
      </x:c>
      <x:c r="B834" s="61"/>
      <x:c r="C834" s="61"/>
      <x:c r="D834" s="62"/>
      <x:c r="E834" s="61"/>
      <x:c r="F834" s="61"/>
      <x:c r="G834" s="63"/>
      <x:c r="H834" s="63">
        <x:f t="shared" si="59"/>
        <x:v>0</x:v>
      </x:c>
      <x:c r="I834" s="64"/>
      <x:c r="J834" s="63">
        <x:f t="shared" si="60"/>
        <x:v>0</x:v>
      </x:c>
      <x:c r="K834" s="63" t="str">
        <x:f t="shared" si="62"/>
      </x:c>
      <x:c r="L834" s="63">
        <x:f t="shared" si="61"/>
        <x:v>0</x:v>
      </x:c>
      <x:c r="M834" s="61"/>
    </x:row>
    <x:row r="835">
      <x:c r="A835" s="61" t="str">
        <x:f>IF(E835="","",MAX($A$6:A834)+1)</x:f>
      </x:c>
      <x:c r="B835" s="61"/>
      <x:c r="C835" s="61"/>
      <x:c r="D835" s="62"/>
      <x:c r="E835" s="61"/>
      <x:c r="F835" s="61"/>
      <x:c r="G835" s="63"/>
      <x:c r="H835" s="63">
        <x:f t="shared" si="59"/>
        <x:v>0</x:v>
      </x:c>
      <x:c r="I835" s="64"/>
      <x:c r="J835" s="63">
        <x:f t="shared" si="60"/>
        <x:v>0</x:v>
      </x:c>
      <x:c r="K835" s="63" t="str">
        <x:f t="shared" si="62"/>
      </x:c>
      <x:c r="L835" s="63">
        <x:f t="shared" si="61"/>
        <x:v>0</x:v>
      </x:c>
      <x:c r="M835" s="61"/>
    </x:row>
    <x:row r="836">
      <x:c r="A836" s="61" t="str">
        <x:f>IF(E836="","",MAX($A$6:A835)+1)</x:f>
      </x:c>
      <x:c r="B836" s="61"/>
      <x:c r="C836" s="61"/>
      <x:c r="D836" s="62"/>
      <x:c r="E836" s="61"/>
      <x:c r="F836" s="61"/>
      <x:c r="G836" s="63"/>
      <x:c r="H836" s="63">
        <x:f t="shared" si="59"/>
        <x:v>0</x:v>
      </x:c>
      <x:c r="I836" s="64"/>
      <x:c r="J836" s="63">
        <x:f t="shared" si="60"/>
        <x:v>0</x:v>
      </x:c>
      <x:c r="K836" s="63" t="str">
        <x:f t="shared" si="62"/>
      </x:c>
      <x:c r="L836" s="63">
        <x:f t="shared" si="61"/>
        <x:v>0</x:v>
      </x:c>
      <x:c r="M836" s="61"/>
    </x:row>
    <x:row r="837">
      <x:c r="A837" s="61" t="str">
        <x:f>IF(E837="","",MAX($A$6:A836)+1)</x:f>
      </x:c>
      <x:c r="B837" s="61"/>
      <x:c r="C837" s="61"/>
      <x:c r="D837" s="62"/>
      <x:c r="E837" s="61"/>
      <x:c r="F837" s="61"/>
      <x:c r="G837" s="63"/>
      <x:c r="H837" s="63">
        <x:f t="shared" si="59"/>
        <x:v>0</x:v>
      </x:c>
      <x:c r="I837" s="64"/>
      <x:c r="J837" s="63">
        <x:f t="shared" si="60"/>
        <x:v>0</x:v>
      </x:c>
      <x:c r="K837" s="63" t="str">
        <x:f t="shared" si="62"/>
      </x:c>
      <x:c r="L837" s="63">
        <x:f t="shared" si="61"/>
        <x:v>0</x:v>
      </x:c>
      <x:c r="M837" s="61"/>
    </x:row>
    <x:row r="838">
      <x:c r="A838" s="61" t="str">
        <x:f>IF(E838="","",MAX($A$6:A837)+1)</x:f>
      </x:c>
      <x:c r="B838" s="61"/>
      <x:c r="C838" s="61"/>
      <x:c r="D838" s="62"/>
      <x:c r="E838" s="61"/>
      <x:c r="F838" s="61"/>
      <x:c r="G838" s="63"/>
      <x:c r="H838" s="63" t="n">
        <x:f t="shared" ref="H838:H901" si="63">IFERROR(IF(OR($F$1="",D838=""),0,MAX(0,$F$1-D838)),0)</x:f>
        <x:v>0</x:v>
      </x:c>
      <x:c r="I838" s="64"/>
      <x:c r="J838" s="63" t="n">
        <x:f t="shared" ref="J838:J901" si="64">IFERROR(IF(OR(G838="",I838="",D838="",$F$1=""),0,IF($F$1&lt;D838,0,MIN(MAX(G838-1,0),MAX(0,(G838*I838/365)*H838)))),0)</x:f>
        <x:v>0</x:v>
      </x:c>
      <x:c r="K838" s="63" t="str">
        <x:f t="shared" si="62"/>
      </x:c>
      <x:c r="L838" s="63" t="n">
        <x:f t="shared" ref="L838:L901" si="65">IFERROR(IF(OR(G838="",I838="",D838="",$F$1=""),0,IF($F$1&lt;D838,0,IF(K838&lt;=1,0,MIN(G838*I838/12,K838-1)))),0)</x:f>
        <x:v>0</x:v>
      </x:c>
      <x:c r="M838" s="61"/>
    </x:row>
    <x:row r="839">
      <x:c r="A839" s="61" t="str">
        <x:f>IF(E839="","",MAX($A$6:A838)+1)</x:f>
      </x:c>
      <x:c r="B839" s="61"/>
      <x:c r="C839" s="61"/>
      <x:c r="D839" s="62"/>
      <x:c r="E839" s="61"/>
      <x:c r="F839" s="61"/>
      <x:c r="G839" s="63"/>
      <x:c r="H839" s="63">
        <x:f t="shared" si="63"/>
        <x:v>0</x:v>
      </x:c>
      <x:c r="I839" s="64"/>
      <x:c r="J839" s="63">
        <x:f t="shared" si="64"/>
        <x:v>0</x:v>
      </x:c>
      <x:c r="K839" s="63" t="str">
        <x:f t="shared" si="62"/>
      </x:c>
      <x:c r="L839" s="63">
        <x:f t="shared" si="65"/>
        <x:v>0</x:v>
      </x:c>
      <x:c r="M839" s="61"/>
    </x:row>
    <x:row r="840">
      <x:c r="A840" s="61" t="str">
        <x:f>IF(E840="","",MAX($A$6:A839)+1)</x:f>
      </x:c>
      <x:c r="B840" s="61"/>
      <x:c r="C840" s="61"/>
      <x:c r="D840" s="62"/>
      <x:c r="E840" s="61"/>
      <x:c r="F840" s="61"/>
      <x:c r="G840" s="63"/>
      <x:c r="H840" s="63">
        <x:f t="shared" si="63"/>
        <x:v>0</x:v>
      </x:c>
      <x:c r="I840" s="64"/>
      <x:c r="J840" s="63">
        <x:f t="shared" si="64"/>
        <x:v>0</x:v>
      </x:c>
      <x:c r="K840" s="63" t="str">
        <x:f t="shared" si="62"/>
      </x:c>
      <x:c r="L840" s="63">
        <x:f t="shared" si="65"/>
        <x:v>0</x:v>
      </x:c>
      <x:c r="M840" s="61"/>
    </x:row>
    <x:row r="841">
      <x:c r="A841" s="61" t="str">
        <x:f>IF(E841="","",MAX($A$6:A840)+1)</x:f>
      </x:c>
      <x:c r="B841" s="61"/>
      <x:c r="C841" s="61"/>
      <x:c r="D841" s="62"/>
      <x:c r="E841" s="61"/>
      <x:c r="F841" s="61"/>
      <x:c r="G841" s="63"/>
      <x:c r="H841" s="63">
        <x:f t="shared" si="63"/>
        <x:v>0</x:v>
      </x:c>
      <x:c r="I841" s="64"/>
      <x:c r="J841" s="63">
        <x:f t="shared" si="64"/>
        <x:v>0</x:v>
      </x:c>
      <x:c r="K841" s="63" t="str">
        <x:f t="shared" si="62"/>
      </x:c>
      <x:c r="L841" s="63">
        <x:f t="shared" si="65"/>
        <x:v>0</x:v>
      </x:c>
      <x:c r="M841" s="61"/>
    </x:row>
    <x:row r="842">
      <x:c r="A842" s="61" t="str">
        <x:f>IF(E842="","",MAX($A$6:A841)+1)</x:f>
      </x:c>
      <x:c r="B842" s="61"/>
      <x:c r="C842" s="61"/>
      <x:c r="D842" s="62"/>
      <x:c r="E842" s="61"/>
      <x:c r="F842" s="61"/>
      <x:c r="G842" s="63"/>
      <x:c r="H842" s="63">
        <x:f t="shared" si="63"/>
        <x:v>0</x:v>
      </x:c>
      <x:c r="I842" s="64"/>
      <x:c r="J842" s="63">
        <x:f t="shared" si="64"/>
        <x:v>0</x:v>
      </x:c>
      <x:c r="K842" s="63" t="str">
        <x:f t="shared" si="62"/>
      </x:c>
      <x:c r="L842" s="63">
        <x:f t="shared" si="65"/>
        <x:v>0</x:v>
      </x:c>
      <x:c r="M842" s="61"/>
    </x:row>
    <x:row r="843">
      <x:c r="A843" s="61" t="str">
        <x:f>IF(E843="","",MAX($A$6:A842)+1)</x:f>
      </x:c>
      <x:c r="B843" s="61"/>
      <x:c r="C843" s="61"/>
      <x:c r="D843" s="62"/>
      <x:c r="E843" s="61"/>
      <x:c r="F843" s="61"/>
      <x:c r="G843" s="63"/>
      <x:c r="H843" s="63">
        <x:f t="shared" si="63"/>
        <x:v>0</x:v>
      </x:c>
      <x:c r="I843" s="64"/>
      <x:c r="J843" s="63">
        <x:f t="shared" si="64"/>
        <x:v>0</x:v>
      </x:c>
      <x:c r="K843" s="63" t="str">
        <x:f t="shared" si="62"/>
      </x:c>
      <x:c r="L843" s="63">
        <x:f t="shared" si="65"/>
        <x:v>0</x:v>
      </x:c>
      <x:c r="M843" s="61"/>
    </x:row>
    <x:row r="844">
      <x:c r="A844" s="61" t="str">
        <x:f>IF(E844="","",MAX($A$6:A843)+1)</x:f>
      </x:c>
      <x:c r="B844" s="61"/>
      <x:c r="C844" s="61"/>
      <x:c r="D844" s="62"/>
      <x:c r="E844" s="61"/>
      <x:c r="F844" s="61"/>
      <x:c r="G844" s="63"/>
      <x:c r="H844" s="63">
        <x:f t="shared" si="63"/>
        <x:v>0</x:v>
      </x:c>
      <x:c r="I844" s="64"/>
      <x:c r="J844" s="63">
        <x:f t="shared" si="64"/>
        <x:v>0</x:v>
      </x:c>
      <x:c r="K844" s="63" t="str">
        <x:f t="shared" si="62"/>
      </x:c>
      <x:c r="L844" s="63">
        <x:f t="shared" si="65"/>
        <x:v>0</x:v>
      </x:c>
      <x:c r="M844" s="61"/>
    </x:row>
    <x:row r="845">
      <x:c r="A845" s="61" t="str">
        <x:f>IF(E845="","",MAX($A$6:A844)+1)</x:f>
      </x:c>
      <x:c r="B845" s="61"/>
      <x:c r="C845" s="61"/>
      <x:c r="D845" s="62"/>
      <x:c r="E845" s="61"/>
      <x:c r="F845" s="61"/>
      <x:c r="G845" s="63"/>
      <x:c r="H845" s="63">
        <x:f t="shared" si="63"/>
        <x:v>0</x:v>
      </x:c>
      <x:c r="I845" s="64"/>
      <x:c r="J845" s="63">
        <x:f t="shared" si="64"/>
        <x:v>0</x:v>
      </x:c>
      <x:c r="K845" s="63" t="str">
        <x:f t="shared" si="62"/>
      </x:c>
      <x:c r="L845" s="63">
        <x:f t="shared" si="65"/>
        <x:v>0</x:v>
      </x:c>
      <x:c r="M845" s="61"/>
    </x:row>
    <x:row r="846">
      <x:c r="A846" s="61" t="str">
        <x:f>IF(E846="","",MAX($A$6:A845)+1)</x:f>
      </x:c>
      <x:c r="B846" s="61"/>
      <x:c r="C846" s="61"/>
      <x:c r="D846" s="62"/>
      <x:c r="E846" s="61"/>
      <x:c r="F846" s="61"/>
      <x:c r="G846" s="63"/>
      <x:c r="H846" s="63">
        <x:f t="shared" si="63"/>
        <x:v>0</x:v>
      </x:c>
      <x:c r="I846" s="64"/>
      <x:c r="J846" s="63">
        <x:f t="shared" si="64"/>
        <x:v>0</x:v>
      </x:c>
      <x:c r="K846" s="63" t="str">
        <x:f t="shared" si="62"/>
      </x:c>
      <x:c r="L846" s="63">
        <x:f t="shared" si="65"/>
        <x:v>0</x:v>
      </x:c>
      <x:c r="M846" s="61"/>
    </x:row>
    <x:row r="847">
      <x:c r="A847" s="61" t="str">
        <x:f>IF(E847="","",MAX($A$6:A846)+1)</x:f>
      </x:c>
      <x:c r="B847" s="61"/>
      <x:c r="C847" s="61"/>
      <x:c r="D847" s="62"/>
      <x:c r="E847" s="61"/>
      <x:c r="F847" s="61"/>
      <x:c r="G847" s="63"/>
      <x:c r="H847" s="63">
        <x:f t="shared" si="63"/>
        <x:v>0</x:v>
      </x:c>
      <x:c r="I847" s="64"/>
      <x:c r="J847" s="63">
        <x:f t="shared" si="64"/>
        <x:v>0</x:v>
      </x:c>
      <x:c r="K847" s="63" t="str">
        <x:f t="shared" si="62"/>
      </x:c>
      <x:c r="L847" s="63">
        <x:f t="shared" si="65"/>
        <x:v>0</x:v>
      </x:c>
      <x:c r="M847" s="61"/>
    </x:row>
    <x:row r="848">
      <x:c r="A848" s="61" t="str">
        <x:f>IF(E848="","",MAX($A$6:A847)+1)</x:f>
      </x:c>
      <x:c r="B848" s="61"/>
      <x:c r="C848" s="61"/>
      <x:c r="D848" s="62"/>
      <x:c r="E848" s="61"/>
      <x:c r="F848" s="61"/>
      <x:c r="G848" s="63"/>
      <x:c r="H848" s="63">
        <x:f t="shared" si="63"/>
        <x:v>0</x:v>
      </x:c>
      <x:c r="I848" s="64"/>
      <x:c r="J848" s="63">
        <x:f t="shared" si="64"/>
        <x:v>0</x:v>
      </x:c>
      <x:c r="K848" s="63" t="str">
        <x:f t="shared" si="62"/>
      </x:c>
      <x:c r="L848" s="63">
        <x:f t="shared" si="65"/>
        <x:v>0</x:v>
      </x:c>
      <x:c r="M848" s="61"/>
    </x:row>
    <x:row r="849">
      <x:c r="A849" s="61" t="str">
        <x:f>IF(E849="","",MAX($A$6:A848)+1)</x:f>
      </x:c>
      <x:c r="B849" s="61"/>
      <x:c r="C849" s="61"/>
      <x:c r="D849" s="62"/>
      <x:c r="E849" s="61"/>
      <x:c r="F849" s="61"/>
      <x:c r="G849" s="63"/>
      <x:c r="H849" s="63">
        <x:f t="shared" si="63"/>
        <x:v>0</x:v>
      </x:c>
      <x:c r="I849" s="64"/>
      <x:c r="J849" s="63">
        <x:f t="shared" si="64"/>
        <x:v>0</x:v>
      </x:c>
      <x:c r="K849" s="63" t="str">
        <x:f t="shared" si="62"/>
      </x:c>
      <x:c r="L849" s="63">
        <x:f t="shared" si="65"/>
        <x:v>0</x:v>
      </x:c>
      <x:c r="M849" s="61"/>
    </x:row>
    <x:row r="850">
      <x:c r="A850" s="61" t="str">
        <x:f>IF(E850="","",MAX($A$6:A849)+1)</x:f>
      </x:c>
      <x:c r="B850" s="61"/>
      <x:c r="C850" s="61"/>
      <x:c r="D850" s="62"/>
      <x:c r="E850" s="61"/>
      <x:c r="F850" s="61"/>
      <x:c r="G850" s="63"/>
      <x:c r="H850" s="63">
        <x:f t="shared" si="63"/>
        <x:v>0</x:v>
      </x:c>
      <x:c r="I850" s="64"/>
      <x:c r="J850" s="63">
        <x:f t="shared" si="64"/>
        <x:v>0</x:v>
      </x:c>
      <x:c r="K850" s="63" t="str">
        <x:f t="shared" si="62"/>
      </x:c>
      <x:c r="L850" s="63">
        <x:f t="shared" si="65"/>
        <x:v>0</x:v>
      </x:c>
      <x:c r="M850" s="61"/>
    </x:row>
    <x:row r="851">
      <x:c r="A851" s="61" t="str">
        <x:f>IF(E851="","",MAX($A$6:A850)+1)</x:f>
      </x:c>
      <x:c r="B851" s="61"/>
      <x:c r="C851" s="61"/>
      <x:c r="D851" s="62"/>
      <x:c r="E851" s="61"/>
      <x:c r="F851" s="61"/>
      <x:c r="G851" s="63"/>
      <x:c r="H851" s="63">
        <x:f t="shared" si="63"/>
        <x:v>0</x:v>
      </x:c>
      <x:c r="I851" s="64"/>
      <x:c r="J851" s="63">
        <x:f t="shared" si="64"/>
        <x:v>0</x:v>
      </x:c>
      <x:c r="K851" s="63" t="str">
        <x:f t="shared" si="62"/>
      </x:c>
      <x:c r="L851" s="63">
        <x:f t="shared" si="65"/>
        <x:v>0</x:v>
      </x:c>
      <x:c r="M851" s="61"/>
    </x:row>
    <x:row r="852">
      <x:c r="A852" s="61" t="str">
        <x:f>IF(E852="","",MAX($A$6:A851)+1)</x:f>
      </x:c>
      <x:c r="B852" s="61"/>
      <x:c r="C852" s="61"/>
      <x:c r="D852" s="62"/>
      <x:c r="E852" s="61"/>
      <x:c r="F852" s="61"/>
      <x:c r="G852" s="63"/>
      <x:c r="H852" s="63">
        <x:f t="shared" si="63"/>
        <x:v>0</x:v>
      </x:c>
      <x:c r="I852" s="64"/>
      <x:c r="J852" s="63">
        <x:f t="shared" si="64"/>
        <x:v>0</x:v>
      </x:c>
      <x:c r="K852" s="63" t="str">
        <x:f t="shared" si="62"/>
      </x:c>
      <x:c r="L852" s="63">
        <x:f t="shared" si="65"/>
        <x:v>0</x:v>
      </x:c>
      <x:c r="M852" s="61"/>
    </x:row>
    <x:row r="853">
      <x:c r="A853" s="61" t="str">
        <x:f>IF(E853="","",MAX($A$6:A852)+1)</x:f>
      </x:c>
      <x:c r="B853" s="61"/>
      <x:c r="C853" s="61"/>
      <x:c r="D853" s="62"/>
      <x:c r="E853" s="61"/>
      <x:c r="F853" s="61"/>
      <x:c r="G853" s="63"/>
      <x:c r="H853" s="63">
        <x:f t="shared" si="63"/>
        <x:v>0</x:v>
      </x:c>
      <x:c r="I853" s="64"/>
      <x:c r="J853" s="63">
        <x:f t="shared" si="64"/>
        <x:v>0</x:v>
      </x:c>
      <x:c r="K853" s="63" t="str">
        <x:f t="shared" si="62"/>
      </x:c>
      <x:c r="L853" s="63">
        <x:f t="shared" si="65"/>
        <x:v>0</x:v>
      </x:c>
      <x:c r="M853" s="61"/>
    </x:row>
    <x:row r="854">
      <x:c r="A854" s="61" t="str">
        <x:f>IF(E854="","",MAX($A$6:A853)+1)</x:f>
      </x:c>
      <x:c r="B854" s="61"/>
      <x:c r="C854" s="61"/>
      <x:c r="D854" s="62"/>
      <x:c r="E854" s="61"/>
      <x:c r="F854" s="61"/>
      <x:c r="G854" s="63"/>
      <x:c r="H854" s="63">
        <x:f t="shared" si="63"/>
        <x:v>0</x:v>
      </x:c>
      <x:c r="I854" s="64"/>
      <x:c r="J854" s="63">
        <x:f t="shared" si="64"/>
        <x:v>0</x:v>
      </x:c>
      <x:c r="K854" s="63" t="str">
        <x:f t="shared" si="62"/>
      </x:c>
      <x:c r="L854" s="63">
        <x:f t="shared" si="65"/>
        <x:v>0</x:v>
      </x:c>
      <x:c r="M854" s="61"/>
    </x:row>
    <x:row r="855">
      <x:c r="A855" s="61" t="str">
        <x:f>IF(E855="","",MAX($A$6:A854)+1)</x:f>
      </x:c>
      <x:c r="B855" s="61"/>
      <x:c r="C855" s="61"/>
      <x:c r="D855" s="62"/>
      <x:c r="E855" s="61"/>
      <x:c r="F855" s="61"/>
      <x:c r="G855" s="63"/>
      <x:c r="H855" s="63">
        <x:f t="shared" si="63"/>
        <x:v>0</x:v>
      </x:c>
      <x:c r="I855" s="64"/>
      <x:c r="J855" s="63">
        <x:f t="shared" si="64"/>
        <x:v>0</x:v>
      </x:c>
      <x:c r="K855" s="63" t="str">
        <x:f t="shared" si="62"/>
      </x:c>
      <x:c r="L855" s="63">
        <x:f t="shared" si="65"/>
        <x:v>0</x:v>
      </x:c>
      <x:c r="M855" s="61"/>
    </x:row>
    <x:row r="856">
      <x:c r="A856" s="61" t="str">
        <x:f>IF(E856="","",MAX($A$6:A855)+1)</x:f>
      </x:c>
      <x:c r="B856" s="61"/>
      <x:c r="C856" s="61"/>
      <x:c r="D856" s="62"/>
      <x:c r="E856" s="61"/>
      <x:c r="F856" s="61"/>
      <x:c r="G856" s="63"/>
      <x:c r="H856" s="63">
        <x:f t="shared" si="63"/>
        <x:v>0</x:v>
      </x:c>
      <x:c r="I856" s="64"/>
      <x:c r="J856" s="63">
        <x:f t="shared" si="64"/>
        <x:v>0</x:v>
      </x:c>
      <x:c r="K856" s="63" t="str">
        <x:f t="shared" si="62"/>
      </x:c>
      <x:c r="L856" s="63">
        <x:f t="shared" si="65"/>
        <x:v>0</x:v>
      </x:c>
      <x:c r="M856" s="61"/>
    </x:row>
    <x:row r="857">
      <x:c r="A857" s="61" t="str">
        <x:f>IF(E857="","",MAX($A$6:A856)+1)</x:f>
      </x:c>
      <x:c r="B857" s="61"/>
      <x:c r="C857" s="61"/>
      <x:c r="D857" s="62"/>
      <x:c r="E857" s="61"/>
      <x:c r="F857" s="61"/>
      <x:c r="G857" s="63"/>
      <x:c r="H857" s="63">
        <x:f t="shared" si="63"/>
        <x:v>0</x:v>
      </x:c>
      <x:c r="I857" s="64"/>
      <x:c r="J857" s="63">
        <x:f t="shared" si="64"/>
        <x:v>0</x:v>
      </x:c>
      <x:c r="K857" s="63" t="str">
        <x:f t="shared" si="62"/>
      </x:c>
      <x:c r="L857" s="63">
        <x:f t="shared" si="65"/>
        <x:v>0</x:v>
      </x:c>
      <x:c r="M857" s="61"/>
    </x:row>
    <x:row r="858">
      <x:c r="A858" s="61" t="str">
        <x:f>IF(E858="","",MAX($A$6:A857)+1)</x:f>
      </x:c>
      <x:c r="B858" s="61"/>
      <x:c r="C858" s="61"/>
      <x:c r="D858" s="62"/>
      <x:c r="E858" s="61"/>
      <x:c r="F858" s="61"/>
      <x:c r="G858" s="63"/>
      <x:c r="H858" s="63">
        <x:f t="shared" si="63"/>
        <x:v>0</x:v>
      </x:c>
      <x:c r="I858" s="64"/>
      <x:c r="J858" s="63">
        <x:f t="shared" si="64"/>
        <x:v>0</x:v>
      </x:c>
      <x:c r="K858" s="63" t="str">
        <x:f t="shared" si="62"/>
      </x:c>
      <x:c r="L858" s="63">
        <x:f t="shared" si="65"/>
        <x:v>0</x:v>
      </x:c>
      <x:c r="M858" s="61"/>
    </x:row>
    <x:row r="859">
      <x:c r="A859" s="61" t="str">
        <x:f>IF(E859="","",MAX($A$6:A858)+1)</x:f>
      </x:c>
      <x:c r="B859" s="61"/>
      <x:c r="C859" s="61"/>
      <x:c r="D859" s="62"/>
      <x:c r="E859" s="61"/>
      <x:c r="F859" s="61"/>
      <x:c r="G859" s="63"/>
      <x:c r="H859" s="63">
        <x:f t="shared" si="63"/>
        <x:v>0</x:v>
      </x:c>
      <x:c r="I859" s="64"/>
      <x:c r="J859" s="63">
        <x:f t="shared" si="64"/>
        <x:v>0</x:v>
      </x:c>
      <x:c r="K859" s="63" t="str">
        <x:f t="shared" si="62"/>
      </x:c>
      <x:c r="L859" s="63">
        <x:f t="shared" si="65"/>
        <x:v>0</x:v>
      </x:c>
      <x:c r="M859" s="61"/>
    </x:row>
    <x:row r="860">
      <x:c r="A860" s="61" t="str">
        <x:f>IF(E860="","",MAX($A$6:A859)+1)</x:f>
      </x:c>
      <x:c r="B860" s="61"/>
      <x:c r="C860" s="61"/>
      <x:c r="D860" s="62"/>
      <x:c r="E860" s="61"/>
      <x:c r="F860" s="61"/>
      <x:c r="G860" s="63"/>
      <x:c r="H860" s="63">
        <x:f t="shared" si="63"/>
        <x:v>0</x:v>
      </x:c>
      <x:c r="I860" s="64"/>
      <x:c r="J860" s="63">
        <x:f t="shared" si="64"/>
        <x:v>0</x:v>
      </x:c>
      <x:c r="K860" s="63" t="str">
        <x:f t="shared" si="62"/>
      </x:c>
      <x:c r="L860" s="63">
        <x:f t="shared" si="65"/>
        <x:v>0</x:v>
      </x:c>
      <x:c r="M860" s="61"/>
    </x:row>
    <x:row r="861">
      <x:c r="A861" s="61" t="str">
        <x:f>IF(E861="","",MAX($A$6:A860)+1)</x:f>
      </x:c>
      <x:c r="B861" s="61"/>
      <x:c r="C861" s="61"/>
      <x:c r="D861" s="62"/>
      <x:c r="E861" s="61"/>
      <x:c r="F861" s="61"/>
      <x:c r="G861" s="63"/>
      <x:c r="H861" s="63">
        <x:f t="shared" si="63"/>
        <x:v>0</x:v>
      </x:c>
      <x:c r="I861" s="64"/>
      <x:c r="J861" s="63">
        <x:f t="shared" si="64"/>
        <x:v>0</x:v>
      </x:c>
      <x:c r="K861" s="63" t="str">
        <x:f t="shared" si="62"/>
      </x:c>
      <x:c r="L861" s="63">
        <x:f t="shared" si="65"/>
        <x:v>0</x:v>
      </x:c>
      <x:c r="M861" s="61"/>
    </x:row>
    <x:row r="862">
      <x:c r="A862" s="61" t="str">
        <x:f>IF(E862="","",MAX($A$6:A861)+1)</x:f>
      </x:c>
      <x:c r="B862" s="61"/>
      <x:c r="C862" s="61"/>
      <x:c r="D862" s="62"/>
      <x:c r="E862" s="61"/>
      <x:c r="F862" s="61"/>
      <x:c r="G862" s="63"/>
      <x:c r="H862" s="63">
        <x:f t="shared" si="63"/>
        <x:v>0</x:v>
      </x:c>
      <x:c r="I862" s="64"/>
      <x:c r="J862" s="63">
        <x:f t="shared" si="64"/>
        <x:v>0</x:v>
      </x:c>
      <x:c r="K862" s="63" t="str">
        <x:f t="shared" si="62"/>
      </x:c>
      <x:c r="L862" s="63">
        <x:f t="shared" si="65"/>
        <x:v>0</x:v>
      </x:c>
      <x:c r="M862" s="61"/>
    </x:row>
    <x:row r="863">
      <x:c r="A863" s="61" t="str">
        <x:f>IF(E863="","",MAX($A$6:A862)+1)</x:f>
      </x:c>
      <x:c r="B863" s="61"/>
      <x:c r="C863" s="61"/>
      <x:c r="D863" s="62"/>
      <x:c r="E863" s="61"/>
      <x:c r="F863" s="61"/>
      <x:c r="G863" s="63"/>
      <x:c r="H863" s="63">
        <x:f t="shared" si="63"/>
        <x:v>0</x:v>
      </x:c>
      <x:c r="I863" s="64"/>
      <x:c r="J863" s="63">
        <x:f t="shared" si="64"/>
        <x:v>0</x:v>
      </x:c>
      <x:c r="K863" s="63" t="str">
        <x:f t="shared" si="62"/>
      </x:c>
      <x:c r="L863" s="63">
        <x:f t="shared" si="65"/>
        <x:v>0</x:v>
      </x:c>
      <x:c r="M863" s="61"/>
    </x:row>
    <x:row r="864">
      <x:c r="A864" s="61" t="str">
        <x:f>IF(E864="","",MAX($A$6:A863)+1)</x:f>
      </x:c>
      <x:c r="B864" s="61"/>
      <x:c r="C864" s="61"/>
      <x:c r="D864" s="62"/>
      <x:c r="E864" s="61"/>
      <x:c r="F864" s="61"/>
      <x:c r="G864" s="63"/>
      <x:c r="H864" s="63">
        <x:f t="shared" si="63"/>
        <x:v>0</x:v>
      </x:c>
      <x:c r="I864" s="64"/>
      <x:c r="J864" s="63">
        <x:f t="shared" si="64"/>
        <x:v>0</x:v>
      </x:c>
      <x:c r="K864" s="63" t="str">
        <x:f t="shared" si="62"/>
      </x:c>
      <x:c r="L864" s="63">
        <x:f t="shared" si="65"/>
        <x:v>0</x:v>
      </x:c>
      <x:c r="M864" s="61"/>
    </x:row>
    <x:row r="865">
      <x:c r="A865" s="61" t="str">
        <x:f>IF(E865="","",MAX($A$6:A864)+1)</x:f>
      </x:c>
      <x:c r="B865" s="61"/>
      <x:c r="C865" s="61"/>
      <x:c r="D865" s="62"/>
      <x:c r="E865" s="61"/>
      <x:c r="F865" s="61"/>
      <x:c r="G865" s="63"/>
      <x:c r="H865" s="63">
        <x:f t="shared" si="63"/>
        <x:v>0</x:v>
      </x:c>
      <x:c r="I865" s="64"/>
      <x:c r="J865" s="63">
        <x:f t="shared" si="64"/>
        <x:v>0</x:v>
      </x:c>
      <x:c r="K865" s="63" t="str">
        <x:f t="shared" si="62"/>
      </x:c>
      <x:c r="L865" s="63">
        <x:f t="shared" si="65"/>
        <x:v>0</x:v>
      </x:c>
      <x:c r="M865" s="61"/>
    </x:row>
    <x:row r="866">
      <x:c r="A866" s="61" t="str">
        <x:f>IF(E866="","",MAX($A$6:A865)+1)</x:f>
      </x:c>
      <x:c r="B866" s="61"/>
      <x:c r="C866" s="61"/>
      <x:c r="D866" s="62"/>
      <x:c r="E866" s="61"/>
      <x:c r="F866" s="61"/>
      <x:c r="G866" s="63"/>
      <x:c r="H866" s="63">
        <x:f t="shared" si="63"/>
        <x:v>0</x:v>
      </x:c>
      <x:c r="I866" s="64"/>
      <x:c r="J866" s="63">
        <x:f t="shared" si="64"/>
        <x:v>0</x:v>
      </x:c>
      <x:c r="K866" s="63" t="str">
        <x:f t="shared" si="62"/>
      </x:c>
      <x:c r="L866" s="63">
        <x:f t="shared" si="65"/>
        <x:v>0</x:v>
      </x:c>
      <x:c r="M866" s="61"/>
    </x:row>
    <x:row r="867">
      <x:c r="A867" s="61" t="str">
        <x:f>IF(E867="","",MAX($A$6:A866)+1)</x:f>
      </x:c>
      <x:c r="B867" s="61"/>
      <x:c r="C867" s="61"/>
      <x:c r="D867" s="62"/>
      <x:c r="E867" s="61"/>
      <x:c r="F867" s="61"/>
      <x:c r="G867" s="63"/>
      <x:c r="H867" s="63">
        <x:f t="shared" si="63"/>
        <x:v>0</x:v>
      </x:c>
      <x:c r="I867" s="64"/>
      <x:c r="J867" s="63">
        <x:f t="shared" si="64"/>
        <x:v>0</x:v>
      </x:c>
      <x:c r="K867" s="63" t="str">
        <x:f t="shared" si="62"/>
      </x:c>
      <x:c r="L867" s="63">
        <x:f t="shared" si="65"/>
        <x:v>0</x:v>
      </x:c>
      <x:c r="M867" s="61"/>
    </x:row>
    <x:row r="868">
      <x:c r="A868" s="61" t="str">
        <x:f>IF(E868="","",MAX($A$6:A867)+1)</x:f>
      </x:c>
      <x:c r="B868" s="61"/>
      <x:c r="C868" s="61"/>
      <x:c r="D868" s="62"/>
      <x:c r="E868" s="61"/>
      <x:c r="F868" s="61"/>
      <x:c r="G868" s="63"/>
      <x:c r="H868" s="63">
        <x:f t="shared" si="63"/>
        <x:v>0</x:v>
      </x:c>
      <x:c r="I868" s="64"/>
      <x:c r="J868" s="63">
        <x:f t="shared" si="64"/>
        <x:v>0</x:v>
      </x:c>
      <x:c r="K868" s="63" t="str">
        <x:f t="shared" si="62"/>
      </x:c>
      <x:c r="L868" s="63">
        <x:f t="shared" si="65"/>
        <x:v>0</x:v>
      </x:c>
      <x:c r="M868" s="61"/>
    </x:row>
    <x:row r="869">
      <x:c r="A869" s="61" t="str">
        <x:f>IF(E869="","",MAX($A$6:A868)+1)</x:f>
      </x:c>
      <x:c r="B869" s="61"/>
      <x:c r="C869" s="61"/>
      <x:c r="D869" s="62"/>
      <x:c r="E869" s="61"/>
      <x:c r="F869" s="61"/>
      <x:c r="G869" s="63"/>
      <x:c r="H869" s="63">
        <x:f t="shared" si="63"/>
        <x:v>0</x:v>
      </x:c>
      <x:c r="I869" s="64"/>
      <x:c r="J869" s="63">
        <x:f t="shared" si="64"/>
        <x:v>0</x:v>
      </x:c>
      <x:c r="K869" s="63" t="str">
        <x:f t="shared" si="62"/>
      </x:c>
      <x:c r="L869" s="63">
        <x:f t="shared" si="65"/>
        <x:v>0</x:v>
      </x:c>
      <x:c r="M869" s="61"/>
    </x:row>
    <x:row r="870">
      <x:c r="A870" s="61" t="str">
        <x:f>IF(E870="","",MAX($A$6:A869)+1)</x:f>
      </x:c>
      <x:c r="B870" s="61"/>
      <x:c r="C870" s="61"/>
      <x:c r="D870" s="62"/>
      <x:c r="E870" s="61"/>
      <x:c r="F870" s="61"/>
      <x:c r="G870" s="63"/>
      <x:c r="H870" s="63">
        <x:f t="shared" si="63"/>
        <x:v>0</x:v>
      </x:c>
      <x:c r="I870" s="64"/>
      <x:c r="J870" s="63">
        <x:f t="shared" si="64"/>
        <x:v>0</x:v>
      </x:c>
      <x:c r="K870" s="63" t="str">
        <x:f t="shared" si="62"/>
      </x:c>
      <x:c r="L870" s="63">
        <x:f t="shared" si="65"/>
        <x:v>0</x:v>
      </x:c>
      <x:c r="M870" s="61"/>
    </x:row>
    <x:row r="871">
      <x:c r="A871" s="61" t="str">
        <x:f>IF(E871="","",MAX($A$6:A870)+1)</x:f>
      </x:c>
      <x:c r="B871" s="61"/>
      <x:c r="C871" s="61"/>
      <x:c r="D871" s="62"/>
      <x:c r="E871" s="61"/>
      <x:c r="F871" s="61"/>
      <x:c r="G871" s="63"/>
      <x:c r="H871" s="63">
        <x:f t="shared" si="63"/>
        <x:v>0</x:v>
      </x:c>
      <x:c r="I871" s="64"/>
      <x:c r="J871" s="63">
        <x:f t="shared" si="64"/>
        <x:v>0</x:v>
      </x:c>
      <x:c r="K871" s="63" t="str">
        <x:f t="shared" si="62"/>
      </x:c>
      <x:c r="L871" s="63">
        <x:f t="shared" si="65"/>
        <x:v>0</x:v>
      </x:c>
      <x:c r="M871" s="61"/>
    </x:row>
    <x:row r="872">
      <x:c r="A872" s="61" t="str">
        <x:f>IF(E872="","",MAX($A$6:A871)+1)</x:f>
      </x:c>
      <x:c r="B872" s="61"/>
      <x:c r="C872" s="61"/>
      <x:c r="D872" s="62"/>
      <x:c r="E872" s="61"/>
      <x:c r="F872" s="61"/>
      <x:c r="G872" s="63"/>
      <x:c r="H872" s="63">
        <x:f t="shared" si="63"/>
        <x:v>0</x:v>
      </x:c>
      <x:c r="I872" s="64"/>
      <x:c r="J872" s="63">
        <x:f t="shared" si="64"/>
        <x:v>0</x:v>
      </x:c>
      <x:c r="K872" s="63" t="str">
        <x:f t="shared" si="62"/>
      </x:c>
      <x:c r="L872" s="63">
        <x:f t="shared" si="65"/>
        <x:v>0</x:v>
      </x:c>
      <x:c r="M872" s="61"/>
    </x:row>
    <x:row r="873">
      <x:c r="A873" s="61" t="str">
        <x:f>IF(E873="","",MAX($A$6:A872)+1)</x:f>
      </x:c>
      <x:c r="B873" s="61"/>
      <x:c r="C873" s="61"/>
      <x:c r="D873" s="62"/>
      <x:c r="E873" s="61"/>
      <x:c r="F873" s="61"/>
      <x:c r="G873" s="63"/>
      <x:c r="H873" s="63">
        <x:f t="shared" si="63"/>
        <x:v>0</x:v>
      </x:c>
      <x:c r="I873" s="64"/>
      <x:c r="J873" s="63">
        <x:f t="shared" si="64"/>
        <x:v>0</x:v>
      </x:c>
      <x:c r="K873" s="63" t="str">
        <x:f t="shared" si="62"/>
      </x:c>
      <x:c r="L873" s="63">
        <x:f t="shared" si="65"/>
        <x:v>0</x:v>
      </x:c>
      <x:c r="M873" s="61"/>
    </x:row>
    <x:row r="874">
      <x:c r="A874" s="61" t="str">
        <x:f>IF(E874="","",MAX($A$6:A873)+1)</x:f>
      </x:c>
      <x:c r="B874" s="61"/>
      <x:c r="C874" s="61"/>
      <x:c r="D874" s="62"/>
      <x:c r="E874" s="61"/>
      <x:c r="F874" s="61"/>
      <x:c r="G874" s="63"/>
      <x:c r="H874" s="63">
        <x:f t="shared" si="63"/>
        <x:v>0</x:v>
      </x:c>
      <x:c r="I874" s="64"/>
      <x:c r="J874" s="63">
        <x:f t="shared" si="64"/>
        <x:v>0</x:v>
      </x:c>
      <x:c r="K874" s="63" t="str">
        <x:f t="shared" si="62"/>
      </x:c>
      <x:c r="L874" s="63">
        <x:f t="shared" si="65"/>
        <x:v>0</x:v>
      </x:c>
      <x:c r="M874" s="61"/>
    </x:row>
    <x:row r="875">
      <x:c r="A875" s="61" t="str">
        <x:f>IF(E875="","",MAX($A$6:A874)+1)</x:f>
      </x:c>
      <x:c r="B875" s="61"/>
      <x:c r="C875" s="61"/>
      <x:c r="D875" s="62"/>
      <x:c r="E875" s="61"/>
      <x:c r="F875" s="61"/>
      <x:c r="G875" s="63"/>
      <x:c r="H875" s="63">
        <x:f t="shared" si="63"/>
        <x:v>0</x:v>
      </x:c>
      <x:c r="I875" s="64"/>
      <x:c r="J875" s="63">
        <x:f t="shared" si="64"/>
        <x:v>0</x:v>
      </x:c>
      <x:c r="K875" s="63" t="str">
        <x:f t="shared" si="62"/>
      </x:c>
      <x:c r="L875" s="63">
        <x:f t="shared" si="65"/>
        <x:v>0</x:v>
      </x:c>
      <x:c r="M875" s="61"/>
    </x:row>
    <x:row r="876">
      <x:c r="A876" s="61" t="str">
        <x:f>IF(E876="","",MAX($A$6:A875)+1)</x:f>
      </x:c>
      <x:c r="B876" s="61"/>
      <x:c r="C876" s="61"/>
      <x:c r="D876" s="62"/>
      <x:c r="E876" s="61"/>
      <x:c r="F876" s="61"/>
      <x:c r="G876" s="63"/>
      <x:c r="H876" s="63">
        <x:f t="shared" si="63"/>
        <x:v>0</x:v>
      </x:c>
      <x:c r="I876" s="64"/>
      <x:c r="J876" s="63">
        <x:f t="shared" si="64"/>
        <x:v>0</x:v>
      </x:c>
      <x:c r="K876" s="63" t="str">
        <x:f t="shared" si="62"/>
      </x:c>
      <x:c r="L876" s="63">
        <x:f t="shared" si="65"/>
        <x:v>0</x:v>
      </x:c>
      <x:c r="M876" s="61"/>
    </x:row>
    <x:row r="877">
      <x:c r="A877" s="61" t="str">
        <x:f>IF(E877="","",MAX($A$6:A876)+1)</x:f>
      </x:c>
      <x:c r="B877" s="61"/>
      <x:c r="C877" s="61"/>
      <x:c r="D877" s="62"/>
      <x:c r="E877" s="61"/>
      <x:c r="F877" s="61"/>
      <x:c r="G877" s="63"/>
      <x:c r="H877" s="63">
        <x:f t="shared" si="63"/>
        <x:v>0</x:v>
      </x:c>
      <x:c r="I877" s="64"/>
      <x:c r="J877" s="63">
        <x:f t="shared" si="64"/>
        <x:v>0</x:v>
      </x:c>
      <x:c r="K877" s="63" t="str">
        <x:f t="shared" si="62"/>
      </x:c>
      <x:c r="L877" s="63">
        <x:f t="shared" si="65"/>
        <x:v>0</x:v>
      </x:c>
      <x:c r="M877" s="61"/>
    </x:row>
    <x:row r="878">
      <x:c r="A878" s="61" t="str">
        <x:f>IF(E878="","",MAX($A$6:A877)+1)</x:f>
      </x:c>
      <x:c r="B878" s="61"/>
      <x:c r="C878" s="61"/>
      <x:c r="D878" s="62"/>
      <x:c r="E878" s="61"/>
      <x:c r="F878" s="61"/>
      <x:c r="G878" s="63"/>
      <x:c r="H878" s="63">
        <x:f t="shared" si="63"/>
        <x:v>0</x:v>
      </x:c>
      <x:c r="I878" s="64"/>
      <x:c r="J878" s="63">
        <x:f t="shared" si="64"/>
        <x:v>0</x:v>
      </x:c>
      <x:c r="K878" s="63" t="str">
        <x:f t="shared" si="62"/>
      </x:c>
      <x:c r="L878" s="63">
        <x:f t="shared" si="65"/>
        <x:v>0</x:v>
      </x:c>
      <x:c r="M878" s="61"/>
    </x:row>
    <x:row r="879">
      <x:c r="A879" s="61" t="str">
        <x:f>IF(E879="","",MAX($A$6:A878)+1)</x:f>
      </x:c>
      <x:c r="B879" s="61"/>
      <x:c r="C879" s="61"/>
      <x:c r="D879" s="62"/>
      <x:c r="E879" s="61"/>
      <x:c r="F879" s="61"/>
      <x:c r="G879" s="63"/>
      <x:c r="H879" s="63">
        <x:f t="shared" si="63"/>
        <x:v>0</x:v>
      </x:c>
      <x:c r="I879" s="64"/>
      <x:c r="J879" s="63">
        <x:f t="shared" si="64"/>
        <x:v>0</x:v>
      </x:c>
      <x:c r="K879" s="63" t="str">
        <x:f t="shared" si="62"/>
      </x:c>
      <x:c r="L879" s="63">
        <x:f t="shared" si="65"/>
        <x:v>0</x:v>
      </x:c>
      <x:c r="M879" s="61"/>
    </x:row>
    <x:row r="880">
      <x:c r="A880" s="61" t="str">
        <x:f>IF(E880="","",MAX($A$6:A879)+1)</x:f>
      </x:c>
      <x:c r="B880" s="61"/>
      <x:c r="C880" s="61"/>
      <x:c r="D880" s="62"/>
      <x:c r="E880" s="61"/>
      <x:c r="F880" s="61"/>
      <x:c r="G880" s="63"/>
      <x:c r="H880" s="63">
        <x:f t="shared" si="63"/>
        <x:v>0</x:v>
      </x:c>
      <x:c r="I880" s="64"/>
      <x:c r="J880" s="63">
        <x:f t="shared" si="64"/>
        <x:v>0</x:v>
      </x:c>
      <x:c r="K880" s="63" t="str">
        <x:f t="shared" si="62"/>
      </x:c>
      <x:c r="L880" s="63">
        <x:f t="shared" si="65"/>
        <x:v>0</x:v>
      </x:c>
      <x:c r="M880" s="61"/>
    </x:row>
    <x:row r="881">
      <x:c r="A881" s="61" t="str">
        <x:f>IF(E881="","",MAX($A$6:A880)+1)</x:f>
      </x:c>
      <x:c r="B881" s="61"/>
      <x:c r="C881" s="61"/>
      <x:c r="D881" s="62"/>
      <x:c r="E881" s="61"/>
      <x:c r="F881" s="61"/>
      <x:c r="G881" s="63"/>
      <x:c r="H881" s="63">
        <x:f t="shared" si="63"/>
        <x:v>0</x:v>
      </x:c>
      <x:c r="I881" s="64"/>
      <x:c r="J881" s="63">
        <x:f t="shared" si="64"/>
        <x:v>0</x:v>
      </x:c>
      <x:c r="K881" s="63" t="str">
        <x:f t="shared" si="62"/>
      </x:c>
      <x:c r="L881" s="63">
        <x:f t="shared" si="65"/>
        <x:v>0</x:v>
      </x:c>
      <x:c r="M881" s="61"/>
    </x:row>
    <x:row r="882">
      <x:c r="A882" s="61" t="str">
        <x:f>IF(E882="","",MAX($A$6:A881)+1)</x:f>
      </x:c>
      <x:c r="B882" s="61"/>
      <x:c r="C882" s="61"/>
      <x:c r="D882" s="62"/>
      <x:c r="E882" s="61"/>
      <x:c r="F882" s="61"/>
      <x:c r="G882" s="63"/>
      <x:c r="H882" s="63">
        <x:f t="shared" si="63"/>
        <x:v>0</x:v>
      </x:c>
      <x:c r="I882" s="64"/>
      <x:c r="J882" s="63">
        <x:f t="shared" si="64"/>
        <x:v>0</x:v>
      </x:c>
      <x:c r="K882" s="63" t="str">
        <x:f t="shared" si="62"/>
      </x:c>
      <x:c r="L882" s="63">
        <x:f t="shared" si="65"/>
        <x:v>0</x:v>
      </x:c>
      <x:c r="M882" s="61"/>
    </x:row>
    <x:row r="883">
      <x:c r="A883" s="61" t="str">
        <x:f>IF(E883="","",MAX($A$6:A882)+1)</x:f>
      </x:c>
      <x:c r="B883" s="61"/>
      <x:c r="C883" s="61"/>
      <x:c r="D883" s="62"/>
      <x:c r="E883" s="61"/>
      <x:c r="F883" s="61"/>
      <x:c r="G883" s="63"/>
      <x:c r="H883" s="63">
        <x:f t="shared" si="63"/>
        <x:v>0</x:v>
      </x:c>
      <x:c r="I883" s="64"/>
      <x:c r="J883" s="63">
        <x:f t="shared" si="64"/>
        <x:v>0</x:v>
      </x:c>
      <x:c r="K883" s="63" t="str">
        <x:f t="shared" si="62"/>
      </x:c>
      <x:c r="L883" s="63">
        <x:f t="shared" si="65"/>
        <x:v>0</x:v>
      </x:c>
      <x:c r="M883" s="61"/>
    </x:row>
    <x:row r="884">
      <x:c r="A884" s="61" t="str">
        <x:f>IF(E884="","",MAX($A$6:A883)+1)</x:f>
      </x:c>
      <x:c r="B884" s="61"/>
      <x:c r="C884" s="61"/>
      <x:c r="D884" s="62"/>
      <x:c r="E884" s="61"/>
      <x:c r="F884" s="61"/>
      <x:c r="G884" s="63"/>
      <x:c r="H884" s="63">
        <x:f t="shared" si="63"/>
        <x:v>0</x:v>
      </x:c>
      <x:c r="I884" s="64"/>
      <x:c r="J884" s="63">
        <x:f t="shared" si="64"/>
        <x:v>0</x:v>
      </x:c>
      <x:c r="K884" s="63" t="str">
        <x:f t="shared" si="62"/>
      </x:c>
      <x:c r="L884" s="63">
        <x:f t="shared" si="65"/>
        <x:v>0</x:v>
      </x:c>
      <x:c r="M884" s="61"/>
    </x:row>
    <x:row r="885">
      <x:c r="A885" s="61" t="str">
        <x:f>IF(E885="","",MAX($A$6:A884)+1)</x:f>
      </x:c>
      <x:c r="B885" s="61"/>
      <x:c r="C885" s="61"/>
      <x:c r="D885" s="62"/>
      <x:c r="E885" s="61"/>
      <x:c r="F885" s="61"/>
      <x:c r="G885" s="63"/>
      <x:c r="H885" s="63">
        <x:f t="shared" si="63"/>
        <x:v>0</x:v>
      </x:c>
      <x:c r="I885" s="64"/>
      <x:c r="J885" s="63">
        <x:f t="shared" si="64"/>
        <x:v>0</x:v>
      </x:c>
      <x:c r="K885" s="63" t="str">
        <x:f t="shared" si="62"/>
      </x:c>
      <x:c r="L885" s="63">
        <x:f t="shared" si="65"/>
        <x:v>0</x:v>
      </x:c>
      <x:c r="M885" s="61"/>
    </x:row>
    <x:row r="886">
      <x:c r="A886" s="61" t="str">
        <x:f>IF(E886="","",MAX($A$6:A885)+1)</x:f>
      </x:c>
      <x:c r="B886" s="61"/>
      <x:c r="C886" s="61"/>
      <x:c r="D886" s="62"/>
      <x:c r="E886" s="61"/>
      <x:c r="F886" s="61"/>
      <x:c r="G886" s="63"/>
      <x:c r="H886" s="63">
        <x:f t="shared" si="63"/>
        <x:v>0</x:v>
      </x:c>
      <x:c r="I886" s="64"/>
      <x:c r="J886" s="63">
        <x:f t="shared" si="64"/>
        <x:v>0</x:v>
      </x:c>
      <x:c r="K886" s="63" t="str">
        <x:f t="shared" ref="K886:K949" si="66">IFERROR(IF(G886="","",MAX(1,G886-J886)),0)</x:f>
      </x:c>
      <x:c r="L886" s="63">
        <x:f t="shared" si="65"/>
        <x:v>0</x:v>
      </x:c>
      <x:c r="M886" s="61"/>
    </x:row>
    <x:row r="887">
      <x:c r="A887" s="61" t="str">
        <x:f>IF(E887="","",MAX($A$6:A886)+1)</x:f>
      </x:c>
      <x:c r="B887" s="61"/>
      <x:c r="C887" s="61"/>
      <x:c r="D887" s="62"/>
      <x:c r="E887" s="61"/>
      <x:c r="F887" s="61"/>
      <x:c r="G887" s="63"/>
      <x:c r="H887" s="63">
        <x:f t="shared" si="63"/>
        <x:v>0</x:v>
      </x:c>
      <x:c r="I887" s="64"/>
      <x:c r="J887" s="63">
        <x:f t="shared" si="64"/>
        <x:v>0</x:v>
      </x:c>
      <x:c r="K887" s="63" t="str">
        <x:f t="shared" si="66"/>
      </x:c>
      <x:c r="L887" s="63">
        <x:f t="shared" si="65"/>
        <x:v>0</x:v>
      </x:c>
      <x:c r="M887" s="61"/>
    </x:row>
    <x:row r="888">
      <x:c r="A888" s="61" t="str">
        <x:f>IF(E888="","",MAX($A$6:A887)+1)</x:f>
      </x:c>
      <x:c r="B888" s="61"/>
      <x:c r="C888" s="61"/>
      <x:c r="D888" s="62"/>
      <x:c r="E888" s="61"/>
      <x:c r="F888" s="61"/>
      <x:c r="G888" s="63"/>
      <x:c r="H888" s="63">
        <x:f t="shared" si="63"/>
        <x:v>0</x:v>
      </x:c>
      <x:c r="I888" s="64"/>
      <x:c r="J888" s="63">
        <x:f t="shared" si="64"/>
        <x:v>0</x:v>
      </x:c>
      <x:c r="K888" s="63" t="str">
        <x:f t="shared" si="66"/>
      </x:c>
      <x:c r="L888" s="63">
        <x:f t="shared" si="65"/>
        <x:v>0</x:v>
      </x:c>
      <x:c r="M888" s="61"/>
    </x:row>
    <x:row r="889">
      <x:c r="A889" s="61" t="str">
        <x:f>IF(E889="","",MAX($A$6:A888)+1)</x:f>
      </x:c>
      <x:c r="B889" s="61"/>
      <x:c r="C889" s="61"/>
      <x:c r="D889" s="62"/>
      <x:c r="E889" s="61"/>
      <x:c r="F889" s="61"/>
      <x:c r="G889" s="63"/>
      <x:c r="H889" s="63">
        <x:f t="shared" si="63"/>
        <x:v>0</x:v>
      </x:c>
      <x:c r="I889" s="64"/>
      <x:c r="J889" s="63">
        <x:f t="shared" si="64"/>
        <x:v>0</x:v>
      </x:c>
      <x:c r="K889" s="63" t="str">
        <x:f t="shared" si="66"/>
      </x:c>
      <x:c r="L889" s="63">
        <x:f t="shared" si="65"/>
        <x:v>0</x:v>
      </x:c>
      <x:c r="M889" s="61"/>
    </x:row>
    <x:row r="890">
      <x:c r="A890" s="61" t="str">
        <x:f>IF(E890="","",MAX($A$6:A889)+1)</x:f>
      </x:c>
      <x:c r="B890" s="61"/>
      <x:c r="C890" s="61"/>
      <x:c r="D890" s="62"/>
      <x:c r="E890" s="61"/>
      <x:c r="F890" s="61"/>
      <x:c r="G890" s="63"/>
      <x:c r="H890" s="63">
        <x:f t="shared" si="63"/>
        <x:v>0</x:v>
      </x:c>
      <x:c r="I890" s="64"/>
      <x:c r="J890" s="63">
        <x:f t="shared" si="64"/>
        <x:v>0</x:v>
      </x:c>
      <x:c r="K890" s="63" t="str">
        <x:f t="shared" si="66"/>
      </x:c>
      <x:c r="L890" s="63">
        <x:f t="shared" si="65"/>
        <x:v>0</x:v>
      </x:c>
      <x:c r="M890" s="61"/>
    </x:row>
    <x:row r="891">
      <x:c r="A891" s="61" t="str">
        <x:f>IF(E891="","",MAX($A$6:A890)+1)</x:f>
      </x:c>
      <x:c r="B891" s="61"/>
      <x:c r="C891" s="61"/>
      <x:c r="D891" s="62"/>
      <x:c r="E891" s="61"/>
      <x:c r="F891" s="61"/>
      <x:c r="G891" s="63"/>
      <x:c r="H891" s="63">
        <x:f t="shared" si="63"/>
        <x:v>0</x:v>
      </x:c>
      <x:c r="I891" s="64"/>
      <x:c r="J891" s="63">
        <x:f t="shared" si="64"/>
        <x:v>0</x:v>
      </x:c>
      <x:c r="K891" s="63" t="str">
        <x:f t="shared" si="66"/>
      </x:c>
      <x:c r="L891" s="63">
        <x:f t="shared" si="65"/>
        <x:v>0</x:v>
      </x:c>
      <x:c r="M891" s="61"/>
    </x:row>
    <x:row r="892">
      <x:c r="A892" s="61" t="str">
        <x:f>IF(E892="","",MAX($A$6:A891)+1)</x:f>
      </x:c>
      <x:c r="B892" s="61"/>
      <x:c r="C892" s="61"/>
      <x:c r="D892" s="62"/>
      <x:c r="E892" s="61"/>
      <x:c r="F892" s="61"/>
      <x:c r="G892" s="63"/>
      <x:c r="H892" s="63">
        <x:f t="shared" si="63"/>
        <x:v>0</x:v>
      </x:c>
      <x:c r="I892" s="64"/>
      <x:c r="J892" s="63">
        <x:f t="shared" si="64"/>
        <x:v>0</x:v>
      </x:c>
      <x:c r="K892" s="63" t="str">
        <x:f t="shared" si="66"/>
      </x:c>
      <x:c r="L892" s="63">
        <x:f t="shared" si="65"/>
        <x:v>0</x:v>
      </x:c>
      <x:c r="M892" s="61"/>
    </x:row>
    <x:row r="893">
      <x:c r="A893" s="61" t="str">
        <x:f>IF(E893="","",MAX($A$6:A892)+1)</x:f>
      </x:c>
      <x:c r="B893" s="61"/>
      <x:c r="C893" s="61"/>
      <x:c r="D893" s="62"/>
      <x:c r="E893" s="61"/>
      <x:c r="F893" s="61"/>
      <x:c r="G893" s="63"/>
      <x:c r="H893" s="63">
        <x:f t="shared" si="63"/>
        <x:v>0</x:v>
      </x:c>
      <x:c r="I893" s="64"/>
      <x:c r="J893" s="63">
        <x:f t="shared" si="64"/>
        <x:v>0</x:v>
      </x:c>
      <x:c r="K893" s="63" t="str">
        <x:f t="shared" si="66"/>
      </x:c>
      <x:c r="L893" s="63">
        <x:f t="shared" si="65"/>
        <x:v>0</x:v>
      </x:c>
      <x:c r="M893" s="61"/>
    </x:row>
    <x:row r="894">
      <x:c r="A894" s="61" t="str">
        <x:f>IF(E894="","",MAX($A$6:A893)+1)</x:f>
      </x:c>
      <x:c r="B894" s="61"/>
      <x:c r="C894" s="61"/>
      <x:c r="D894" s="62"/>
      <x:c r="E894" s="61"/>
      <x:c r="F894" s="61"/>
      <x:c r="G894" s="63"/>
      <x:c r="H894" s="63">
        <x:f t="shared" si="63"/>
        <x:v>0</x:v>
      </x:c>
      <x:c r="I894" s="64"/>
      <x:c r="J894" s="63">
        <x:f t="shared" si="64"/>
        <x:v>0</x:v>
      </x:c>
      <x:c r="K894" s="63" t="str">
        <x:f t="shared" si="66"/>
      </x:c>
      <x:c r="L894" s="63">
        <x:f t="shared" si="65"/>
        <x:v>0</x:v>
      </x:c>
      <x:c r="M894" s="61"/>
    </x:row>
    <x:row r="895">
      <x:c r="A895" s="61" t="str">
        <x:f>IF(E895="","",MAX($A$6:A894)+1)</x:f>
      </x:c>
      <x:c r="B895" s="61"/>
      <x:c r="C895" s="61"/>
      <x:c r="D895" s="62"/>
      <x:c r="E895" s="61"/>
      <x:c r="F895" s="61"/>
      <x:c r="G895" s="63"/>
      <x:c r="H895" s="63">
        <x:f t="shared" si="63"/>
        <x:v>0</x:v>
      </x:c>
      <x:c r="I895" s="64"/>
      <x:c r="J895" s="63">
        <x:f t="shared" si="64"/>
        <x:v>0</x:v>
      </x:c>
      <x:c r="K895" s="63" t="str">
        <x:f t="shared" si="66"/>
      </x:c>
      <x:c r="L895" s="63">
        <x:f t="shared" si="65"/>
        <x:v>0</x:v>
      </x:c>
      <x:c r="M895" s="61"/>
    </x:row>
    <x:row r="896">
      <x:c r="A896" s="61" t="str">
        <x:f>IF(E896="","",MAX($A$6:A895)+1)</x:f>
      </x:c>
      <x:c r="B896" s="61"/>
      <x:c r="C896" s="61"/>
      <x:c r="D896" s="62"/>
      <x:c r="E896" s="61"/>
      <x:c r="F896" s="61"/>
      <x:c r="G896" s="63"/>
      <x:c r="H896" s="63">
        <x:f t="shared" si="63"/>
        <x:v>0</x:v>
      </x:c>
      <x:c r="I896" s="64"/>
      <x:c r="J896" s="63">
        <x:f t="shared" si="64"/>
        <x:v>0</x:v>
      </x:c>
      <x:c r="K896" s="63" t="str">
        <x:f t="shared" si="66"/>
      </x:c>
      <x:c r="L896" s="63">
        <x:f t="shared" si="65"/>
        <x:v>0</x:v>
      </x:c>
      <x:c r="M896" s="61"/>
    </x:row>
    <x:row r="897">
      <x:c r="A897" s="61" t="str">
        <x:f>IF(E897="","",MAX($A$6:A896)+1)</x:f>
      </x:c>
      <x:c r="B897" s="61"/>
      <x:c r="C897" s="61"/>
      <x:c r="D897" s="62"/>
      <x:c r="E897" s="61"/>
      <x:c r="F897" s="61"/>
      <x:c r="G897" s="63"/>
      <x:c r="H897" s="63">
        <x:f t="shared" si="63"/>
        <x:v>0</x:v>
      </x:c>
      <x:c r="I897" s="64"/>
      <x:c r="J897" s="63">
        <x:f t="shared" si="64"/>
        <x:v>0</x:v>
      </x:c>
      <x:c r="K897" s="63" t="str">
        <x:f t="shared" si="66"/>
      </x:c>
      <x:c r="L897" s="63">
        <x:f t="shared" si="65"/>
        <x:v>0</x:v>
      </x:c>
      <x:c r="M897" s="61"/>
    </x:row>
    <x:row r="898">
      <x:c r="A898" s="61" t="str">
        <x:f>IF(E898="","",MAX($A$6:A897)+1)</x:f>
      </x:c>
      <x:c r="B898" s="61"/>
      <x:c r="C898" s="61"/>
      <x:c r="D898" s="62"/>
      <x:c r="E898" s="61"/>
      <x:c r="F898" s="61"/>
      <x:c r="G898" s="63"/>
      <x:c r="H898" s="63">
        <x:f t="shared" si="63"/>
        <x:v>0</x:v>
      </x:c>
      <x:c r="I898" s="64"/>
      <x:c r="J898" s="63">
        <x:f t="shared" si="64"/>
        <x:v>0</x:v>
      </x:c>
      <x:c r="K898" s="63" t="str">
        <x:f t="shared" si="66"/>
      </x:c>
      <x:c r="L898" s="63">
        <x:f t="shared" si="65"/>
        <x:v>0</x:v>
      </x:c>
      <x:c r="M898" s="61"/>
    </x:row>
    <x:row r="899">
      <x:c r="A899" s="61" t="str">
        <x:f>IF(E899="","",MAX($A$6:A898)+1)</x:f>
      </x:c>
      <x:c r="B899" s="61"/>
      <x:c r="C899" s="61"/>
      <x:c r="D899" s="62"/>
      <x:c r="E899" s="61"/>
      <x:c r="F899" s="61"/>
      <x:c r="G899" s="63"/>
      <x:c r="H899" s="63">
        <x:f t="shared" si="63"/>
        <x:v>0</x:v>
      </x:c>
      <x:c r="I899" s="64"/>
      <x:c r="J899" s="63">
        <x:f t="shared" si="64"/>
        <x:v>0</x:v>
      </x:c>
      <x:c r="K899" s="63" t="str">
        <x:f t="shared" si="66"/>
      </x:c>
      <x:c r="L899" s="63">
        <x:f t="shared" si="65"/>
        <x:v>0</x:v>
      </x:c>
      <x:c r="M899" s="61"/>
    </x:row>
    <x:row r="900">
      <x:c r="A900" s="61" t="str">
        <x:f>IF(E900="","",MAX($A$6:A899)+1)</x:f>
      </x:c>
      <x:c r="B900" s="61"/>
      <x:c r="C900" s="61"/>
      <x:c r="D900" s="62"/>
      <x:c r="E900" s="61"/>
      <x:c r="F900" s="61"/>
      <x:c r="G900" s="63"/>
      <x:c r="H900" s="63">
        <x:f t="shared" si="63"/>
        <x:v>0</x:v>
      </x:c>
      <x:c r="I900" s="64"/>
      <x:c r="J900" s="63">
        <x:f t="shared" si="64"/>
        <x:v>0</x:v>
      </x:c>
      <x:c r="K900" s="63" t="str">
        <x:f t="shared" si="66"/>
      </x:c>
      <x:c r="L900" s="63">
        <x:f t="shared" si="65"/>
        <x:v>0</x:v>
      </x:c>
      <x:c r="M900" s="61"/>
    </x:row>
    <x:row r="901">
      <x:c r="A901" s="61" t="str">
        <x:f>IF(E901="","",MAX($A$6:A900)+1)</x:f>
      </x:c>
      <x:c r="B901" s="61"/>
      <x:c r="C901" s="61"/>
      <x:c r="D901" s="62"/>
      <x:c r="E901" s="61"/>
      <x:c r="F901" s="61"/>
      <x:c r="G901" s="63"/>
      <x:c r="H901" s="63">
        <x:f t="shared" si="63"/>
        <x:v>0</x:v>
      </x:c>
      <x:c r="I901" s="64"/>
      <x:c r="J901" s="63">
        <x:f t="shared" si="64"/>
        <x:v>0</x:v>
      </x:c>
      <x:c r="K901" s="63" t="str">
        <x:f t="shared" si="66"/>
      </x:c>
      <x:c r="L901" s="63">
        <x:f t="shared" si="65"/>
        <x:v>0</x:v>
      </x:c>
      <x:c r="M901" s="61"/>
    </x:row>
    <x:row r="902">
      <x:c r="A902" s="61" t="str">
        <x:f>IF(E902="","",MAX($A$6:A901)+1)</x:f>
      </x:c>
      <x:c r="B902" s="61"/>
      <x:c r="C902" s="61"/>
      <x:c r="D902" s="62"/>
      <x:c r="E902" s="61"/>
      <x:c r="F902" s="61"/>
      <x:c r="G902" s="63"/>
      <x:c r="H902" s="63" t="n">
        <x:f t="shared" ref="H902:H965" si="67">IFERROR(IF(OR($F$1="",D902=""),0,MAX(0,$F$1-D902)),0)</x:f>
        <x:v>0</x:v>
      </x:c>
      <x:c r="I902" s="64"/>
      <x:c r="J902" s="63" t="n">
        <x:f t="shared" ref="J902:J965" si="68">IFERROR(IF(OR(G902="",I902="",D902="",$F$1=""),0,IF($F$1&lt;D902,0,MIN(MAX(G902-1,0),MAX(0,(G902*I902/365)*H902)))),0)</x:f>
        <x:v>0</x:v>
      </x:c>
      <x:c r="K902" s="63" t="str">
        <x:f t="shared" si="66"/>
      </x:c>
      <x:c r="L902" s="63" t="n">
        <x:f t="shared" ref="L902:L965" si="69">IFERROR(IF(OR(G902="",I902="",D902="",$F$1=""),0,IF($F$1&lt;D902,0,IF(K902&lt;=1,0,MIN(G902*I902/12,K902-1)))),0)</x:f>
        <x:v>0</x:v>
      </x:c>
      <x:c r="M902" s="61"/>
    </x:row>
    <x:row r="903">
      <x:c r="A903" s="61" t="str">
        <x:f>IF(E903="","",MAX($A$6:A902)+1)</x:f>
      </x:c>
      <x:c r="B903" s="61"/>
      <x:c r="C903" s="61"/>
      <x:c r="D903" s="62"/>
      <x:c r="E903" s="61"/>
      <x:c r="F903" s="61"/>
      <x:c r="G903" s="63"/>
      <x:c r="H903" s="63">
        <x:f t="shared" si="67"/>
        <x:v>0</x:v>
      </x:c>
      <x:c r="I903" s="64"/>
      <x:c r="J903" s="63">
        <x:f t="shared" si="68"/>
        <x:v>0</x:v>
      </x:c>
      <x:c r="K903" s="63" t="str">
        <x:f t="shared" si="66"/>
      </x:c>
      <x:c r="L903" s="63">
        <x:f t="shared" si="69"/>
        <x:v>0</x:v>
      </x:c>
      <x:c r="M903" s="61"/>
    </x:row>
    <x:row r="904">
      <x:c r="A904" s="61" t="str">
        <x:f>IF(E904="","",MAX($A$6:A903)+1)</x:f>
      </x:c>
      <x:c r="B904" s="61"/>
      <x:c r="C904" s="61"/>
      <x:c r="D904" s="62"/>
      <x:c r="E904" s="61"/>
      <x:c r="F904" s="61"/>
      <x:c r="G904" s="63"/>
      <x:c r="H904" s="63">
        <x:f t="shared" si="67"/>
        <x:v>0</x:v>
      </x:c>
      <x:c r="I904" s="64"/>
      <x:c r="J904" s="63">
        <x:f t="shared" si="68"/>
        <x:v>0</x:v>
      </x:c>
      <x:c r="K904" s="63" t="str">
        <x:f t="shared" si="66"/>
      </x:c>
      <x:c r="L904" s="63">
        <x:f t="shared" si="69"/>
        <x:v>0</x:v>
      </x:c>
      <x:c r="M904" s="61"/>
    </x:row>
    <x:row r="905">
      <x:c r="A905" s="61" t="str">
        <x:f>IF(E905="","",MAX($A$6:A904)+1)</x:f>
      </x:c>
      <x:c r="B905" s="61"/>
      <x:c r="C905" s="61"/>
      <x:c r="D905" s="62"/>
      <x:c r="E905" s="61"/>
      <x:c r="F905" s="61"/>
      <x:c r="G905" s="63"/>
      <x:c r="H905" s="63">
        <x:f t="shared" si="67"/>
        <x:v>0</x:v>
      </x:c>
      <x:c r="I905" s="64"/>
      <x:c r="J905" s="63">
        <x:f t="shared" si="68"/>
        <x:v>0</x:v>
      </x:c>
      <x:c r="K905" s="63" t="str">
        <x:f t="shared" si="66"/>
      </x:c>
      <x:c r="L905" s="63">
        <x:f t="shared" si="69"/>
        <x:v>0</x:v>
      </x:c>
      <x:c r="M905" s="61"/>
    </x:row>
    <x:row r="906">
      <x:c r="A906" s="61" t="str">
        <x:f>IF(E906="","",MAX($A$6:A905)+1)</x:f>
      </x:c>
      <x:c r="B906" s="61"/>
      <x:c r="C906" s="61"/>
      <x:c r="D906" s="62"/>
      <x:c r="E906" s="61"/>
      <x:c r="F906" s="61"/>
      <x:c r="G906" s="63"/>
      <x:c r="H906" s="63">
        <x:f t="shared" si="67"/>
        <x:v>0</x:v>
      </x:c>
      <x:c r="I906" s="64"/>
      <x:c r="J906" s="63">
        <x:f t="shared" si="68"/>
        <x:v>0</x:v>
      </x:c>
      <x:c r="K906" s="63" t="str">
        <x:f t="shared" si="66"/>
      </x:c>
      <x:c r="L906" s="63">
        <x:f t="shared" si="69"/>
        <x:v>0</x:v>
      </x:c>
      <x:c r="M906" s="61"/>
    </x:row>
    <x:row r="907">
      <x:c r="A907" s="61" t="str">
        <x:f>IF(E907="","",MAX($A$6:A906)+1)</x:f>
      </x:c>
      <x:c r="B907" s="61"/>
      <x:c r="C907" s="61"/>
      <x:c r="D907" s="62"/>
      <x:c r="E907" s="61"/>
      <x:c r="F907" s="61"/>
      <x:c r="G907" s="63"/>
      <x:c r="H907" s="63">
        <x:f t="shared" si="67"/>
        <x:v>0</x:v>
      </x:c>
      <x:c r="I907" s="64"/>
      <x:c r="J907" s="63">
        <x:f t="shared" si="68"/>
        <x:v>0</x:v>
      </x:c>
      <x:c r="K907" s="63" t="str">
        <x:f t="shared" si="66"/>
      </x:c>
      <x:c r="L907" s="63">
        <x:f t="shared" si="69"/>
        <x:v>0</x:v>
      </x:c>
      <x:c r="M907" s="61"/>
    </x:row>
    <x:row r="908">
      <x:c r="A908" s="61" t="str">
        <x:f>IF(E908="","",MAX($A$6:A907)+1)</x:f>
      </x:c>
      <x:c r="B908" s="61"/>
      <x:c r="C908" s="61"/>
      <x:c r="D908" s="62"/>
      <x:c r="E908" s="61"/>
      <x:c r="F908" s="61"/>
      <x:c r="G908" s="63"/>
      <x:c r="H908" s="63">
        <x:f t="shared" si="67"/>
        <x:v>0</x:v>
      </x:c>
      <x:c r="I908" s="64"/>
      <x:c r="J908" s="63">
        <x:f t="shared" si="68"/>
        <x:v>0</x:v>
      </x:c>
      <x:c r="K908" s="63" t="str">
        <x:f t="shared" si="66"/>
      </x:c>
      <x:c r="L908" s="63">
        <x:f t="shared" si="69"/>
        <x:v>0</x:v>
      </x:c>
      <x:c r="M908" s="61"/>
    </x:row>
    <x:row r="909">
      <x:c r="A909" s="61" t="str">
        <x:f>IF(E909="","",MAX($A$6:A908)+1)</x:f>
      </x:c>
      <x:c r="B909" s="61"/>
      <x:c r="C909" s="61"/>
      <x:c r="D909" s="62"/>
      <x:c r="E909" s="61"/>
      <x:c r="F909" s="61"/>
      <x:c r="G909" s="63"/>
      <x:c r="H909" s="63">
        <x:f t="shared" si="67"/>
        <x:v>0</x:v>
      </x:c>
      <x:c r="I909" s="64"/>
      <x:c r="J909" s="63">
        <x:f t="shared" si="68"/>
        <x:v>0</x:v>
      </x:c>
      <x:c r="K909" s="63" t="str">
        <x:f t="shared" si="66"/>
      </x:c>
      <x:c r="L909" s="63">
        <x:f t="shared" si="69"/>
        <x:v>0</x:v>
      </x:c>
      <x:c r="M909" s="61"/>
    </x:row>
    <x:row r="910">
      <x:c r="A910" s="61" t="str">
        <x:f>IF(E910="","",MAX($A$6:A909)+1)</x:f>
      </x:c>
      <x:c r="B910" s="61"/>
      <x:c r="C910" s="61"/>
      <x:c r="D910" s="62"/>
      <x:c r="E910" s="61"/>
      <x:c r="F910" s="61"/>
      <x:c r="G910" s="63"/>
      <x:c r="H910" s="63">
        <x:f t="shared" si="67"/>
        <x:v>0</x:v>
      </x:c>
      <x:c r="I910" s="64"/>
      <x:c r="J910" s="63">
        <x:f t="shared" si="68"/>
        <x:v>0</x:v>
      </x:c>
      <x:c r="K910" s="63" t="str">
        <x:f t="shared" si="66"/>
      </x:c>
      <x:c r="L910" s="63">
        <x:f t="shared" si="69"/>
        <x:v>0</x:v>
      </x:c>
      <x:c r="M910" s="61"/>
    </x:row>
    <x:row r="911">
      <x:c r="A911" s="61" t="str">
        <x:f>IF(E911="","",MAX($A$6:A910)+1)</x:f>
      </x:c>
      <x:c r="B911" s="61"/>
      <x:c r="C911" s="61"/>
      <x:c r="D911" s="62"/>
      <x:c r="E911" s="61"/>
      <x:c r="F911" s="61"/>
      <x:c r="G911" s="63"/>
      <x:c r="H911" s="63">
        <x:f t="shared" si="67"/>
        <x:v>0</x:v>
      </x:c>
      <x:c r="I911" s="64"/>
      <x:c r="J911" s="63">
        <x:f t="shared" si="68"/>
        <x:v>0</x:v>
      </x:c>
      <x:c r="K911" s="63" t="str">
        <x:f t="shared" si="66"/>
      </x:c>
      <x:c r="L911" s="63">
        <x:f t="shared" si="69"/>
        <x:v>0</x:v>
      </x:c>
      <x:c r="M911" s="61"/>
    </x:row>
    <x:row r="912">
      <x:c r="A912" s="61" t="str">
        <x:f>IF(E912="","",MAX($A$6:A911)+1)</x:f>
      </x:c>
      <x:c r="B912" s="61"/>
      <x:c r="C912" s="61"/>
      <x:c r="D912" s="62"/>
      <x:c r="E912" s="61"/>
      <x:c r="F912" s="61"/>
      <x:c r="G912" s="63"/>
      <x:c r="H912" s="63">
        <x:f t="shared" si="67"/>
        <x:v>0</x:v>
      </x:c>
      <x:c r="I912" s="64"/>
      <x:c r="J912" s="63">
        <x:f t="shared" si="68"/>
        <x:v>0</x:v>
      </x:c>
      <x:c r="K912" s="63" t="str">
        <x:f t="shared" si="66"/>
      </x:c>
      <x:c r="L912" s="63">
        <x:f t="shared" si="69"/>
        <x:v>0</x:v>
      </x:c>
      <x:c r="M912" s="61"/>
    </x:row>
    <x:row r="913">
      <x:c r="A913" s="61" t="str">
        <x:f>IF(E913="","",MAX($A$6:A912)+1)</x:f>
      </x:c>
      <x:c r="B913" s="61"/>
      <x:c r="C913" s="61"/>
      <x:c r="D913" s="62"/>
      <x:c r="E913" s="61"/>
      <x:c r="F913" s="61"/>
      <x:c r="G913" s="63"/>
      <x:c r="H913" s="63">
        <x:f t="shared" si="67"/>
        <x:v>0</x:v>
      </x:c>
      <x:c r="I913" s="64"/>
      <x:c r="J913" s="63">
        <x:f t="shared" si="68"/>
        <x:v>0</x:v>
      </x:c>
      <x:c r="K913" s="63" t="str">
        <x:f t="shared" si="66"/>
      </x:c>
      <x:c r="L913" s="63">
        <x:f t="shared" si="69"/>
        <x:v>0</x:v>
      </x:c>
      <x:c r="M913" s="61"/>
    </x:row>
    <x:row r="914">
      <x:c r="A914" s="61" t="str">
        <x:f>IF(E914="","",MAX($A$6:A913)+1)</x:f>
      </x:c>
      <x:c r="B914" s="61"/>
      <x:c r="C914" s="61"/>
      <x:c r="D914" s="62"/>
      <x:c r="E914" s="61"/>
      <x:c r="F914" s="61"/>
      <x:c r="G914" s="63"/>
      <x:c r="H914" s="63">
        <x:f t="shared" si="67"/>
        <x:v>0</x:v>
      </x:c>
      <x:c r="I914" s="64"/>
      <x:c r="J914" s="63">
        <x:f t="shared" si="68"/>
        <x:v>0</x:v>
      </x:c>
      <x:c r="K914" s="63" t="str">
        <x:f t="shared" si="66"/>
      </x:c>
      <x:c r="L914" s="63">
        <x:f t="shared" si="69"/>
        <x:v>0</x:v>
      </x:c>
      <x:c r="M914" s="61"/>
    </x:row>
    <x:row r="915">
      <x:c r="A915" s="61" t="str">
        <x:f>IF(E915="","",MAX($A$6:A914)+1)</x:f>
      </x:c>
      <x:c r="B915" s="61"/>
      <x:c r="C915" s="61"/>
      <x:c r="D915" s="62"/>
      <x:c r="E915" s="61"/>
      <x:c r="F915" s="61"/>
      <x:c r="G915" s="63"/>
      <x:c r="H915" s="63">
        <x:f t="shared" si="67"/>
        <x:v>0</x:v>
      </x:c>
      <x:c r="I915" s="64"/>
      <x:c r="J915" s="63">
        <x:f t="shared" si="68"/>
        <x:v>0</x:v>
      </x:c>
      <x:c r="K915" s="63" t="str">
        <x:f t="shared" si="66"/>
      </x:c>
      <x:c r="L915" s="63">
        <x:f t="shared" si="69"/>
        <x:v>0</x:v>
      </x:c>
      <x:c r="M915" s="61"/>
    </x:row>
    <x:row r="916">
      <x:c r="A916" s="61" t="str">
        <x:f>IF(E916="","",MAX($A$6:A915)+1)</x:f>
      </x:c>
      <x:c r="B916" s="61"/>
      <x:c r="C916" s="61"/>
      <x:c r="D916" s="62"/>
      <x:c r="E916" s="61"/>
      <x:c r="F916" s="61"/>
      <x:c r="G916" s="63"/>
      <x:c r="H916" s="63">
        <x:f t="shared" si="67"/>
        <x:v>0</x:v>
      </x:c>
      <x:c r="I916" s="64"/>
      <x:c r="J916" s="63">
        <x:f t="shared" si="68"/>
        <x:v>0</x:v>
      </x:c>
      <x:c r="K916" s="63" t="str">
        <x:f t="shared" si="66"/>
      </x:c>
      <x:c r="L916" s="63">
        <x:f t="shared" si="69"/>
        <x:v>0</x:v>
      </x:c>
      <x:c r="M916" s="61"/>
    </x:row>
    <x:row r="917">
      <x:c r="A917" s="61" t="str">
        <x:f>IF(E917="","",MAX($A$6:A916)+1)</x:f>
      </x:c>
      <x:c r="B917" s="61"/>
      <x:c r="C917" s="61"/>
      <x:c r="D917" s="62"/>
      <x:c r="E917" s="61"/>
      <x:c r="F917" s="61"/>
      <x:c r="G917" s="63"/>
      <x:c r="H917" s="63">
        <x:f t="shared" si="67"/>
        <x:v>0</x:v>
      </x:c>
      <x:c r="I917" s="64"/>
      <x:c r="J917" s="63">
        <x:f t="shared" si="68"/>
        <x:v>0</x:v>
      </x:c>
      <x:c r="K917" s="63" t="str">
        <x:f t="shared" si="66"/>
      </x:c>
      <x:c r="L917" s="63">
        <x:f t="shared" si="69"/>
        <x:v>0</x:v>
      </x:c>
      <x:c r="M917" s="61"/>
    </x:row>
    <x:row r="918">
      <x:c r="A918" s="61" t="str">
        <x:f>IF(E918="","",MAX($A$6:A917)+1)</x:f>
      </x:c>
      <x:c r="B918" s="61"/>
      <x:c r="C918" s="61"/>
      <x:c r="D918" s="62"/>
      <x:c r="E918" s="61"/>
      <x:c r="F918" s="61"/>
      <x:c r="G918" s="63"/>
      <x:c r="H918" s="63">
        <x:f t="shared" si="67"/>
        <x:v>0</x:v>
      </x:c>
      <x:c r="I918" s="64"/>
      <x:c r="J918" s="63">
        <x:f t="shared" si="68"/>
        <x:v>0</x:v>
      </x:c>
      <x:c r="K918" s="63" t="str">
        <x:f t="shared" si="66"/>
      </x:c>
      <x:c r="L918" s="63">
        <x:f t="shared" si="69"/>
        <x:v>0</x:v>
      </x:c>
      <x:c r="M918" s="61"/>
    </x:row>
    <x:row r="919">
      <x:c r="A919" s="61" t="str">
        <x:f>IF(E919="","",MAX($A$6:A918)+1)</x:f>
      </x:c>
      <x:c r="B919" s="61"/>
      <x:c r="C919" s="61"/>
      <x:c r="D919" s="62"/>
      <x:c r="E919" s="61"/>
      <x:c r="F919" s="61"/>
      <x:c r="G919" s="63"/>
      <x:c r="H919" s="63">
        <x:f t="shared" si="67"/>
        <x:v>0</x:v>
      </x:c>
      <x:c r="I919" s="64"/>
      <x:c r="J919" s="63">
        <x:f t="shared" si="68"/>
        <x:v>0</x:v>
      </x:c>
      <x:c r="K919" s="63" t="str">
        <x:f t="shared" si="66"/>
      </x:c>
      <x:c r="L919" s="63">
        <x:f t="shared" si="69"/>
        <x:v>0</x:v>
      </x:c>
      <x:c r="M919" s="61"/>
    </x:row>
    <x:row r="920">
      <x:c r="A920" s="61" t="str">
        <x:f>IF(E920="","",MAX($A$6:A919)+1)</x:f>
      </x:c>
      <x:c r="B920" s="61"/>
      <x:c r="C920" s="61"/>
      <x:c r="D920" s="62"/>
      <x:c r="E920" s="61"/>
      <x:c r="F920" s="61"/>
      <x:c r="G920" s="63"/>
      <x:c r="H920" s="63">
        <x:f t="shared" si="67"/>
        <x:v>0</x:v>
      </x:c>
      <x:c r="I920" s="64"/>
      <x:c r="J920" s="63">
        <x:f t="shared" si="68"/>
        <x:v>0</x:v>
      </x:c>
      <x:c r="K920" s="63" t="str">
        <x:f t="shared" si="66"/>
      </x:c>
      <x:c r="L920" s="63">
        <x:f t="shared" si="69"/>
        <x:v>0</x:v>
      </x:c>
      <x:c r="M920" s="61"/>
    </x:row>
    <x:row r="921">
      <x:c r="A921" s="61" t="str">
        <x:f>IF(E921="","",MAX($A$6:A920)+1)</x:f>
      </x:c>
      <x:c r="B921" s="61"/>
      <x:c r="C921" s="61"/>
      <x:c r="D921" s="62"/>
      <x:c r="E921" s="61"/>
      <x:c r="F921" s="61"/>
      <x:c r="G921" s="63"/>
      <x:c r="H921" s="63">
        <x:f t="shared" si="67"/>
        <x:v>0</x:v>
      </x:c>
      <x:c r="I921" s="64"/>
      <x:c r="J921" s="63">
        <x:f t="shared" si="68"/>
        <x:v>0</x:v>
      </x:c>
      <x:c r="K921" s="63" t="str">
        <x:f t="shared" si="66"/>
      </x:c>
      <x:c r="L921" s="63">
        <x:f t="shared" si="69"/>
        <x:v>0</x:v>
      </x:c>
      <x:c r="M921" s="61"/>
    </x:row>
    <x:row r="922">
      <x:c r="A922" s="61" t="str">
        <x:f>IF(E922="","",MAX($A$6:A921)+1)</x:f>
      </x:c>
      <x:c r="B922" s="61"/>
      <x:c r="C922" s="61"/>
      <x:c r="D922" s="62"/>
      <x:c r="E922" s="61"/>
      <x:c r="F922" s="61"/>
      <x:c r="G922" s="63"/>
      <x:c r="H922" s="63">
        <x:f t="shared" si="67"/>
        <x:v>0</x:v>
      </x:c>
      <x:c r="I922" s="64"/>
      <x:c r="J922" s="63">
        <x:f t="shared" si="68"/>
        <x:v>0</x:v>
      </x:c>
      <x:c r="K922" s="63" t="str">
        <x:f t="shared" si="66"/>
      </x:c>
      <x:c r="L922" s="63">
        <x:f t="shared" si="69"/>
        <x:v>0</x:v>
      </x:c>
      <x:c r="M922" s="61"/>
    </x:row>
    <x:row r="923">
      <x:c r="A923" s="61" t="str">
        <x:f>IF(E923="","",MAX($A$6:A922)+1)</x:f>
      </x:c>
      <x:c r="B923" s="61"/>
      <x:c r="C923" s="61"/>
      <x:c r="D923" s="62"/>
      <x:c r="E923" s="61"/>
      <x:c r="F923" s="61"/>
      <x:c r="G923" s="63"/>
      <x:c r="H923" s="63">
        <x:f t="shared" si="67"/>
        <x:v>0</x:v>
      </x:c>
      <x:c r="I923" s="64"/>
      <x:c r="J923" s="63">
        <x:f t="shared" si="68"/>
        <x:v>0</x:v>
      </x:c>
      <x:c r="K923" s="63" t="str">
        <x:f t="shared" si="66"/>
      </x:c>
      <x:c r="L923" s="63">
        <x:f t="shared" si="69"/>
        <x:v>0</x:v>
      </x:c>
      <x:c r="M923" s="61"/>
    </x:row>
    <x:row r="924">
      <x:c r="A924" s="61" t="str">
        <x:f>IF(E924="","",MAX($A$6:A923)+1)</x:f>
      </x:c>
      <x:c r="B924" s="61"/>
      <x:c r="C924" s="61"/>
      <x:c r="D924" s="62"/>
      <x:c r="E924" s="61"/>
      <x:c r="F924" s="61"/>
      <x:c r="G924" s="63"/>
      <x:c r="H924" s="63">
        <x:f t="shared" si="67"/>
        <x:v>0</x:v>
      </x:c>
      <x:c r="I924" s="64"/>
      <x:c r="J924" s="63">
        <x:f t="shared" si="68"/>
        <x:v>0</x:v>
      </x:c>
      <x:c r="K924" s="63" t="str">
        <x:f t="shared" si="66"/>
      </x:c>
      <x:c r="L924" s="63">
        <x:f t="shared" si="69"/>
        <x:v>0</x:v>
      </x:c>
      <x:c r="M924" s="61"/>
    </x:row>
    <x:row r="925">
      <x:c r="A925" s="61" t="str">
        <x:f>IF(E925="","",MAX($A$6:A924)+1)</x:f>
      </x:c>
      <x:c r="B925" s="61"/>
      <x:c r="C925" s="61"/>
      <x:c r="D925" s="62"/>
      <x:c r="E925" s="61"/>
      <x:c r="F925" s="61"/>
      <x:c r="G925" s="63"/>
      <x:c r="H925" s="63">
        <x:f t="shared" si="67"/>
        <x:v>0</x:v>
      </x:c>
      <x:c r="I925" s="64"/>
      <x:c r="J925" s="63">
        <x:f t="shared" si="68"/>
        <x:v>0</x:v>
      </x:c>
      <x:c r="K925" s="63" t="str">
        <x:f t="shared" si="66"/>
      </x:c>
      <x:c r="L925" s="63">
        <x:f t="shared" si="69"/>
        <x:v>0</x:v>
      </x:c>
      <x:c r="M925" s="61"/>
    </x:row>
    <x:row r="926">
      <x:c r="A926" s="61" t="str">
        <x:f>IF(E926="","",MAX($A$6:A925)+1)</x:f>
      </x:c>
      <x:c r="B926" s="61"/>
      <x:c r="C926" s="61"/>
      <x:c r="D926" s="62"/>
      <x:c r="E926" s="61"/>
      <x:c r="F926" s="61"/>
      <x:c r="G926" s="63"/>
      <x:c r="H926" s="63">
        <x:f t="shared" si="67"/>
        <x:v>0</x:v>
      </x:c>
      <x:c r="I926" s="64"/>
      <x:c r="J926" s="63">
        <x:f t="shared" si="68"/>
        <x:v>0</x:v>
      </x:c>
      <x:c r="K926" s="63" t="str">
        <x:f t="shared" si="66"/>
      </x:c>
      <x:c r="L926" s="63">
        <x:f t="shared" si="69"/>
        <x:v>0</x:v>
      </x:c>
      <x:c r="M926" s="61"/>
    </x:row>
    <x:row r="927">
      <x:c r="A927" s="61" t="str">
        <x:f>IF(E927="","",MAX($A$6:A926)+1)</x:f>
      </x:c>
      <x:c r="B927" s="61"/>
      <x:c r="C927" s="61"/>
      <x:c r="D927" s="62"/>
      <x:c r="E927" s="61"/>
      <x:c r="F927" s="61"/>
      <x:c r="G927" s="63"/>
      <x:c r="H927" s="63">
        <x:f t="shared" si="67"/>
        <x:v>0</x:v>
      </x:c>
      <x:c r="I927" s="64"/>
      <x:c r="J927" s="63">
        <x:f t="shared" si="68"/>
        <x:v>0</x:v>
      </x:c>
      <x:c r="K927" s="63" t="str">
        <x:f t="shared" si="66"/>
      </x:c>
      <x:c r="L927" s="63">
        <x:f t="shared" si="69"/>
        <x:v>0</x:v>
      </x:c>
      <x:c r="M927" s="61"/>
    </x:row>
    <x:row r="928">
      <x:c r="A928" s="61" t="str">
        <x:f>IF(E928="","",MAX($A$6:A927)+1)</x:f>
      </x:c>
      <x:c r="B928" s="61"/>
      <x:c r="C928" s="61"/>
      <x:c r="D928" s="62"/>
      <x:c r="E928" s="61"/>
      <x:c r="F928" s="61"/>
      <x:c r="G928" s="63"/>
      <x:c r="H928" s="63">
        <x:f t="shared" si="67"/>
        <x:v>0</x:v>
      </x:c>
      <x:c r="I928" s="64"/>
      <x:c r="J928" s="63">
        <x:f t="shared" si="68"/>
        <x:v>0</x:v>
      </x:c>
      <x:c r="K928" s="63" t="str">
        <x:f t="shared" si="66"/>
      </x:c>
      <x:c r="L928" s="63">
        <x:f t="shared" si="69"/>
        <x:v>0</x:v>
      </x:c>
      <x:c r="M928" s="61"/>
    </x:row>
    <x:row r="929">
      <x:c r="A929" s="61" t="str">
        <x:f>IF(E929="","",MAX($A$6:A928)+1)</x:f>
      </x:c>
      <x:c r="B929" s="61"/>
      <x:c r="C929" s="61"/>
      <x:c r="D929" s="62"/>
      <x:c r="E929" s="61"/>
      <x:c r="F929" s="61"/>
      <x:c r="G929" s="63"/>
      <x:c r="H929" s="63">
        <x:f t="shared" si="67"/>
        <x:v>0</x:v>
      </x:c>
      <x:c r="I929" s="64"/>
      <x:c r="J929" s="63">
        <x:f t="shared" si="68"/>
        <x:v>0</x:v>
      </x:c>
      <x:c r="K929" s="63" t="str">
        <x:f t="shared" si="66"/>
      </x:c>
      <x:c r="L929" s="63">
        <x:f t="shared" si="69"/>
        <x:v>0</x:v>
      </x:c>
      <x:c r="M929" s="61"/>
    </x:row>
    <x:row r="930">
      <x:c r="A930" s="61" t="str">
        <x:f>IF(E930="","",MAX($A$6:A929)+1)</x:f>
      </x:c>
      <x:c r="B930" s="61"/>
      <x:c r="C930" s="61"/>
      <x:c r="D930" s="62"/>
      <x:c r="E930" s="61"/>
      <x:c r="F930" s="61"/>
      <x:c r="G930" s="63"/>
      <x:c r="H930" s="63">
        <x:f t="shared" si="67"/>
        <x:v>0</x:v>
      </x:c>
      <x:c r="I930" s="64"/>
      <x:c r="J930" s="63">
        <x:f t="shared" si="68"/>
        <x:v>0</x:v>
      </x:c>
      <x:c r="K930" s="63" t="str">
        <x:f t="shared" si="66"/>
      </x:c>
      <x:c r="L930" s="63">
        <x:f t="shared" si="69"/>
        <x:v>0</x:v>
      </x:c>
      <x:c r="M930" s="61"/>
    </x:row>
    <x:row r="931">
      <x:c r="A931" s="61" t="str">
        <x:f>IF(E931="","",MAX($A$6:A930)+1)</x:f>
      </x:c>
      <x:c r="B931" s="61"/>
      <x:c r="C931" s="61"/>
      <x:c r="D931" s="62"/>
      <x:c r="E931" s="61"/>
      <x:c r="F931" s="61"/>
      <x:c r="G931" s="63"/>
      <x:c r="H931" s="63">
        <x:f t="shared" si="67"/>
        <x:v>0</x:v>
      </x:c>
      <x:c r="I931" s="64"/>
      <x:c r="J931" s="63">
        <x:f t="shared" si="68"/>
        <x:v>0</x:v>
      </x:c>
      <x:c r="K931" s="63" t="str">
        <x:f t="shared" si="66"/>
      </x:c>
      <x:c r="L931" s="63">
        <x:f t="shared" si="69"/>
        <x:v>0</x:v>
      </x:c>
      <x:c r="M931" s="61"/>
    </x:row>
    <x:row r="932">
      <x:c r="A932" s="61" t="str">
        <x:f>IF(E932="","",MAX($A$6:A931)+1)</x:f>
      </x:c>
      <x:c r="B932" s="61"/>
      <x:c r="C932" s="61"/>
      <x:c r="D932" s="62"/>
      <x:c r="E932" s="61"/>
      <x:c r="F932" s="61"/>
      <x:c r="G932" s="63"/>
      <x:c r="H932" s="63">
        <x:f t="shared" si="67"/>
        <x:v>0</x:v>
      </x:c>
      <x:c r="I932" s="64"/>
      <x:c r="J932" s="63">
        <x:f t="shared" si="68"/>
        <x:v>0</x:v>
      </x:c>
      <x:c r="K932" s="63" t="str">
        <x:f t="shared" si="66"/>
      </x:c>
      <x:c r="L932" s="63">
        <x:f t="shared" si="69"/>
        <x:v>0</x:v>
      </x:c>
      <x:c r="M932" s="61"/>
    </x:row>
    <x:row r="933">
      <x:c r="A933" s="61" t="str">
        <x:f>IF(E933="","",MAX($A$6:A932)+1)</x:f>
      </x:c>
      <x:c r="B933" s="61"/>
      <x:c r="C933" s="61"/>
      <x:c r="D933" s="62"/>
      <x:c r="E933" s="61"/>
      <x:c r="F933" s="61"/>
      <x:c r="G933" s="63"/>
      <x:c r="H933" s="63">
        <x:f t="shared" si="67"/>
        <x:v>0</x:v>
      </x:c>
      <x:c r="I933" s="64"/>
      <x:c r="J933" s="63">
        <x:f t="shared" si="68"/>
        <x:v>0</x:v>
      </x:c>
      <x:c r="K933" s="63" t="str">
        <x:f t="shared" si="66"/>
      </x:c>
      <x:c r="L933" s="63">
        <x:f t="shared" si="69"/>
        <x:v>0</x:v>
      </x:c>
      <x:c r="M933" s="61"/>
    </x:row>
    <x:row r="934">
      <x:c r="A934" s="61" t="str">
        <x:f>IF(E934="","",MAX($A$6:A933)+1)</x:f>
      </x:c>
      <x:c r="B934" s="61"/>
      <x:c r="C934" s="61"/>
      <x:c r="D934" s="62"/>
      <x:c r="E934" s="61"/>
      <x:c r="F934" s="61"/>
      <x:c r="G934" s="63"/>
      <x:c r="H934" s="63">
        <x:f t="shared" si="67"/>
        <x:v>0</x:v>
      </x:c>
      <x:c r="I934" s="64"/>
      <x:c r="J934" s="63">
        <x:f t="shared" si="68"/>
        <x:v>0</x:v>
      </x:c>
      <x:c r="K934" s="63" t="str">
        <x:f t="shared" si="66"/>
      </x:c>
      <x:c r="L934" s="63">
        <x:f t="shared" si="69"/>
        <x:v>0</x:v>
      </x:c>
      <x:c r="M934" s="61"/>
    </x:row>
    <x:row r="935">
      <x:c r="A935" s="61" t="str">
        <x:f>IF(E935="","",MAX($A$6:A934)+1)</x:f>
      </x:c>
      <x:c r="B935" s="61"/>
      <x:c r="C935" s="61"/>
      <x:c r="D935" s="62"/>
      <x:c r="E935" s="61"/>
      <x:c r="F935" s="61"/>
      <x:c r="G935" s="63"/>
      <x:c r="H935" s="63">
        <x:f t="shared" si="67"/>
        <x:v>0</x:v>
      </x:c>
      <x:c r="I935" s="64"/>
      <x:c r="J935" s="63">
        <x:f t="shared" si="68"/>
        <x:v>0</x:v>
      </x:c>
      <x:c r="K935" s="63" t="str">
        <x:f t="shared" si="66"/>
      </x:c>
      <x:c r="L935" s="63">
        <x:f t="shared" si="69"/>
        <x:v>0</x:v>
      </x:c>
      <x:c r="M935" s="61"/>
    </x:row>
    <x:row r="936">
      <x:c r="A936" s="61" t="str">
        <x:f>IF(E936="","",MAX($A$6:A935)+1)</x:f>
      </x:c>
      <x:c r="B936" s="61"/>
      <x:c r="C936" s="61"/>
      <x:c r="D936" s="62"/>
      <x:c r="E936" s="61"/>
      <x:c r="F936" s="61"/>
      <x:c r="G936" s="63"/>
      <x:c r="H936" s="63">
        <x:f t="shared" si="67"/>
        <x:v>0</x:v>
      </x:c>
      <x:c r="I936" s="64"/>
      <x:c r="J936" s="63">
        <x:f t="shared" si="68"/>
        <x:v>0</x:v>
      </x:c>
      <x:c r="K936" s="63" t="str">
        <x:f t="shared" si="66"/>
      </x:c>
      <x:c r="L936" s="63">
        <x:f t="shared" si="69"/>
        <x:v>0</x:v>
      </x:c>
      <x:c r="M936" s="61"/>
    </x:row>
    <x:row r="937">
      <x:c r="A937" s="61" t="str">
        <x:f>IF(E937="","",MAX($A$6:A936)+1)</x:f>
      </x:c>
      <x:c r="B937" s="61"/>
      <x:c r="C937" s="61"/>
      <x:c r="D937" s="62"/>
      <x:c r="E937" s="61"/>
      <x:c r="F937" s="61"/>
      <x:c r="G937" s="63"/>
      <x:c r="H937" s="63">
        <x:f t="shared" si="67"/>
        <x:v>0</x:v>
      </x:c>
      <x:c r="I937" s="64"/>
      <x:c r="J937" s="63">
        <x:f t="shared" si="68"/>
        <x:v>0</x:v>
      </x:c>
      <x:c r="K937" s="63" t="str">
        <x:f t="shared" si="66"/>
      </x:c>
      <x:c r="L937" s="63">
        <x:f t="shared" si="69"/>
        <x:v>0</x:v>
      </x:c>
      <x:c r="M937" s="61"/>
    </x:row>
    <x:row r="938">
      <x:c r="A938" s="61" t="str">
        <x:f>IF(E938="","",MAX($A$6:A937)+1)</x:f>
      </x:c>
      <x:c r="B938" s="61"/>
      <x:c r="C938" s="61"/>
      <x:c r="D938" s="62"/>
      <x:c r="E938" s="61"/>
      <x:c r="F938" s="61"/>
      <x:c r="G938" s="63"/>
      <x:c r="H938" s="63">
        <x:f t="shared" si="67"/>
        <x:v>0</x:v>
      </x:c>
      <x:c r="I938" s="64"/>
      <x:c r="J938" s="63">
        <x:f t="shared" si="68"/>
        <x:v>0</x:v>
      </x:c>
      <x:c r="K938" s="63" t="str">
        <x:f t="shared" si="66"/>
      </x:c>
      <x:c r="L938" s="63">
        <x:f t="shared" si="69"/>
        <x:v>0</x:v>
      </x:c>
      <x:c r="M938" s="61"/>
    </x:row>
    <x:row r="939">
      <x:c r="A939" s="61" t="str">
        <x:f>IF(E939="","",MAX($A$6:A938)+1)</x:f>
      </x:c>
      <x:c r="B939" s="61"/>
      <x:c r="C939" s="61"/>
      <x:c r="D939" s="62"/>
      <x:c r="E939" s="61"/>
      <x:c r="F939" s="61"/>
      <x:c r="G939" s="63"/>
      <x:c r="H939" s="63">
        <x:f t="shared" si="67"/>
        <x:v>0</x:v>
      </x:c>
      <x:c r="I939" s="64"/>
      <x:c r="J939" s="63">
        <x:f t="shared" si="68"/>
        <x:v>0</x:v>
      </x:c>
      <x:c r="K939" s="63" t="str">
        <x:f t="shared" si="66"/>
      </x:c>
      <x:c r="L939" s="63">
        <x:f t="shared" si="69"/>
        <x:v>0</x:v>
      </x:c>
      <x:c r="M939" s="61"/>
    </x:row>
    <x:row r="940">
      <x:c r="A940" s="61" t="str">
        <x:f>IF(E940="","",MAX($A$6:A939)+1)</x:f>
      </x:c>
      <x:c r="B940" s="61"/>
      <x:c r="C940" s="61"/>
      <x:c r="D940" s="62"/>
      <x:c r="E940" s="61"/>
      <x:c r="F940" s="61"/>
      <x:c r="G940" s="63"/>
      <x:c r="H940" s="63">
        <x:f t="shared" si="67"/>
        <x:v>0</x:v>
      </x:c>
      <x:c r="I940" s="64"/>
      <x:c r="J940" s="63">
        <x:f t="shared" si="68"/>
        <x:v>0</x:v>
      </x:c>
      <x:c r="K940" s="63" t="str">
        <x:f t="shared" si="66"/>
      </x:c>
      <x:c r="L940" s="63">
        <x:f t="shared" si="69"/>
        <x:v>0</x:v>
      </x:c>
      <x:c r="M940" s="61"/>
    </x:row>
    <x:row r="941">
      <x:c r="A941" s="61" t="str">
        <x:f>IF(E941="","",MAX($A$6:A940)+1)</x:f>
      </x:c>
      <x:c r="B941" s="61"/>
      <x:c r="C941" s="61"/>
      <x:c r="D941" s="62"/>
      <x:c r="E941" s="61"/>
      <x:c r="F941" s="61"/>
      <x:c r="G941" s="63"/>
      <x:c r="H941" s="63">
        <x:f t="shared" si="67"/>
        <x:v>0</x:v>
      </x:c>
      <x:c r="I941" s="64"/>
      <x:c r="J941" s="63">
        <x:f t="shared" si="68"/>
        <x:v>0</x:v>
      </x:c>
      <x:c r="K941" s="63" t="str">
        <x:f t="shared" si="66"/>
      </x:c>
      <x:c r="L941" s="63">
        <x:f t="shared" si="69"/>
        <x:v>0</x:v>
      </x:c>
      <x:c r="M941" s="61"/>
    </x:row>
    <x:row r="942">
      <x:c r="A942" s="61" t="str">
        <x:f>IF(E942="","",MAX($A$6:A941)+1)</x:f>
      </x:c>
      <x:c r="B942" s="61"/>
      <x:c r="C942" s="61"/>
      <x:c r="D942" s="62"/>
      <x:c r="E942" s="61"/>
      <x:c r="F942" s="61"/>
      <x:c r="G942" s="63"/>
      <x:c r="H942" s="63">
        <x:f t="shared" si="67"/>
        <x:v>0</x:v>
      </x:c>
      <x:c r="I942" s="64"/>
      <x:c r="J942" s="63">
        <x:f t="shared" si="68"/>
        <x:v>0</x:v>
      </x:c>
      <x:c r="K942" s="63" t="str">
        <x:f t="shared" si="66"/>
      </x:c>
      <x:c r="L942" s="63">
        <x:f t="shared" si="69"/>
        <x:v>0</x:v>
      </x:c>
      <x:c r="M942" s="61"/>
    </x:row>
    <x:row r="943">
      <x:c r="A943" s="61" t="str">
        <x:f>IF(E943="","",MAX($A$6:A942)+1)</x:f>
      </x:c>
      <x:c r="B943" s="61"/>
      <x:c r="C943" s="61"/>
      <x:c r="D943" s="62"/>
      <x:c r="E943" s="61"/>
      <x:c r="F943" s="61"/>
      <x:c r="G943" s="63"/>
      <x:c r="H943" s="63">
        <x:f t="shared" si="67"/>
        <x:v>0</x:v>
      </x:c>
      <x:c r="I943" s="64"/>
      <x:c r="J943" s="63">
        <x:f t="shared" si="68"/>
        <x:v>0</x:v>
      </x:c>
      <x:c r="K943" s="63" t="str">
        <x:f t="shared" si="66"/>
      </x:c>
      <x:c r="L943" s="63">
        <x:f t="shared" si="69"/>
        <x:v>0</x:v>
      </x:c>
      <x:c r="M943" s="61"/>
    </x:row>
    <x:row r="944">
      <x:c r="A944" s="61" t="str">
        <x:f>IF(E944="","",MAX($A$6:A943)+1)</x:f>
      </x:c>
      <x:c r="B944" s="61"/>
      <x:c r="C944" s="61"/>
      <x:c r="D944" s="62"/>
      <x:c r="E944" s="61"/>
      <x:c r="F944" s="61"/>
      <x:c r="G944" s="63"/>
      <x:c r="H944" s="63">
        <x:f t="shared" si="67"/>
        <x:v>0</x:v>
      </x:c>
      <x:c r="I944" s="64"/>
      <x:c r="J944" s="63">
        <x:f t="shared" si="68"/>
        <x:v>0</x:v>
      </x:c>
      <x:c r="K944" s="63" t="str">
        <x:f t="shared" si="66"/>
      </x:c>
      <x:c r="L944" s="63">
        <x:f t="shared" si="69"/>
        <x:v>0</x:v>
      </x:c>
      <x:c r="M944" s="61"/>
    </x:row>
    <x:row r="945">
      <x:c r="A945" s="61" t="str">
        <x:f>IF(E945="","",MAX($A$6:A944)+1)</x:f>
      </x:c>
      <x:c r="B945" s="61"/>
      <x:c r="C945" s="61"/>
      <x:c r="D945" s="62"/>
      <x:c r="E945" s="61"/>
      <x:c r="F945" s="61"/>
      <x:c r="G945" s="63"/>
      <x:c r="H945" s="63">
        <x:f t="shared" si="67"/>
        <x:v>0</x:v>
      </x:c>
      <x:c r="I945" s="64"/>
      <x:c r="J945" s="63">
        <x:f t="shared" si="68"/>
        <x:v>0</x:v>
      </x:c>
      <x:c r="K945" s="63" t="str">
        <x:f t="shared" si="66"/>
      </x:c>
      <x:c r="L945" s="63">
        <x:f t="shared" si="69"/>
        <x:v>0</x:v>
      </x:c>
      <x:c r="M945" s="61"/>
    </x:row>
    <x:row r="946">
      <x:c r="A946" s="61" t="str">
        <x:f>IF(E946="","",MAX($A$6:A945)+1)</x:f>
      </x:c>
      <x:c r="B946" s="61"/>
      <x:c r="C946" s="61"/>
      <x:c r="D946" s="62"/>
      <x:c r="E946" s="61"/>
      <x:c r="F946" s="61"/>
      <x:c r="G946" s="63"/>
      <x:c r="H946" s="63">
        <x:f t="shared" si="67"/>
        <x:v>0</x:v>
      </x:c>
      <x:c r="I946" s="64"/>
      <x:c r="J946" s="63">
        <x:f t="shared" si="68"/>
        <x:v>0</x:v>
      </x:c>
      <x:c r="K946" s="63" t="str">
        <x:f t="shared" si="66"/>
      </x:c>
      <x:c r="L946" s="63">
        <x:f t="shared" si="69"/>
        <x:v>0</x:v>
      </x:c>
      <x:c r="M946" s="61"/>
    </x:row>
    <x:row r="947">
      <x:c r="A947" s="61" t="str">
        <x:f>IF(E947="","",MAX($A$6:A946)+1)</x:f>
      </x:c>
      <x:c r="B947" s="61"/>
      <x:c r="C947" s="61"/>
      <x:c r="D947" s="62"/>
      <x:c r="E947" s="61"/>
      <x:c r="F947" s="61"/>
      <x:c r="G947" s="63"/>
      <x:c r="H947" s="63">
        <x:f t="shared" si="67"/>
        <x:v>0</x:v>
      </x:c>
      <x:c r="I947" s="64"/>
      <x:c r="J947" s="63">
        <x:f t="shared" si="68"/>
        <x:v>0</x:v>
      </x:c>
      <x:c r="K947" s="63" t="str">
        <x:f t="shared" si="66"/>
      </x:c>
      <x:c r="L947" s="63">
        <x:f t="shared" si="69"/>
        <x:v>0</x:v>
      </x:c>
      <x:c r="M947" s="61"/>
    </x:row>
    <x:row r="948">
      <x:c r="A948" s="61" t="str">
        <x:f>IF(E948="","",MAX($A$6:A947)+1)</x:f>
      </x:c>
      <x:c r="B948" s="61"/>
      <x:c r="C948" s="61"/>
      <x:c r="D948" s="62"/>
      <x:c r="E948" s="61"/>
      <x:c r="F948" s="61"/>
      <x:c r="G948" s="63"/>
      <x:c r="H948" s="63">
        <x:f t="shared" si="67"/>
        <x:v>0</x:v>
      </x:c>
      <x:c r="I948" s="64"/>
      <x:c r="J948" s="63">
        <x:f t="shared" si="68"/>
        <x:v>0</x:v>
      </x:c>
      <x:c r="K948" s="63" t="str">
        <x:f t="shared" si="66"/>
      </x:c>
      <x:c r="L948" s="63">
        <x:f t="shared" si="69"/>
        <x:v>0</x:v>
      </x:c>
      <x:c r="M948" s="61"/>
    </x:row>
    <x:row r="949">
      <x:c r="A949" s="61" t="str">
        <x:f>IF(E949="","",MAX($A$6:A948)+1)</x:f>
      </x:c>
      <x:c r="B949" s="61"/>
      <x:c r="C949" s="61"/>
      <x:c r="D949" s="62"/>
      <x:c r="E949" s="61"/>
      <x:c r="F949" s="61"/>
      <x:c r="G949" s="63"/>
      <x:c r="H949" s="63">
        <x:f t="shared" si="67"/>
        <x:v>0</x:v>
      </x:c>
      <x:c r="I949" s="64"/>
      <x:c r="J949" s="63">
        <x:f t="shared" si="68"/>
        <x:v>0</x:v>
      </x:c>
      <x:c r="K949" s="63" t="str">
        <x:f t="shared" si="66"/>
      </x:c>
      <x:c r="L949" s="63">
        <x:f t="shared" si="69"/>
        <x:v>0</x:v>
      </x:c>
      <x:c r="M949" s="61"/>
    </x:row>
    <x:row r="950">
      <x:c r="A950" s="61" t="str">
        <x:f>IF(E950="","",MAX($A$6:A949)+1)</x:f>
      </x:c>
      <x:c r="B950" s="61"/>
      <x:c r="C950" s="61"/>
      <x:c r="D950" s="62"/>
      <x:c r="E950" s="61"/>
      <x:c r="F950" s="61"/>
      <x:c r="G950" s="63"/>
      <x:c r="H950" s="63">
        <x:f t="shared" si="67"/>
        <x:v>0</x:v>
      </x:c>
      <x:c r="I950" s="64"/>
      <x:c r="J950" s="63">
        <x:f t="shared" si="68"/>
        <x:v>0</x:v>
      </x:c>
      <x:c r="K950" s="63" t="str">
        <x:f t="shared" ref="K950:K1013" si="70">IFERROR(IF(G950="","",MAX(1,G950-J950)),0)</x:f>
      </x:c>
      <x:c r="L950" s="63">
        <x:f t="shared" si="69"/>
        <x:v>0</x:v>
      </x:c>
      <x:c r="M950" s="61"/>
    </x:row>
    <x:row r="951">
      <x:c r="A951" s="61" t="str">
        <x:f>IF(E951="","",MAX($A$6:A950)+1)</x:f>
      </x:c>
      <x:c r="B951" s="61"/>
      <x:c r="C951" s="61"/>
      <x:c r="D951" s="62"/>
      <x:c r="E951" s="61"/>
      <x:c r="F951" s="61"/>
      <x:c r="G951" s="63"/>
      <x:c r="H951" s="63">
        <x:f t="shared" si="67"/>
        <x:v>0</x:v>
      </x:c>
      <x:c r="I951" s="64"/>
      <x:c r="J951" s="63">
        <x:f t="shared" si="68"/>
        <x:v>0</x:v>
      </x:c>
      <x:c r="K951" s="63" t="str">
        <x:f t="shared" si="70"/>
      </x:c>
      <x:c r="L951" s="63">
        <x:f t="shared" si="69"/>
        <x:v>0</x:v>
      </x:c>
      <x:c r="M951" s="61"/>
    </x:row>
    <x:row r="952">
      <x:c r="A952" s="61" t="str">
        <x:f>IF(E952="","",MAX($A$6:A951)+1)</x:f>
      </x:c>
      <x:c r="B952" s="61"/>
      <x:c r="C952" s="61"/>
      <x:c r="D952" s="62"/>
      <x:c r="E952" s="61"/>
      <x:c r="F952" s="61"/>
      <x:c r="G952" s="63"/>
      <x:c r="H952" s="63">
        <x:f t="shared" si="67"/>
        <x:v>0</x:v>
      </x:c>
      <x:c r="I952" s="64"/>
      <x:c r="J952" s="63">
        <x:f t="shared" si="68"/>
        <x:v>0</x:v>
      </x:c>
      <x:c r="K952" s="63" t="str">
        <x:f t="shared" si="70"/>
      </x:c>
      <x:c r="L952" s="63">
        <x:f t="shared" si="69"/>
        <x:v>0</x:v>
      </x:c>
      <x:c r="M952" s="61"/>
    </x:row>
    <x:row r="953">
      <x:c r="A953" s="61" t="str">
        <x:f>IF(E953="","",MAX($A$6:A952)+1)</x:f>
      </x:c>
      <x:c r="B953" s="61"/>
      <x:c r="C953" s="61"/>
      <x:c r="D953" s="62"/>
      <x:c r="E953" s="61"/>
      <x:c r="F953" s="61"/>
      <x:c r="G953" s="63"/>
      <x:c r="H953" s="63">
        <x:f t="shared" si="67"/>
        <x:v>0</x:v>
      </x:c>
      <x:c r="I953" s="64"/>
      <x:c r="J953" s="63">
        <x:f t="shared" si="68"/>
        <x:v>0</x:v>
      </x:c>
      <x:c r="K953" s="63" t="str">
        <x:f t="shared" si="70"/>
      </x:c>
      <x:c r="L953" s="63">
        <x:f t="shared" si="69"/>
        <x:v>0</x:v>
      </x:c>
      <x:c r="M953" s="61"/>
    </x:row>
    <x:row r="954">
      <x:c r="A954" s="61" t="str">
        <x:f>IF(E954="","",MAX($A$6:A953)+1)</x:f>
      </x:c>
      <x:c r="B954" s="61"/>
      <x:c r="C954" s="61"/>
      <x:c r="D954" s="62"/>
      <x:c r="E954" s="61"/>
      <x:c r="F954" s="61"/>
      <x:c r="G954" s="63"/>
      <x:c r="H954" s="63">
        <x:f t="shared" si="67"/>
        <x:v>0</x:v>
      </x:c>
      <x:c r="I954" s="64"/>
      <x:c r="J954" s="63">
        <x:f t="shared" si="68"/>
        <x:v>0</x:v>
      </x:c>
      <x:c r="K954" s="63" t="str">
        <x:f t="shared" si="70"/>
      </x:c>
      <x:c r="L954" s="63">
        <x:f t="shared" si="69"/>
        <x:v>0</x:v>
      </x:c>
      <x:c r="M954" s="61"/>
    </x:row>
    <x:row r="955">
      <x:c r="A955" s="61" t="str">
        <x:f>IF(E955="","",MAX($A$6:A954)+1)</x:f>
      </x:c>
      <x:c r="B955" s="61"/>
      <x:c r="C955" s="61"/>
      <x:c r="D955" s="62"/>
      <x:c r="E955" s="61"/>
      <x:c r="F955" s="61"/>
      <x:c r="G955" s="63"/>
      <x:c r="H955" s="63">
        <x:f t="shared" si="67"/>
        <x:v>0</x:v>
      </x:c>
      <x:c r="I955" s="64"/>
      <x:c r="J955" s="63">
        <x:f t="shared" si="68"/>
        <x:v>0</x:v>
      </x:c>
      <x:c r="K955" s="63" t="str">
        <x:f t="shared" si="70"/>
      </x:c>
      <x:c r="L955" s="63">
        <x:f t="shared" si="69"/>
        <x:v>0</x:v>
      </x:c>
      <x:c r="M955" s="61"/>
    </x:row>
    <x:row r="956">
      <x:c r="A956" s="61" t="str">
        <x:f>IF(E956="","",MAX($A$6:A955)+1)</x:f>
      </x:c>
      <x:c r="B956" s="61"/>
      <x:c r="C956" s="61"/>
      <x:c r="D956" s="62"/>
      <x:c r="E956" s="61"/>
      <x:c r="F956" s="61"/>
      <x:c r="G956" s="63"/>
      <x:c r="H956" s="63">
        <x:f t="shared" si="67"/>
        <x:v>0</x:v>
      </x:c>
      <x:c r="I956" s="64"/>
      <x:c r="J956" s="63">
        <x:f t="shared" si="68"/>
        <x:v>0</x:v>
      </x:c>
      <x:c r="K956" s="63" t="str">
        <x:f t="shared" si="70"/>
      </x:c>
      <x:c r="L956" s="63">
        <x:f t="shared" si="69"/>
        <x:v>0</x:v>
      </x:c>
      <x:c r="M956" s="61"/>
    </x:row>
    <x:row r="957">
      <x:c r="A957" s="61" t="str">
        <x:f>IF(E957="","",MAX($A$6:A956)+1)</x:f>
      </x:c>
      <x:c r="B957" s="61"/>
      <x:c r="C957" s="61"/>
      <x:c r="D957" s="62"/>
      <x:c r="E957" s="61"/>
      <x:c r="F957" s="61"/>
      <x:c r="G957" s="63"/>
      <x:c r="H957" s="63">
        <x:f t="shared" si="67"/>
        <x:v>0</x:v>
      </x:c>
      <x:c r="I957" s="64"/>
      <x:c r="J957" s="63">
        <x:f t="shared" si="68"/>
        <x:v>0</x:v>
      </x:c>
      <x:c r="K957" s="63" t="str">
        <x:f t="shared" si="70"/>
      </x:c>
      <x:c r="L957" s="63">
        <x:f t="shared" si="69"/>
        <x:v>0</x:v>
      </x:c>
      <x:c r="M957" s="61"/>
    </x:row>
    <x:row r="958">
      <x:c r="A958" s="61" t="str">
        <x:f>IF(E958="","",MAX($A$6:A957)+1)</x:f>
      </x:c>
      <x:c r="B958" s="61"/>
      <x:c r="C958" s="61"/>
      <x:c r="D958" s="62"/>
      <x:c r="E958" s="61"/>
      <x:c r="F958" s="61"/>
      <x:c r="G958" s="63"/>
      <x:c r="H958" s="63">
        <x:f t="shared" si="67"/>
        <x:v>0</x:v>
      </x:c>
      <x:c r="I958" s="64"/>
      <x:c r="J958" s="63">
        <x:f t="shared" si="68"/>
        <x:v>0</x:v>
      </x:c>
      <x:c r="K958" s="63" t="str">
        <x:f t="shared" si="70"/>
      </x:c>
      <x:c r="L958" s="63">
        <x:f t="shared" si="69"/>
        <x:v>0</x:v>
      </x:c>
      <x:c r="M958" s="61"/>
    </x:row>
    <x:row r="959">
      <x:c r="A959" s="61" t="str">
        <x:f>IF(E959="","",MAX($A$6:A958)+1)</x:f>
      </x:c>
      <x:c r="B959" s="61"/>
      <x:c r="C959" s="61"/>
      <x:c r="D959" s="62"/>
      <x:c r="E959" s="61"/>
      <x:c r="F959" s="61"/>
      <x:c r="G959" s="63"/>
      <x:c r="H959" s="63">
        <x:f t="shared" si="67"/>
        <x:v>0</x:v>
      </x:c>
      <x:c r="I959" s="64"/>
      <x:c r="J959" s="63">
        <x:f t="shared" si="68"/>
        <x:v>0</x:v>
      </x:c>
      <x:c r="K959" s="63" t="str">
        <x:f t="shared" si="70"/>
      </x:c>
      <x:c r="L959" s="63">
        <x:f t="shared" si="69"/>
        <x:v>0</x:v>
      </x:c>
      <x:c r="M959" s="61"/>
    </x:row>
    <x:row r="960">
      <x:c r="A960" s="61" t="str">
        <x:f>IF(E960="","",MAX($A$6:A959)+1)</x:f>
      </x:c>
      <x:c r="B960" s="61"/>
      <x:c r="C960" s="61"/>
      <x:c r="D960" s="62"/>
      <x:c r="E960" s="61"/>
      <x:c r="F960" s="61"/>
      <x:c r="G960" s="63"/>
      <x:c r="H960" s="63">
        <x:f t="shared" si="67"/>
        <x:v>0</x:v>
      </x:c>
      <x:c r="I960" s="64"/>
      <x:c r="J960" s="63">
        <x:f t="shared" si="68"/>
        <x:v>0</x:v>
      </x:c>
      <x:c r="K960" s="63" t="str">
        <x:f t="shared" si="70"/>
      </x:c>
      <x:c r="L960" s="63">
        <x:f t="shared" si="69"/>
        <x:v>0</x:v>
      </x:c>
      <x:c r="M960" s="61"/>
    </x:row>
    <x:row r="961">
      <x:c r="A961" s="61" t="str">
        <x:f>IF(E961="","",MAX($A$6:A960)+1)</x:f>
      </x:c>
      <x:c r="B961" s="61"/>
      <x:c r="C961" s="61"/>
      <x:c r="D961" s="62"/>
      <x:c r="E961" s="61"/>
      <x:c r="F961" s="61"/>
      <x:c r="G961" s="63"/>
      <x:c r="H961" s="63">
        <x:f t="shared" si="67"/>
        <x:v>0</x:v>
      </x:c>
      <x:c r="I961" s="64"/>
      <x:c r="J961" s="63">
        <x:f t="shared" si="68"/>
        <x:v>0</x:v>
      </x:c>
      <x:c r="K961" s="63" t="str">
        <x:f t="shared" si="70"/>
      </x:c>
      <x:c r="L961" s="63">
        <x:f t="shared" si="69"/>
        <x:v>0</x:v>
      </x:c>
      <x:c r="M961" s="61"/>
    </x:row>
    <x:row r="962">
      <x:c r="A962" s="61" t="str">
        <x:f>IF(E962="","",MAX($A$6:A961)+1)</x:f>
      </x:c>
      <x:c r="B962" s="61"/>
      <x:c r="C962" s="61"/>
      <x:c r="D962" s="62"/>
      <x:c r="E962" s="61"/>
      <x:c r="F962" s="61"/>
      <x:c r="G962" s="63"/>
      <x:c r="H962" s="63">
        <x:f t="shared" si="67"/>
        <x:v>0</x:v>
      </x:c>
      <x:c r="I962" s="64"/>
      <x:c r="J962" s="63">
        <x:f t="shared" si="68"/>
        <x:v>0</x:v>
      </x:c>
      <x:c r="K962" s="63" t="str">
        <x:f t="shared" si="70"/>
      </x:c>
      <x:c r="L962" s="63">
        <x:f t="shared" si="69"/>
        <x:v>0</x:v>
      </x:c>
      <x:c r="M962" s="61"/>
    </x:row>
    <x:row r="963">
      <x:c r="A963" s="61" t="str">
        <x:f>IF(E963="","",MAX($A$6:A962)+1)</x:f>
      </x:c>
      <x:c r="B963" s="61"/>
      <x:c r="C963" s="61"/>
      <x:c r="D963" s="62"/>
      <x:c r="E963" s="61"/>
      <x:c r="F963" s="61"/>
      <x:c r="G963" s="63"/>
      <x:c r="H963" s="63">
        <x:f t="shared" si="67"/>
        <x:v>0</x:v>
      </x:c>
      <x:c r="I963" s="64"/>
      <x:c r="J963" s="63">
        <x:f t="shared" si="68"/>
        <x:v>0</x:v>
      </x:c>
      <x:c r="K963" s="63" t="str">
        <x:f t="shared" si="70"/>
      </x:c>
      <x:c r="L963" s="63">
        <x:f t="shared" si="69"/>
        <x:v>0</x:v>
      </x:c>
      <x:c r="M963" s="61"/>
    </x:row>
    <x:row r="964">
      <x:c r="A964" s="61" t="str">
        <x:f>IF(E964="","",MAX($A$6:A963)+1)</x:f>
      </x:c>
      <x:c r="B964" s="61"/>
      <x:c r="C964" s="61"/>
      <x:c r="D964" s="62"/>
      <x:c r="E964" s="61"/>
      <x:c r="F964" s="61"/>
      <x:c r="G964" s="63"/>
      <x:c r="H964" s="63">
        <x:f t="shared" si="67"/>
        <x:v>0</x:v>
      </x:c>
      <x:c r="I964" s="64"/>
      <x:c r="J964" s="63">
        <x:f t="shared" si="68"/>
        <x:v>0</x:v>
      </x:c>
      <x:c r="K964" s="63" t="str">
        <x:f t="shared" si="70"/>
      </x:c>
      <x:c r="L964" s="63">
        <x:f t="shared" si="69"/>
        <x:v>0</x:v>
      </x:c>
      <x:c r="M964" s="61"/>
    </x:row>
    <x:row r="965">
      <x:c r="A965" s="61" t="str">
        <x:f>IF(E965="","",MAX($A$6:A964)+1)</x:f>
      </x:c>
      <x:c r="B965" s="61"/>
      <x:c r="C965" s="61"/>
      <x:c r="D965" s="62"/>
      <x:c r="E965" s="61"/>
      <x:c r="F965" s="61"/>
      <x:c r="G965" s="63"/>
      <x:c r="H965" s="63">
        <x:f t="shared" si="67"/>
        <x:v>0</x:v>
      </x:c>
      <x:c r="I965" s="64"/>
      <x:c r="J965" s="63">
        <x:f t="shared" si="68"/>
        <x:v>0</x:v>
      </x:c>
      <x:c r="K965" s="63" t="str">
        <x:f t="shared" si="70"/>
      </x:c>
      <x:c r="L965" s="63">
        <x:f t="shared" si="69"/>
        <x:v>0</x:v>
      </x:c>
      <x:c r="M965" s="61"/>
    </x:row>
    <x:row r="966">
      <x:c r="A966" s="61" t="str">
        <x:f>IF(E966="","",MAX($A$6:A965)+1)</x:f>
      </x:c>
      <x:c r="B966" s="61"/>
      <x:c r="C966" s="61"/>
      <x:c r="D966" s="62"/>
      <x:c r="E966" s="61"/>
      <x:c r="F966" s="61"/>
      <x:c r="G966" s="63"/>
      <x:c r="H966" s="63" t="n">
        <x:f t="shared" ref="H966:H1029" si="71">IFERROR(IF(OR($F$1="",D966=""),0,MAX(0,$F$1-D966)),0)</x:f>
        <x:v>0</x:v>
      </x:c>
      <x:c r="I966" s="64"/>
      <x:c r="J966" s="63" t="n">
        <x:f t="shared" ref="J966:J1029" si="72">IFERROR(IF(OR(G966="",I966="",D966="",$F$1=""),0,IF($F$1&lt;D966,0,MIN(MAX(G966-1,0),MAX(0,(G966*I966/365)*H966)))),0)</x:f>
        <x:v>0</x:v>
      </x:c>
      <x:c r="K966" s="63" t="str">
        <x:f t="shared" si="70"/>
      </x:c>
      <x:c r="L966" s="63" t="n">
        <x:f t="shared" ref="L966:L1029" si="73">IFERROR(IF(OR(G966="",I966="",D966="",$F$1=""),0,IF($F$1&lt;D966,0,IF(K966&lt;=1,0,MIN(G966*I966/12,K966-1)))),0)</x:f>
        <x:v>0</x:v>
      </x:c>
      <x:c r="M966" s="61"/>
    </x:row>
    <x:row r="967">
      <x:c r="A967" s="61" t="str">
        <x:f>IF(E967="","",MAX($A$6:A966)+1)</x:f>
      </x:c>
      <x:c r="B967" s="61"/>
      <x:c r="C967" s="61"/>
      <x:c r="D967" s="62"/>
      <x:c r="E967" s="61"/>
      <x:c r="F967" s="61"/>
      <x:c r="G967" s="63"/>
      <x:c r="H967" s="63">
        <x:f t="shared" si="71"/>
        <x:v>0</x:v>
      </x:c>
      <x:c r="I967" s="64"/>
      <x:c r="J967" s="63">
        <x:f t="shared" si="72"/>
        <x:v>0</x:v>
      </x:c>
      <x:c r="K967" s="63" t="str">
        <x:f t="shared" si="70"/>
      </x:c>
      <x:c r="L967" s="63">
        <x:f t="shared" si="73"/>
        <x:v>0</x:v>
      </x:c>
      <x:c r="M967" s="61"/>
    </x:row>
    <x:row r="968">
      <x:c r="A968" s="61" t="str">
        <x:f>IF(E968="","",MAX($A$6:A967)+1)</x:f>
      </x:c>
      <x:c r="B968" s="61"/>
      <x:c r="C968" s="61"/>
      <x:c r="D968" s="62"/>
      <x:c r="E968" s="61"/>
      <x:c r="F968" s="61"/>
      <x:c r="G968" s="63"/>
      <x:c r="H968" s="63">
        <x:f t="shared" si="71"/>
        <x:v>0</x:v>
      </x:c>
      <x:c r="I968" s="64"/>
      <x:c r="J968" s="63">
        <x:f t="shared" si="72"/>
        <x:v>0</x:v>
      </x:c>
      <x:c r="K968" s="63" t="str">
        <x:f t="shared" si="70"/>
      </x:c>
      <x:c r="L968" s="63">
        <x:f t="shared" si="73"/>
        <x:v>0</x:v>
      </x:c>
      <x:c r="M968" s="61"/>
    </x:row>
    <x:row r="969">
      <x:c r="A969" s="61" t="str">
        <x:f>IF(E969="","",MAX($A$6:A968)+1)</x:f>
      </x:c>
      <x:c r="B969" s="61"/>
      <x:c r="C969" s="61"/>
      <x:c r="D969" s="62"/>
      <x:c r="E969" s="61"/>
      <x:c r="F969" s="61"/>
      <x:c r="G969" s="63"/>
      <x:c r="H969" s="63">
        <x:f t="shared" si="71"/>
        <x:v>0</x:v>
      </x:c>
      <x:c r="I969" s="64"/>
      <x:c r="J969" s="63">
        <x:f t="shared" si="72"/>
        <x:v>0</x:v>
      </x:c>
      <x:c r="K969" s="63" t="str">
        <x:f t="shared" si="70"/>
      </x:c>
      <x:c r="L969" s="63">
        <x:f t="shared" si="73"/>
        <x:v>0</x:v>
      </x:c>
      <x:c r="M969" s="61"/>
    </x:row>
    <x:row r="970">
      <x:c r="A970" s="61" t="str">
        <x:f>IF(E970="","",MAX($A$6:A969)+1)</x:f>
      </x:c>
      <x:c r="B970" s="61"/>
      <x:c r="C970" s="61"/>
      <x:c r="D970" s="62"/>
      <x:c r="E970" s="61"/>
      <x:c r="F970" s="61"/>
      <x:c r="G970" s="63"/>
      <x:c r="H970" s="63">
        <x:f t="shared" si="71"/>
        <x:v>0</x:v>
      </x:c>
      <x:c r="I970" s="64"/>
      <x:c r="J970" s="63">
        <x:f t="shared" si="72"/>
        <x:v>0</x:v>
      </x:c>
      <x:c r="K970" s="63" t="str">
        <x:f t="shared" si="70"/>
      </x:c>
      <x:c r="L970" s="63">
        <x:f t="shared" si="73"/>
        <x:v>0</x:v>
      </x:c>
      <x:c r="M970" s="61"/>
    </x:row>
    <x:row r="971">
      <x:c r="A971" s="61" t="str">
        <x:f>IF(E971="","",MAX($A$6:A970)+1)</x:f>
      </x:c>
      <x:c r="B971" s="61"/>
      <x:c r="C971" s="61"/>
      <x:c r="D971" s="62"/>
      <x:c r="E971" s="61"/>
      <x:c r="F971" s="61"/>
      <x:c r="G971" s="63"/>
      <x:c r="H971" s="63">
        <x:f t="shared" si="71"/>
        <x:v>0</x:v>
      </x:c>
      <x:c r="I971" s="64"/>
      <x:c r="J971" s="63">
        <x:f t="shared" si="72"/>
        <x:v>0</x:v>
      </x:c>
      <x:c r="K971" s="63" t="str">
        <x:f t="shared" si="70"/>
      </x:c>
      <x:c r="L971" s="63">
        <x:f t="shared" si="73"/>
        <x:v>0</x:v>
      </x:c>
      <x:c r="M971" s="61"/>
    </x:row>
    <x:row r="972">
      <x:c r="A972" s="61" t="str">
        <x:f>IF(E972="","",MAX($A$6:A971)+1)</x:f>
      </x:c>
      <x:c r="B972" s="61"/>
      <x:c r="C972" s="61"/>
      <x:c r="D972" s="62"/>
      <x:c r="E972" s="61"/>
      <x:c r="F972" s="61"/>
      <x:c r="G972" s="63"/>
      <x:c r="H972" s="63">
        <x:f t="shared" si="71"/>
        <x:v>0</x:v>
      </x:c>
      <x:c r="I972" s="64"/>
      <x:c r="J972" s="63">
        <x:f t="shared" si="72"/>
        <x:v>0</x:v>
      </x:c>
      <x:c r="K972" s="63" t="str">
        <x:f t="shared" si="70"/>
      </x:c>
      <x:c r="L972" s="63">
        <x:f t="shared" si="73"/>
        <x:v>0</x:v>
      </x:c>
      <x:c r="M972" s="61"/>
    </x:row>
    <x:row r="973">
      <x:c r="A973" s="61" t="str">
        <x:f>IF(E973="","",MAX($A$6:A972)+1)</x:f>
      </x:c>
      <x:c r="B973" s="61"/>
      <x:c r="C973" s="61"/>
      <x:c r="D973" s="62"/>
      <x:c r="E973" s="61"/>
      <x:c r="F973" s="61"/>
      <x:c r="G973" s="63"/>
      <x:c r="H973" s="63">
        <x:f t="shared" si="71"/>
        <x:v>0</x:v>
      </x:c>
      <x:c r="I973" s="64"/>
      <x:c r="J973" s="63">
        <x:f t="shared" si="72"/>
        <x:v>0</x:v>
      </x:c>
      <x:c r="K973" s="63" t="str">
        <x:f t="shared" si="70"/>
      </x:c>
      <x:c r="L973" s="63">
        <x:f t="shared" si="73"/>
        <x:v>0</x:v>
      </x:c>
      <x:c r="M973" s="61"/>
    </x:row>
    <x:row r="974">
      <x:c r="A974" s="61" t="str">
        <x:f>IF(E974="","",MAX($A$6:A973)+1)</x:f>
      </x:c>
      <x:c r="B974" s="61"/>
      <x:c r="C974" s="61"/>
      <x:c r="D974" s="62"/>
      <x:c r="E974" s="61"/>
      <x:c r="F974" s="61"/>
      <x:c r="G974" s="63"/>
      <x:c r="H974" s="63">
        <x:f t="shared" si="71"/>
        <x:v>0</x:v>
      </x:c>
      <x:c r="I974" s="64"/>
      <x:c r="J974" s="63">
        <x:f t="shared" si="72"/>
        <x:v>0</x:v>
      </x:c>
      <x:c r="K974" s="63" t="str">
        <x:f t="shared" si="70"/>
      </x:c>
      <x:c r="L974" s="63">
        <x:f t="shared" si="73"/>
        <x:v>0</x:v>
      </x:c>
      <x:c r="M974" s="61"/>
    </x:row>
    <x:row r="975">
      <x:c r="A975" s="61" t="str">
        <x:f>IF(E975="","",MAX($A$6:A974)+1)</x:f>
      </x:c>
      <x:c r="B975" s="61"/>
      <x:c r="C975" s="61"/>
      <x:c r="D975" s="62"/>
      <x:c r="E975" s="61"/>
      <x:c r="F975" s="61"/>
      <x:c r="G975" s="63"/>
      <x:c r="H975" s="63">
        <x:f t="shared" si="71"/>
        <x:v>0</x:v>
      </x:c>
      <x:c r="I975" s="64"/>
      <x:c r="J975" s="63">
        <x:f t="shared" si="72"/>
        <x:v>0</x:v>
      </x:c>
      <x:c r="K975" s="63" t="str">
        <x:f t="shared" si="70"/>
      </x:c>
      <x:c r="L975" s="63">
        <x:f t="shared" si="73"/>
        <x:v>0</x:v>
      </x:c>
      <x:c r="M975" s="61"/>
    </x:row>
    <x:row r="976">
      <x:c r="A976" s="61" t="str">
        <x:f>IF(E976="","",MAX($A$6:A975)+1)</x:f>
      </x:c>
      <x:c r="B976" s="61"/>
      <x:c r="C976" s="61"/>
      <x:c r="D976" s="62"/>
      <x:c r="E976" s="61"/>
      <x:c r="F976" s="61"/>
      <x:c r="G976" s="63"/>
      <x:c r="H976" s="63">
        <x:f t="shared" si="71"/>
        <x:v>0</x:v>
      </x:c>
      <x:c r="I976" s="64"/>
      <x:c r="J976" s="63">
        <x:f t="shared" si="72"/>
        <x:v>0</x:v>
      </x:c>
      <x:c r="K976" s="63" t="str">
        <x:f t="shared" si="70"/>
      </x:c>
      <x:c r="L976" s="63">
        <x:f t="shared" si="73"/>
        <x:v>0</x:v>
      </x:c>
      <x:c r="M976" s="61"/>
    </x:row>
    <x:row r="977">
      <x:c r="A977" s="61" t="str">
        <x:f>IF(E977="","",MAX($A$6:A976)+1)</x:f>
      </x:c>
      <x:c r="B977" s="61"/>
      <x:c r="C977" s="61"/>
      <x:c r="D977" s="62"/>
      <x:c r="E977" s="61"/>
      <x:c r="F977" s="61"/>
      <x:c r="G977" s="63"/>
      <x:c r="H977" s="63">
        <x:f t="shared" si="71"/>
        <x:v>0</x:v>
      </x:c>
      <x:c r="I977" s="64"/>
      <x:c r="J977" s="63">
        <x:f t="shared" si="72"/>
        <x:v>0</x:v>
      </x:c>
      <x:c r="K977" s="63" t="str">
        <x:f t="shared" si="70"/>
      </x:c>
      <x:c r="L977" s="63">
        <x:f t="shared" si="73"/>
        <x:v>0</x:v>
      </x:c>
      <x:c r="M977" s="61"/>
    </x:row>
    <x:row r="978">
      <x:c r="A978" s="61" t="str">
        <x:f>IF(E978="","",MAX($A$6:A977)+1)</x:f>
      </x:c>
      <x:c r="B978" s="61"/>
      <x:c r="C978" s="61"/>
      <x:c r="D978" s="62"/>
      <x:c r="E978" s="61"/>
      <x:c r="F978" s="61"/>
      <x:c r="G978" s="63"/>
      <x:c r="H978" s="63">
        <x:f t="shared" si="71"/>
        <x:v>0</x:v>
      </x:c>
      <x:c r="I978" s="64"/>
      <x:c r="J978" s="63">
        <x:f t="shared" si="72"/>
        <x:v>0</x:v>
      </x:c>
      <x:c r="K978" s="63" t="str">
        <x:f t="shared" si="70"/>
      </x:c>
      <x:c r="L978" s="63">
        <x:f t="shared" si="73"/>
        <x:v>0</x:v>
      </x:c>
      <x:c r="M978" s="61"/>
    </x:row>
    <x:row r="979">
      <x:c r="A979" s="61" t="str">
        <x:f>IF(E979="","",MAX($A$6:A978)+1)</x:f>
      </x:c>
      <x:c r="B979" s="61"/>
      <x:c r="C979" s="61"/>
      <x:c r="D979" s="62"/>
      <x:c r="E979" s="61"/>
      <x:c r="F979" s="61"/>
      <x:c r="G979" s="63"/>
      <x:c r="H979" s="63">
        <x:f t="shared" si="71"/>
        <x:v>0</x:v>
      </x:c>
      <x:c r="I979" s="64"/>
      <x:c r="J979" s="63">
        <x:f t="shared" si="72"/>
        <x:v>0</x:v>
      </x:c>
      <x:c r="K979" s="63" t="str">
        <x:f t="shared" si="70"/>
      </x:c>
      <x:c r="L979" s="63">
        <x:f t="shared" si="73"/>
        <x:v>0</x:v>
      </x:c>
      <x:c r="M979" s="61"/>
    </x:row>
    <x:row r="980">
      <x:c r="A980" s="61" t="str">
        <x:f>IF(E980="","",MAX($A$6:A979)+1)</x:f>
      </x:c>
      <x:c r="B980" s="61"/>
      <x:c r="C980" s="61"/>
      <x:c r="D980" s="62"/>
      <x:c r="E980" s="61"/>
      <x:c r="F980" s="61"/>
      <x:c r="G980" s="63"/>
      <x:c r="H980" s="63">
        <x:f t="shared" si="71"/>
        <x:v>0</x:v>
      </x:c>
      <x:c r="I980" s="64"/>
      <x:c r="J980" s="63">
        <x:f t="shared" si="72"/>
        <x:v>0</x:v>
      </x:c>
      <x:c r="K980" s="63" t="str">
        <x:f t="shared" si="70"/>
      </x:c>
      <x:c r="L980" s="63">
        <x:f t="shared" si="73"/>
        <x:v>0</x:v>
      </x:c>
      <x:c r="M980" s="61"/>
    </x:row>
    <x:row r="981">
      <x:c r="A981" s="61" t="str">
        <x:f>IF(E981="","",MAX($A$6:A980)+1)</x:f>
      </x:c>
      <x:c r="B981" s="61"/>
      <x:c r="C981" s="61"/>
      <x:c r="D981" s="62"/>
      <x:c r="E981" s="61"/>
      <x:c r="F981" s="61"/>
      <x:c r="G981" s="63"/>
      <x:c r="H981" s="63">
        <x:f t="shared" si="71"/>
        <x:v>0</x:v>
      </x:c>
      <x:c r="I981" s="64"/>
      <x:c r="J981" s="63">
        <x:f t="shared" si="72"/>
        <x:v>0</x:v>
      </x:c>
      <x:c r="K981" s="63" t="str">
        <x:f t="shared" si="70"/>
      </x:c>
      <x:c r="L981" s="63">
        <x:f t="shared" si="73"/>
        <x:v>0</x:v>
      </x:c>
      <x:c r="M981" s="61"/>
    </x:row>
    <x:row r="982">
      <x:c r="A982" s="61" t="str">
        <x:f>IF(E982="","",MAX($A$6:A981)+1)</x:f>
      </x:c>
      <x:c r="B982" s="61"/>
      <x:c r="C982" s="61"/>
      <x:c r="D982" s="62"/>
      <x:c r="E982" s="61"/>
      <x:c r="F982" s="61"/>
      <x:c r="G982" s="63"/>
      <x:c r="H982" s="63">
        <x:f t="shared" si="71"/>
        <x:v>0</x:v>
      </x:c>
      <x:c r="I982" s="64"/>
      <x:c r="J982" s="63">
        <x:f t="shared" si="72"/>
        <x:v>0</x:v>
      </x:c>
      <x:c r="K982" s="63" t="str">
        <x:f t="shared" si="70"/>
      </x:c>
      <x:c r="L982" s="63">
        <x:f t="shared" si="73"/>
        <x:v>0</x:v>
      </x:c>
      <x:c r="M982" s="61"/>
    </x:row>
    <x:row r="983">
      <x:c r="A983" s="61" t="str">
        <x:f>IF(E983="","",MAX($A$6:A982)+1)</x:f>
      </x:c>
      <x:c r="B983" s="61"/>
      <x:c r="C983" s="61"/>
      <x:c r="D983" s="62"/>
      <x:c r="E983" s="61"/>
      <x:c r="F983" s="61"/>
      <x:c r="G983" s="63"/>
      <x:c r="H983" s="63">
        <x:f t="shared" si="71"/>
        <x:v>0</x:v>
      </x:c>
      <x:c r="I983" s="64"/>
      <x:c r="J983" s="63">
        <x:f t="shared" si="72"/>
        <x:v>0</x:v>
      </x:c>
      <x:c r="K983" s="63" t="str">
        <x:f t="shared" si="70"/>
      </x:c>
      <x:c r="L983" s="63">
        <x:f t="shared" si="73"/>
        <x:v>0</x:v>
      </x:c>
      <x:c r="M983" s="61"/>
    </x:row>
    <x:row r="984">
      <x:c r="A984" s="61" t="str">
        <x:f>IF(E984="","",MAX($A$6:A983)+1)</x:f>
      </x:c>
      <x:c r="B984" s="61"/>
      <x:c r="C984" s="61"/>
      <x:c r="D984" s="62"/>
      <x:c r="E984" s="61"/>
      <x:c r="F984" s="61"/>
      <x:c r="G984" s="63"/>
      <x:c r="H984" s="63">
        <x:f t="shared" si="71"/>
        <x:v>0</x:v>
      </x:c>
      <x:c r="I984" s="64"/>
      <x:c r="J984" s="63">
        <x:f t="shared" si="72"/>
        <x:v>0</x:v>
      </x:c>
      <x:c r="K984" s="63" t="str">
        <x:f t="shared" si="70"/>
      </x:c>
      <x:c r="L984" s="63">
        <x:f t="shared" si="73"/>
        <x:v>0</x:v>
      </x:c>
      <x:c r="M984" s="61"/>
    </x:row>
    <x:row r="985">
      <x:c r="A985" s="61" t="str">
        <x:f>IF(E985="","",MAX($A$6:A984)+1)</x:f>
      </x:c>
      <x:c r="B985" s="61"/>
      <x:c r="C985" s="61"/>
      <x:c r="D985" s="62"/>
      <x:c r="E985" s="61"/>
      <x:c r="F985" s="61"/>
      <x:c r="G985" s="63"/>
      <x:c r="H985" s="63">
        <x:f t="shared" si="71"/>
        <x:v>0</x:v>
      </x:c>
      <x:c r="I985" s="64"/>
      <x:c r="J985" s="63">
        <x:f t="shared" si="72"/>
        <x:v>0</x:v>
      </x:c>
      <x:c r="K985" s="63" t="str">
        <x:f t="shared" si="70"/>
      </x:c>
      <x:c r="L985" s="63">
        <x:f t="shared" si="73"/>
        <x:v>0</x:v>
      </x:c>
      <x:c r="M985" s="61"/>
    </x:row>
    <x:row r="986">
      <x:c r="A986" s="61" t="str">
        <x:f>IF(E986="","",MAX($A$6:A985)+1)</x:f>
      </x:c>
      <x:c r="B986" s="61"/>
      <x:c r="C986" s="61"/>
      <x:c r="D986" s="62"/>
      <x:c r="E986" s="61"/>
      <x:c r="F986" s="61"/>
      <x:c r="G986" s="63"/>
      <x:c r="H986" s="63">
        <x:f t="shared" si="71"/>
        <x:v>0</x:v>
      </x:c>
      <x:c r="I986" s="64"/>
      <x:c r="J986" s="63">
        <x:f t="shared" si="72"/>
        <x:v>0</x:v>
      </x:c>
      <x:c r="K986" s="63" t="str">
        <x:f t="shared" si="70"/>
      </x:c>
      <x:c r="L986" s="63">
        <x:f t="shared" si="73"/>
        <x:v>0</x:v>
      </x:c>
      <x:c r="M986" s="61"/>
    </x:row>
    <x:row r="987">
      <x:c r="A987" s="61" t="str">
        <x:f>IF(E987="","",MAX($A$6:A986)+1)</x:f>
      </x:c>
      <x:c r="B987" s="61"/>
      <x:c r="C987" s="61"/>
      <x:c r="D987" s="62"/>
      <x:c r="E987" s="61"/>
      <x:c r="F987" s="61"/>
      <x:c r="G987" s="63"/>
      <x:c r="H987" s="63">
        <x:f t="shared" si="71"/>
        <x:v>0</x:v>
      </x:c>
      <x:c r="I987" s="64"/>
      <x:c r="J987" s="63">
        <x:f t="shared" si="72"/>
        <x:v>0</x:v>
      </x:c>
      <x:c r="K987" s="63" t="str">
        <x:f t="shared" si="70"/>
      </x:c>
      <x:c r="L987" s="63">
        <x:f t="shared" si="73"/>
        <x:v>0</x:v>
      </x:c>
      <x:c r="M987" s="61"/>
    </x:row>
    <x:row r="988">
      <x:c r="A988" s="61" t="str">
        <x:f>IF(E988="","",MAX($A$6:A987)+1)</x:f>
      </x:c>
      <x:c r="B988" s="61"/>
      <x:c r="C988" s="61"/>
      <x:c r="D988" s="62"/>
      <x:c r="E988" s="61"/>
      <x:c r="F988" s="61"/>
      <x:c r="G988" s="63"/>
      <x:c r="H988" s="63">
        <x:f t="shared" si="71"/>
        <x:v>0</x:v>
      </x:c>
      <x:c r="I988" s="64"/>
      <x:c r="J988" s="63">
        <x:f t="shared" si="72"/>
        <x:v>0</x:v>
      </x:c>
      <x:c r="K988" s="63" t="str">
        <x:f t="shared" si="70"/>
      </x:c>
      <x:c r="L988" s="63">
        <x:f t="shared" si="73"/>
        <x:v>0</x:v>
      </x:c>
      <x:c r="M988" s="61"/>
    </x:row>
    <x:row r="989">
      <x:c r="A989" s="61" t="str">
        <x:f>IF(E989="","",MAX($A$6:A988)+1)</x:f>
      </x:c>
      <x:c r="B989" s="61"/>
      <x:c r="C989" s="61"/>
      <x:c r="D989" s="62"/>
      <x:c r="E989" s="61"/>
      <x:c r="F989" s="61"/>
      <x:c r="G989" s="63"/>
      <x:c r="H989" s="63">
        <x:f t="shared" si="71"/>
        <x:v>0</x:v>
      </x:c>
      <x:c r="I989" s="64"/>
      <x:c r="J989" s="63">
        <x:f t="shared" si="72"/>
        <x:v>0</x:v>
      </x:c>
      <x:c r="K989" s="63" t="str">
        <x:f t="shared" si="70"/>
      </x:c>
      <x:c r="L989" s="63">
        <x:f t="shared" si="73"/>
        <x:v>0</x:v>
      </x:c>
      <x:c r="M989" s="61"/>
    </x:row>
    <x:row r="990">
      <x:c r="A990" s="61" t="str">
        <x:f>IF(E990="","",MAX($A$6:A989)+1)</x:f>
      </x:c>
      <x:c r="B990" s="61"/>
      <x:c r="C990" s="61"/>
      <x:c r="D990" s="62"/>
      <x:c r="E990" s="61"/>
      <x:c r="F990" s="61"/>
      <x:c r="G990" s="63"/>
      <x:c r="H990" s="63">
        <x:f t="shared" si="71"/>
        <x:v>0</x:v>
      </x:c>
      <x:c r="I990" s="64"/>
      <x:c r="J990" s="63">
        <x:f t="shared" si="72"/>
        <x:v>0</x:v>
      </x:c>
      <x:c r="K990" s="63" t="str">
        <x:f t="shared" si="70"/>
      </x:c>
      <x:c r="L990" s="63">
        <x:f t="shared" si="73"/>
        <x:v>0</x:v>
      </x:c>
      <x:c r="M990" s="61"/>
    </x:row>
    <x:row r="991">
      <x:c r="A991" s="61" t="str">
        <x:f>IF(E991="","",MAX($A$6:A990)+1)</x:f>
      </x:c>
      <x:c r="B991" s="61"/>
      <x:c r="C991" s="61"/>
      <x:c r="D991" s="62"/>
      <x:c r="E991" s="61"/>
      <x:c r="F991" s="61"/>
      <x:c r="G991" s="63"/>
      <x:c r="H991" s="63">
        <x:f t="shared" si="71"/>
        <x:v>0</x:v>
      </x:c>
      <x:c r="I991" s="64"/>
      <x:c r="J991" s="63">
        <x:f t="shared" si="72"/>
        <x:v>0</x:v>
      </x:c>
      <x:c r="K991" s="63" t="str">
        <x:f t="shared" si="70"/>
      </x:c>
      <x:c r="L991" s="63">
        <x:f t="shared" si="73"/>
        <x:v>0</x:v>
      </x:c>
      <x:c r="M991" s="61"/>
    </x:row>
    <x:row r="992">
      <x:c r="A992" s="61" t="str">
        <x:f>IF(E992="","",MAX($A$6:A991)+1)</x:f>
      </x:c>
      <x:c r="B992" s="61"/>
      <x:c r="C992" s="61"/>
      <x:c r="D992" s="62"/>
      <x:c r="E992" s="61"/>
      <x:c r="F992" s="61"/>
      <x:c r="G992" s="63"/>
      <x:c r="H992" s="63">
        <x:f t="shared" si="71"/>
        <x:v>0</x:v>
      </x:c>
      <x:c r="I992" s="64"/>
      <x:c r="J992" s="63">
        <x:f t="shared" si="72"/>
        <x:v>0</x:v>
      </x:c>
      <x:c r="K992" s="63" t="str">
        <x:f t="shared" si="70"/>
      </x:c>
      <x:c r="L992" s="63">
        <x:f t="shared" si="73"/>
        <x:v>0</x:v>
      </x:c>
      <x:c r="M992" s="61"/>
    </x:row>
    <x:row r="993">
      <x:c r="A993" s="61" t="str">
        <x:f>IF(E993="","",MAX($A$6:A992)+1)</x:f>
      </x:c>
      <x:c r="B993" s="61"/>
      <x:c r="C993" s="61"/>
      <x:c r="D993" s="62"/>
      <x:c r="E993" s="61"/>
      <x:c r="F993" s="61"/>
      <x:c r="G993" s="63"/>
      <x:c r="H993" s="63">
        <x:f t="shared" si="71"/>
        <x:v>0</x:v>
      </x:c>
      <x:c r="I993" s="64"/>
      <x:c r="J993" s="63">
        <x:f t="shared" si="72"/>
        <x:v>0</x:v>
      </x:c>
      <x:c r="K993" s="63" t="str">
        <x:f t="shared" si="70"/>
      </x:c>
      <x:c r="L993" s="63">
        <x:f t="shared" si="73"/>
        <x:v>0</x:v>
      </x:c>
      <x:c r="M993" s="61"/>
    </x:row>
    <x:row r="994">
      <x:c r="A994" s="61" t="str">
        <x:f>IF(E994="","",MAX($A$6:A993)+1)</x:f>
      </x:c>
      <x:c r="B994" s="61"/>
      <x:c r="C994" s="61"/>
      <x:c r="D994" s="62"/>
      <x:c r="E994" s="61"/>
      <x:c r="F994" s="61"/>
      <x:c r="G994" s="63"/>
      <x:c r="H994" s="63">
        <x:f t="shared" si="71"/>
        <x:v>0</x:v>
      </x:c>
      <x:c r="I994" s="64"/>
      <x:c r="J994" s="63">
        <x:f t="shared" si="72"/>
        <x:v>0</x:v>
      </x:c>
      <x:c r="K994" s="63" t="str">
        <x:f t="shared" si="70"/>
      </x:c>
      <x:c r="L994" s="63">
        <x:f t="shared" si="73"/>
        <x:v>0</x:v>
      </x:c>
      <x:c r="M994" s="61"/>
    </x:row>
    <x:row r="995">
      <x:c r="A995" s="61" t="str">
        <x:f>IF(E995="","",MAX($A$6:A994)+1)</x:f>
      </x:c>
      <x:c r="B995" s="61"/>
      <x:c r="C995" s="61"/>
      <x:c r="D995" s="62"/>
      <x:c r="E995" s="61"/>
      <x:c r="F995" s="61"/>
      <x:c r="G995" s="63"/>
      <x:c r="H995" s="63">
        <x:f t="shared" si="71"/>
        <x:v>0</x:v>
      </x:c>
      <x:c r="I995" s="64"/>
      <x:c r="J995" s="63">
        <x:f t="shared" si="72"/>
        <x:v>0</x:v>
      </x:c>
      <x:c r="K995" s="63" t="str">
        <x:f t="shared" si="70"/>
      </x:c>
      <x:c r="L995" s="63">
        <x:f t="shared" si="73"/>
        <x:v>0</x:v>
      </x:c>
      <x:c r="M995" s="61"/>
    </x:row>
    <x:row r="996">
      <x:c r="A996" s="61" t="str">
        <x:f>IF(E996="","",MAX($A$6:A995)+1)</x:f>
      </x:c>
      <x:c r="B996" s="61"/>
      <x:c r="C996" s="61"/>
      <x:c r="D996" s="62"/>
      <x:c r="E996" s="61"/>
      <x:c r="F996" s="61"/>
      <x:c r="G996" s="63"/>
      <x:c r="H996" s="63">
        <x:f t="shared" si="71"/>
        <x:v>0</x:v>
      </x:c>
      <x:c r="I996" s="64"/>
      <x:c r="J996" s="63">
        <x:f t="shared" si="72"/>
        <x:v>0</x:v>
      </x:c>
      <x:c r="K996" s="63" t="str">
        <x:f t="shared" si="70"/>
      </x:c>
      <x:c r="L996" s="63">
        <x:f t="shared" si="73"/>
        <x:v>0</x:v>
      </x:c>
      <x:c r="M996" s="61"/>
    </x:row>
    <x:row r="997">
      <x:c r="A997" s="61" t="str">
        <x:f>IF(E997="","",MAX($A$6:A996)+1)</x:f>
      </x:c>
      <x:c r="B997" s="61"/>
      <x:c r="C997" s="61"/>
      <x:c r="D997" s="62"/>
      <x:c r="E997" s="61"/>
      <x:c r="F997" s="61"/>
      <x:c r="G997" s="63"/>
      <x:c r="H997" s="63">
        <x:f t="shared" si="71"/>
        <x:v>0</x:v>
      </x:c>
      <x:c r="I997" s="64"/>
      <x:c r="J997" s="63">
        <x:f t="shared" si="72"/>
        <x:v>0</x:v>
      </x:c>
      <x:c r="K997" s="63" t="str">
        <x:f t="shared" si="70"/>
      </x:c>
      <x:c r="L997" s="63">
        <x:f t="shared" si="73"/>
        <x:v>0</x:v>
      </x:c>
      <x:c r="M997" s="61"/>
    </x:row>
    <x:row r="998">
      <x:c r="A998" s="61" t="str">
        <x:f>IF(E998="","",MAX($A$6:A997)+1)</x:f>
      </x:c>
      <x:c r="B998" s="61"/>
      <x:c r="C998" s="61"/>
      <x:c r="D998" s="62"/>
      <x:c r="E998" s="61"/>
      <x:c r="F998" s="61"/>
      <x:c r="G998" s="63"/>
      <x:c r="H998" s="63">
        <x:f t="shared" si="71"/>
        <x:v>0</x:v>
      </x:c>
      <x:c r="I998" s="64"/>
      <x:c r="J998" s="63">
        <x:f t="shared" si="72"/>
        <x:v>0</x:v>
      </x:c>
      <x:c r="K998" s="63" t="str">
        <x:f t="shared" si="70"/>
      </x:c>
      <x:c r="L998" s="63">
        <x:f t="shared" si="73"/>
        <x:v>0</x:v>
      </x:c>
      <x:c r="M998" s="61"/>
    </x:row>
    <x:row r="999">
      <x:c r="A999" s="61" t="str">
        <x:f>IF(E999="","",MAX($A$6:A998)+1)</x:f>
      </x:c>
      <x:c r="B999" s="61"/>
      <x:c r="C999" s="61"/>
      <x:c r="D999" s="62"/>
      <x:c r="E999" s="61"/>
      <x:c r="F999" s="61"/>
      <x:c r="G999" s="63"/>
      <x:c r="H999" s="63">
        <x:f t="shared" si="71"/>
        <x:v>0</x:v>
      </x:c>
      <x:c r="I999" s="64"/>
      <x:c r="J999" s="63">
        <x:f t="shared" si="72"/>
        <x:v>0</x:v>
      </x:c>
      <x:c r="K999" s="63" t="str">
        <x:f t="shared" si="70"/>
      </x:c>
      <x:c r="L999" s="63">
        <x:f t="shared" si="73"/>
        <x:v>0</x:v>
      </x:c>
      <x:c r="M999" s="61"/>
    </x:row>
    <x:row r="1000">
      <x:c r="A1000" s="61" t="str">
        <x:f>IF(E1000="","",MAX($A$6:A999)+1)</x:f>
      </x:c>
      <x:c r="B1000" s="61"/>
      <x:c r="C1000" s="61"/>
      <x:c r="D1000" s="62"/>
      <x:c r="E1000" s="61"/>
      <x:c r="F1000" s="61"/>
      <x:c r="G1000" s="63"/>
      <x:c r="H1000" s="63">
        <x:f t="shared" si="71"/>
        <x:v>0</x:v>
      </x:c>
      <x:c r="I1000" s="64"/>
      <x:c r="J1000" s="63">
        <x:f t="shared" si="72"/>
        <x:v>0</x:v>
      </x:c>
      <x:c r="K1000" s="63" t="str">
        <x:f t="shared" si="70"/>
      </x:c>
      <x:c r="L1000" s="63">
        <x:f t="shared" si="73"/>
        <x:v>0</x:v>
      </x:c>
      <x:c r="M1000" s="61"/>
    </x:row>
    <x:row r="1001">
      <x:c r="A1001" s="61" t="str">
        <x:f>IF(E1001="","",MAX($A$6:A1000)+1)</x:f>
      </x:c>
      <x:c r="B1001" s="61"/>
      <x:c r="C1001" s="61"/>
      <x:c r="D1001" s="62"/>
      <x:c r="E1001" s="61"/>
      <x:c r="F1001" s="61"/>
      <x:c r="G1001" s="63"/>
      <x:c r="H1001" s="63">
        <x:f t="shared" si="71"/>
        <x:v>0</x:v>
      </x:c>
      <x:c r="I1001" s="64"/>
      <x:c r="J1001" s="63">
        <x:f t="shared" si="72"/>
        <x:v>0</x:v>
      </x:c>
      <x:c r="K1001" s="63" t="str">
        <x:f t="shared" si="70"/>
      </x:c>
      <x:c r="L1001" s="63">
        <x:f t="shared" si="73"/>
        <x:v>0</x:v>
      </x:c>
      <x:c r="M1001" s="61"/>
    </x:row>
    <x:row r="1002">
      <x:c r="A1002" s="61" t="str">
        <x:f>IF(E1002="","",MAX($A$6:A1001)+1)</x:f>
      </x:c>
      <x:c r="B1002" s="61"/>
      <x:c r="C1002" s="61"/>
      <x:c r="D1002" s="62"/>
      <x:c r="E1002" s="61"/>
      <x:c r="F1002" s="61"/>
      <x:c r="G1002" s="63"/>
      <x:c r="H1002" s="63">
        <x:f t="shared" si="71"/>
        <x:v>0</x:v>
      </x:c>
      <x:c r="I1002" s="64"/>
      <x:c r="J1002" s="63">
        <x:f t="shared" si="72"/>
        <x:v>0</x:v>
      </x:c>
      <x:c r="K1002" s="63" t="str">
        <x:f t="shared" si="70"/>
      </x:c>
      <x:c r="L1002" s="63">
        <x:f t="shared" si="73"/>
        <x:v>0</x:v>
      </x:c>
      <x:c r="M1002" s="61"/>
    </x:row>
    <x:row r="1003">
      <x:c r="A1003" s="61" t="str">
        <x:f>IF(E1003="","",MAX($A$6:A1002)+1)</x:f>
      </x:c>
      <x:c r="B1003" s="61"/>
      <x:c r="C1003" s="61"/>
      <x:c r="D1003" s="62"/>
      <x:c r="E1003" s="61"/>
      <x:c r="F1003" s="61"/>
      <x:c r="G1003" s="63"/>
      <x:c r="H1003" s="63">
        <x:f t="shared" si="71"/>
        <x:v>0</x:v>
      </x:c>
      <x:c r="I1003" s="64"/>
      <x:c r="J1003" s="63">
        <x:f t="shared" si="72"/>
        <x:v>0</x:v>
      </x:c>
      <x:c r="K1003" s="63" t="str">
        <x:f t="shared" si="70"/>
      </x:c>
      <x:c r="L1003" s="63">
        <x:f t="shared" si="73"/>
        <x:v>0</x:v>
      </x:c>
      <x:c r="M1003" s="61"/>
    </x:row>
    <x:row r="1004">
      <x:c r="A1004" s="61" t="str">
        <x:f>IF(E1004="","",MAX($A$6:A1003)+1)</x:f>
      </x:c>
      <x:c r="B1004" s="61"/>
      <x:c r="C1004" s="61"/>
      <x:c r="D1004" s="62"/>
      <x:c r="E1004" s="61"/>
      <x:c r="F1004" s="61"/>
      <x:c r="G1004" s="63"/>
      <x:c r="H1004" s="63">
        <x:f t="shared" si="71"/>
        <x:v>0</x:v>
      </x:c>
      <x:c r="I1004" s="64"/>
      <x:c r="J1004" s="63">
        <x:f t="shared" si="72"/>
        <x:v>0</x:v>
      </x:c>
      <x:c r="K1004" s="63" t="str">
        <x:f t="shared" si="70"/>
      </x:c>
      <x:c r="L1004" s="63">
        <x:f t="shared" si="73"/>
        <x:v>0</x:v>
      </x:c>
      <x:c r="M1004" s="61"/>
    </x:row>
    <x:row r="1005">
      <x:c r="A1005" s="61" t="str">
        <x:f>IF(E1005="","",MAX($A$6:A1004)+1)</x:f>
      </x:c>
      <x:c r="B1005" s="61"/>
      <x:c r="C1005" s="61"/>
      <x:c r="D1005" s="62"/>
      <x:c r="E1005" s="61"/>
      <x:c r="F1005" s="61"/>
      <x:c r="G1005" s="63"/>
      <x:c r="H1005" s="63">
        <x:f t="shared" si="71"/>
        <x:v>0</x:v>
      </x:c>
      <x:c r="I1005" s="64"/>
      <x:c r="J1005" s="63">
        <x:f t="shared" si="72"/>
        <x:v>0</x:v>
      </x:c>
      <x:c r="K1005" s="63" t="str">
        <x:f t="shared" si="70"/>
      </x:c>
      <x:c r="L1005" s="63">
        <x:f t="shared" si="73"/>
        <x:v>0</x:v>
      </x:c>
      <x:c r="M1005" s="61"/>
    </x:row>
    <x:row r="1006">
      <x:c r="A1006" s="61" t="str">
        <x:f>IF(E1006="","",MAX($A$6:A1005)+1)</x:f>
      </x:c>
      <x:c r="B1006" s="61"/>
      <x:c r="C1006" s="61"/>
      <x:c r="D1006" s="62"/>
      <x:c r="E1006" s="61"/>
      <x:c r="F1006" s="61"/>
      <x:c r="G1006" s="63"/>
      <x:c r="H1006" s="63">
        <x:f t="shared" si="71"/>
        <x:v>0</x:v>
      </x:c>
      <x:c r="I1006" s="64"/>
      <x:c r="J1006" s="63">
        <x:f t="shared" si="72"/>
        <x:v>0</x:v>
      </x:c>
      <x:c r="K1006" s="63" t="str">
        <x:f t="shared" si="70"/>
      </x:c>
      <x:c r="L1006" s="63">
        <x:f t="shared" si="73"/>
        <x:v>0</x:v>
      </x:c>
      <x:c r="M1006" s="61"/>
    </x:row>
    <x:row r="1007">
      <x:c r="A1007" s="61" t="str">
        <x:f>IF(E1007="","",MAX($A$6:A1006)+1)</x:f>
      </x:c>
      <x:c r="B1007" s="61"/>
      <x:c r="C1007" s="61"/>
      <x:c r="D1007" s="62"/>
      <x:c r="E1007" s="61"/>
      <x:c r="F1007" s="61"/>
      <x:c r="G1007" s="63"/>
      <x:c r="H1007" s="63">
        <x:f t="shared" si="71"/>
        <x:v>0</x:v>
      </x:c>
      <x:c r="I1007" s="64"/>
      <x:c r="J1007" s="63">
        <x:f t="shared" si="72"/>
        <x:v>0</x:v>
      </x:c>
      <x:c r="K1007" s="63" t="str">
        <x:f t="shared" si="70"/>
      </x:c>
      <x:c r="L1007" s="63">
        <x:f t="shared" si="73"/>
        <x:v>0</x:v>
      </x:c>
      <x:c r="M1007" s="61"/>
    </x:row>
    <x:row r="1008">
      <x:c r="A1008" s="61" t="str">
        <x:f>IF(E1008="","",MAX($A$6:A1007)+1)</x:f>
      </x:c>
      <x:c r="B1008" s="61"/>
      <x:c r="C1008" s="61"/>
      <x:c r="D1008" s="62"/>
      <x:c r="E1008" s="61"/>
      <x:c r="F1008" s="61"/>
      <x:c r="G1008" s="63"/>
      <x:c r="H1008" s="63">
        <x:f t="shared" si="71"/>
        <x:v>0</x:v>
      </x:c>
      <x:c r="I1008" s="64"/>
      <x:c r="J1008" s="63">
        <x:f t="shared" si="72"/>
        <x:v>0</x:v>
      </x:c>
      <x:c r="K1008" s="63" t="str">
        <x:f t="shared" si="70"/>
      </x:c>
      <x:c r="L1008" s="63">
        <x:f t="shared" si="73"/>
        <x:v>0</x:v>
      </x:c>
      <x:c r="M1008" s="61"/>
    </x:row>
    <x:row r="1009">
      <x:c r="A1009" s="61" t="str">
        <x:f>IF(E1009="","",MAX($A$6:A1008)+1)</x:f>
      </x:c>
      <x:c r="B1009" s="61"/>
      <x:c r="C1009" s="61"/>
      <x:c r="D1009" s="62"/>
      <x:c r="E1009" s="61"/>
      <x:c r="F1009" s="61"/>
      <x:c r="G1009" s="63"/>
      <x:c r="H1009" s="63">
        <x:f t="shared" si="71"/>
        <x:v>0</x:v>
      </x:c>
      <x:c r="I1009" s="64"/>
      <x:c r="J1009" s="63">
        <x:f t="shared" si="72"/>
        <x:v>0</x:v>
      </x:c>
      <x:c r="K1009" s="63" t="str">
        <x:f t="shared" si="70"/>
      </x:c>
      <x:c r="L1009" s="63">
        <x:f t="shared" si="73"/>
        <x:v>0</x:v>
      </x:c>
      <x:c r="M1009" s="61"/>
    </x:row>
    <x:row r="1010">
      <x:c r="A1010" s="61" t="str">
        <x:f>IF(E1010="","",MAX($A$6:A1009)+1)</x:f>
      </x:c>
      <x:c r="B1010" s="61"/>
      <x:c r="C1010" s="61"/>
      <x:c r="D1010" s="62"/>
      <x:c r="E1010" s="61"/>
      <x:c r="F1010" s="61"/>
      <x:c r="G1010" s="63"/>
      <x:c r="H1010" s="63">
        <x:f t="shared" si="71"/>
        <x:v>0</x:v>
      </x:c>
      <x:c r="I1010" s="64"/>
      <x:c r="J1010" s="63">
        <x:f t="shared" si="72"/>
        <x:v>0</x:v>
      </x:c>
      <x:c r="K1010" s="63" t="str">
        <x:f t="shared" si="70"/>
      </x:c>
      <x:c r="L1010" s="63">
        <x:f t="shared" si="73"/>
        <x:v>0</x:v>
      </x:c>
      <x:c r="M1010" s="61"/>
    </x:row>
    <x:row r="1011">
      <x:c r="A1011" s="61" t="str">
        <x:f>IF(E1011="","",MAX($A$6:A1010)+1)</x:f>
      </x:c>
      <x:c r="B1011" s="61"/>
      <x:c r="C1011" s="61"/>
      <x:c r="D1011" s="62"/>
      <x:c r="E1011" s="61"/>
      <x:c r="F1011" s="61"/>
      <x:c r="G1011" s="63"/>
      <x:c r="H1011" s="63">
        <x:f t="shared" si="71"/>
        <x:v>0</x:v>
      </x:c>
      <x:c r="I1011" s="64"/>
      <x:c r="J1011" s="63">
        <x:f t="shared" si="72"/>
        <x:v>0</x:v>
      </x:c>
      <x:c r="K1011" s="63" t="str">
        <x:f t="shared" si="70"/>
      </x:c>
      <x:c r="L1011" s="63">
        <x:f t="shared" si="73"/>
        <x:v>0</x:v>
      </x:c>
      <x:c r="M1011" s="61"/>
    </x:row>
    <x:row r="1012">
      <x:c r="A1012" s="61" t="str">
        <x:f>IF(E1012="","",MAX($A$6:A1011)+1)</x:f>
      </x:c>
      <x:c r="B1012" s="61"/>
      <x:c r="C1012" s="61"/>
      <x:c r="D1012" s="62"/>
      <x:c r="E1012" s="61"/>
      <x:c r="F1012" s="61"/>
      <x:c r="G1012" s="63"/>
      <x:c r="H1012" s="63">
        <x:f t="shared" si="71"/>
        <x:v>0</x:v>
      </x:c>
      <x:c r="I1012" s="64"/>
      <x:c r="J1012" s="63">
        <x:f t="shared" si="72"/>
        <x:v>0</x:v>
      </x:c>
      <x:c r="K1012" s="63" t="str">
        <x:f t="shared" si="70"/>
      </x:c>
      <x:c r="L1012" s="63">
        <x:f t="shared" si="73"/>
        <x:v>0</x:v>
      </x:c>
      <x:c r="M1012" s="61"/>
    </x:row>
    <x:row r="1013">
      <x:c r="A1013" s="61" t="str">
        <x:f>IF(E1013="","",MAX($A$6:A1012)+1)</x:f>
      </x:c>
      <x:c r="B1013" s="61"/>
      <x:c r="C1013" s="61"/>
      <x:c r="D1013" s="62"/>
      <x:c r="E1013" s="61"/>
      <x:c r="F1013" s="61"/>
      <x:c r="G1013" s="63"/>
      <x:c r="H1013" s="63">
        <x:f t="shared" si="71"/>
        <x:v>0</x:v>
      </x:c>
      <x:c r="I1013" s="64"/>
      <x:c r="J1013" s="63">
        <x:f t="shared" si="72"/>
        <x:v>0</x:v>
      </x:c>
      <x:c r="K1013" s="63" t="str">
        <x:f t="shared" si="70"/>
      </x:c>
      <x:c r="L1013" s="63">
        <x:f t="shared" si="73"/>
        <x:v>0</x:v>
      </x:c>
      <x:c r="M1013" s="61"/>
    </x:row>
    <x:row r="1014">
      <x:c r="A1014" s="61" t="str">
        <x:f>IF(E1014="","",MAX($A$6:A1013)+1)</x:f>
      </x:c>
      <x:c r="B1014" s="61"/>
      <x:c r="C1014" s="61"/>
      <x:c r="D1014" s="62"/>
      <x:c r="E1014" s="61"/>
      <x:c r="F1014" s="61"/>
      <x:c r="G1014" s="63"/>
      <x:c r="H1014" s="63">
        <x:f t="shared" si="71"/>
        <x:v>0</x:v>
      </x:c>
      <x:c r="I1014" s="64"/>
      <x:c r="J1014" s="63">
        <x:f t="shared" si="72"/>
        <x:v>0</x:v>
      </x:c>
      <x:c r="K1014" s="63" t="str">
        <x:f t="shared" ref="K1014:K1077" si="74">IFERROR(IF(G1014="","",MAX(1,G1014-J1014)),0)</x:f>
      </x:c>
      <x:c r="L1014" s="63">
        <x:f t="shared" si="73"/>
        <x:v>0</x:v>
      </x:c>
      <x:c r="M1014" s="61"/>
    </x:row>
    <x:row r="1015">
      <x:c r="A1015" s="61" t="str">
        <x:f>IF(E1015="","",MAX($A$6:A1014)+1)</x:f>
      </x:c>
      <x:c r="B1015" s="61"/>
      <x:c r="C1015" s="61"/>
      <x:c r="D1015" s="62"/>
      <x:c r="E1015" s="61"/>
      <x:c r="F1015" s="61"/>
      <x:c r="G1015" s="63"/>
      <x:c r="H1015" s="63">
        <x:f t="shared" si="71"/>
        <x:v>0</x:v>
      </x:c>
      <x:c r="I1015" s="64"/>
      <x:c r="J1015" s="63">
        <x:f t="shared" si="72"/>
        <x:v>0</x:v>
      </x:c>
      <x:c r="K1015" s="63" t="str">
        <x:f t="shared" si="74"/>
      </x:c>
      <x:c r="L1015" s="63">
        <x:f t="shared" si="73"/>
        <x:v>0</x:v>
      </x:c>
      <x:c r="M1015" s="61"/>
    </x:row>
    <x:row r="1016">
      <x:c r="A1016" s="61" t="str">
        <x:f>IF(E1016="","",MAX($A$6:A1015)+1)</x:f>
      </x:c>
      <x:c r="B1016" s="61"/>
      <x:c r="C1016" s="61"/>
      <x:c r="D1016" s="62"/>
      <x:c r="E1016" s="61"/>
      <x:c r="F1016" s="61"/>
      <x:c r="G1016" s="63"/>
      <x:c r="H1016" s="63">
        <x:f t="shared" si="71"/>
        <x:v>0</x:v>
      </x:c>
      <x:c r="I1016" s="64"/>
      <x:c r="J1016" s="63">
        <x:f t="shared" si="72"/>
        <x:v>0</x:v>
      </x:c>
      <x:c r="K1016" s="63" t="str">
        <x:f t="shared" si="74"/>
      </x:c>
      <x:c r="L1016" s="63">
        <x:f t="shared" si="73"/>
        <x:v>0</x:v>
      </x:c>
      <x:c r="M1016" s="61"/>
    </x:row>
    <x:row r="1017">
      <x:c r="A1017" s="61" t="str">
        <x:f>IF(E1017="","",MAX($A$6:A1016)+1)</x:f>
      </x:c>
      <x:c r="B1017" s="61"/>
      <x:c r="C1017" s="61"/>
      <x:c r="D1017" s="62"/>
      <x:c r="E1017" s="61"/>
      <x:c r="F1017" s="61"/>
      <x:c r="G1017" s="63"/>
      <x:c r="H1017" s="63">
        <x:f t="shared" si="71"/>
        <x:v>0</x:v>
      </x:c>
      <x:c r="I1017" s="64"/>
      <x:c r="J1017" s="63">
        <x:f t="shared" si="72"/>
        <x:v>0</x:v>
      </x:c>
      <x:c r="K1017" s="63" t="str">
        <x:f t="shared" si="74"/>
      </x:c>
      <x:c r="L1017" s="63">
        <x:f t="shared" si="73"/>
        <x:v>0</x:v>
      </x:c>
      <x:c r="M1017" s="61"/>
    </x:row>
    <x:row r="1018">
      <x:c r="A1018" s="61" t="str">
        <x:f>IF(E1018="","",MAX($A$6:A1017)+1)</x:f>
      </x:c>
      <x:c r="B1018" s="61"/>
      <x:c r="C1018" s="61"/>
      <x:c r="D1018" s="62"/>
      <x:c r="E1018" s="61"/>
      <x:c r="F1018" s="61"/>
      <x:c r="G1018" s="63"/>
      <x:c r="H1018" s="63">
        <x:f t="shared" si="71"/>
        <x:v>0</x:v>
      </x:c>
      <x:c r="I1018" s="64"/>
      <x:c r="J1018" s="63">
        <x:f t="shared" si="72"/>
        <x:v>0</x:v>
      </x:c>
      <x:c r="K1018" s="63" t="str">
        <x:f t="shared" si="74"/>
      </x:c>
      <x:c r="L1018" s="63">
        <x:f t="shared" si="73"/>
        <x:v>0</x:v>
      </x:c>
      <x:c r="M1018" s="61"/>
    </x:row>
    <x:row r="1019">
      <x:c r="A1019" s="61" t="str">
        <x:f>IF(E1019="","",MAX($A$6:A1018)+1)</x:f>
      </x:c>
      <x:c r="B1019" s="61"/>
      <x:c r="C1019" s="61"/>
      <x:c r="D1019" s="62"/>
      <x:c r="E1019" s="61"/>
      <x:c r="F1019" s="61"/>
      <x:c r="G1019" s="63"/>
      <x:c r="H1019" s="63">
        <x:f t="shared" si="71"/>
        <x:v>0</x:v>
      </x:c>
      <x:c r="I1019" s="64"/>
      <x:c r="J1019" s="63">
        <x:f t="shared" si="72"/>
        <x:v>0</x:v>
      </x:c>
      <x:c r="K1019" s="63" t="str">
        <x:f t="shared" si="74"/>
      </x:c>
      <x:c r="L1019" s="63">
        <x:f t="shared" si="73"/>
        <x:v>0</x:v>
      </x:c>
      <x:c r="M1019" s="61"/>
    </x:row>
    <x:row r="1020">
      <x:c r="A1020" s="61" t="str">
        <x:f>IF(E1020="","",MAX($A$6:A1019)+1)</x:f>
      </x:c>
      <x:c r="B1020" s="61"/>
      <x:c r="C1020" s="61"/>
      <x:c r="D1020" s="62"/>
      <x:c r="E1020" s="61"/>
      <x:c r="F1020" s="61"/>
      <x:c r="G1020" s="63"/>
      <x:c r="H1020" s="63">
        <x:f t="shared" si="71"/>
        <x:v>0</x:v>
      </x:c>
      <x:c r="I1020" s="64"/>
      <x:c r="J1020" s="63">
        <x:f t="shared" si="72"/>
        <x:v>0</x:v>
      </x:c>
      <x:c r="K1020" s="63" t="str">
        <x:f t="shared" si="74"/>
      </x:c>
      <x:c r="L1020" s="63">
        <x:f t="shared" si="73"/>
        <x:v>0</x:v>
      </x:c>
      <x:c r="M1020" s="61"/>
    </x:row>
    <x:row r="1021">
      <x:c r="A1021" s="61" t="str">
        <x:f>IF(E1021="","",MAX($A$6:A1020)+1)</x:f>
      </x:c>
      <x:c r="B1021" s="61"/>
      <x:c r="C1021" s="61"/>
      <x:c r="D1021" s="62"/>
      <x:c r="E1021" s="61"/>
      <x:c r="F1021" s="61"/>
      <x:c r="G1021" s="63"/>
      <x:c r="H1021" s="63">
        <x:f t="shared" si="71"/>
        <x:v>0</x:v>
      </x:c>
      <x:c r="I1021" s="64"/>
      <x:c r="J1021" s="63">
        <x:f t="shared" si="72"/>
        <x:v>0</x:v>
      </x:c>
      <x:c r="K1021" s="63" t="str">
        <x:f t="shared" si="74"/>
      </x:c>
      <x:c r="L1021" s="63">
        <x:f t="shared" si="73"/>
        <x:v>0</x:v>
      </x:c>
      <x:c r="M1021" s="61"/>
    </x:row>
    <x:row r="1022">
      <x:c r="A1022" s="61" t="str">
        <x:f>IF(E1022="","",MAX($A$6:A1021)+1)</x:f>
      </x:c>
      <x:c r="B1022" s="61"/>
      <x:c r="C1022" s="61"/>
      <x:c r="D1022" s="62"/>
      <x:c r="E1022" s="61"/>
      <x:c r="F1022" s="61"/>
      <x:c r="G1022" s="63"/>
      <x:c r="H1022" s="63">
        <x:f t="shared" si="71"/>
        <x:v>0</x:v>
      </x:c>
      <x:c r="I1022" s="64"/>
      <x:c r="J1022" s="63">
        <x:f t="shared" si="72"/>
        <x:v>0</x:v>
      </x:c>
      <x:c r="K1022" s="63" t="str">
        <x:f t="shared" si="74"/>
      </x:c>
      <x:c r="L1022" s="63">
        <x:f t="shared" si="73"/>
        <x:v>0</x:v>
      </x:c>
      <x:c r="M1022" s="61"/>
    </x:row>
    <x:row r="1023">
      <x:c r="A1023" s="61" t="str">
        <x:f>IF(E1023="","",MAX($A$6:A1022)+1)</x:f>
      </x:c>
      <x:c r="B1023" s="61"/>
      <x:c r="C1023" s="61"/>
      <x:c r="D1023" s="62"/>
      <x:c r="E1023" s="61"/>
      <x:c r="F1023" s="61"/>
      <x:c r="G1023" s="63"/>
      <x:c r="H1023" s="63">
        <x:f t="shared" si="71"/>
        <x:v>0</x:v>
      </x:c>
      <x:c r="I1023" s="64"/>
      <x:c r="J1023" s="63">
        <x:f t="shared" si="72"/>
        <x:v>0</x:v>
      </x:c>
      <x:c r="K1023" s="63" t="str">
        <x:f t="shared" si="74"/>
      </x:c>
      <x:c r="L1023" s="63">
        <x:f t="shared" si="73"/>
        <x:v>0</x:v>
      </x:c>
      <x:c r="M1023" s="61"/>
    </x:row>
    <x:row r="1024">
      <x:c r="A1024" s="61" t="str">
        <x:f>IF(E1024="","",MAX($A$6:A1023)+1)</x:f>
      </x:c>
      <x:c r="B1024" s="61"/>
      <x:c r="C1024" s="61"/>
      <x:c r="D1024" s="62"/>
      <x:c r="E1024" s="61"/>
      <x:c r="F1024" s="61"/>
      <x:c r="G1024" s="63"/>
      <x:c r="H1024" s="63">
        <x:f t="shared" si="71"/>
        <x:v>0</x:v>
      </x:c>
      <x:c r="I1024" s="64"/>
      <x:c r="J1024" s="63">
        <x:f t="shared" si="72"/>
        <x:v>0</x:v>
      </x:c>
      <x:c r="K1024" s="63" t="str">
        <x:f t="shared" si="74"/>
      </x:c>
      <x:c r="L1024" s="63">
        <x:f t="shared" si="73"/>
        <x:v>0</x:v>
      </x:c>
      <x:c r="M1024" s="61"/>
    </x:row>
    <x:row r="1025">
      <x:c r="A1025" s="61" t="str">
        <x:f>IF(E1025="","",MAX($A$6:A1024)+1)</x:f>
      </x:c>
      <x:c r="B1025" s="61"/>
      <x:c r="C1025" s="61"/>
      <x:c r="D1025" s="62"/>
      <x:c r="E1025" s="61"/>
      <x:c r="F1025" s="61"/>
      <x:c r="G1025" s="63"/>
      <x:c r="H1025" s="63">
        <x:f t="shared" si="71"/>
        <x:v>0</x:v>
      </x:c>
      <x:c r="I1025" s="64"/>
      <x:c r="J1025" s="63">
        <x:f t="shared" si="72"/>
        <x:v>0</x:v>
      </x:c>
      <x:c r="K1025" s="63" t="str">
        <x:f t="shared" si="74"/>
      </x:c>
      <x:c r="L1025" s="63">
        <x:f t="shared" si="73"/>
        <x:v>0</x:v>
      </x:c>
      <x:c r="M1025" s="61"/>
    </x:row>
    <x:row r="1026">
      <x:c r="A1026" s="61" t="str">
        <x:f>IF(E1026="","",MAX($A$6:A1025)+1)</x:f>
      </x:c>
      <x:c r="B1026" s="61"/>
      <x:c r="C1026" s="61"/>
      <x:c r="D1026" s="62"/>
      <x:c r="E1026" s="61"/>
      <x:c r="F1026" s="61"/>
      <x:c r="G1026" s="63"/>
      <x:c r="H1026" s="63">
        <x:f t="shared" si="71"/>
        <x:v>0</x:v>
      </x:c>
      <x:c r="I1026" s="64"/>
      <x:c r="J1026" s="63">
        <x:f t="shared" si="72"/>
        <x:v>0</x:v>
      </x:c>
      <x:c r="K1026" s="63" t="str">
        <x:f t="shared" si="74"/>
      </x:c>
      <x:c r="L1026" s="63">
        <x:f t="shared" si="73"/>
        <x:v>0</x:v>
      </x:c>
      <x:c r="M1026" s="61"/>
    </x:row>
    <x:row r="1027">
      <x:c r="A1027" s="61" t="str">
        <x:f>IF(E1027="","",MAX($A$6:A1026)+1)</x:f>
      </x:c>
      <x:c r="B1027" s="61"/>
      <x:c r="C1027" s="61"/>
      <x:c r="D1027" s="62"/>
      <x:c r="E1027" s="61"/>
      <x:c r="F1027" s="61"/>
      <x:c r="G1027" s="63"/>
      <x:c r="H1027" s="63">
        <x:f t="shared" si="71"/>
        <x:v>0</x:v>
      </x:c>
      <x:c r="I1027" s="64"/>
      <x:c r="J1027" s="63">
        <x:f t="shared" si="72"/>
        <x:v>0</x:v>
      </x:c>
      <x:c r="K1027" s="63" t="str">
        <x:f t="shared" si="74"/>
      </x:c>
      <x:c r="L1027" s="63">
        <x:f t="shared" si="73"/>
        <x:v>0</x:v>
      </x:c>
      <x:c r="M1027" s="61"/>
    </x:row>
    <x:row r="1028">
      <x:c r="A1028" s="61" t="str">
        <x:f>IF(E1028="","",MAX($A$6:A1027)+1)</x:f>
      </x:c>
      <x:c r="B1028" s="61"/>
      <x:c r="C1028" s="61"/>
      <x:c r="D1028" s="62"/>
      <x:c r="E1028" s="61"/>
      <x:c r="F1028" s="61"/>
      <x:c r="G1028" s="63"/>
      <x:c r="H1028" s="63">
        <x:f t="shared" si="71"/>
        <x:v>0</x:v>
      </x:c>
      <x:c r="I1028" s="64"/>
      <x:c r="J1028" s="63">
        <x:f t="shared" si="72"/>
        <x:v>0</x:v>
      </x:c>
      <x:c r="K1028" s="63" t="str">
        <x:f t="shared" si="74"/>
      </x:c>
      <x:c r="L1028" s="63">
        <x:f t="shared" si="73"/>
        <x:v>0</x:v>
      </x:c>
      <x:c r="M1028" s="61"/>
    </x:row>
    <x:row r="1029">
      <x:c r="A1029" s="61" t="str">
        <x:f>IF(E1029="","",MAX($A$6:A1028)+1)</x:f>
      </x:c>
      <x:c r="B1029" s="61"/>
      <x:c r="C1029" s="61"/>
      <x:c r="D1029" s="62"/>
      <x:c r="E1029" s="61"/>
      <x:c r="F1029" s="61"/>
      <x:c r="G1029" s="63"/>
      <x:c r="H1029" s="63">
        <x:f t="shared" si="71"/>
        <x:v>0</x:v>
      </x:c>
      <x:c r="I1029" s="64"/>
      <x:c r="J1029" s="63">
        <x:f t="shared" si="72"/>
        <x:v>0</x:v>
      </x:c>
      <x:c r="K1029" s="63" t="str">
        <x:f t="shared" si="74"/>
      </x:c>
      <x:c r="L1029" s="63">
        <x:f t="shared" si="73"/>
        <x:v>0</x:v>
      </x:c>
      <x:c r="M1029" s="61"/>
    </x:row>
    <x:row r="1030">
      <x:c r="A1030" s="61" t="str">
        <x:f>IF(E1030="","",MAX($A$6:A1029)+1)</x:f>
      </x:c>
      <x:c r="B1030" s="61"/>
      <x:c r="C1030" s="61"/>
      <x:c r="D1030" s="62"/>
      <x:c r="E1030" s="61"/>
      <x:c r="F1030" s="61"/>
      <x:c r="G1030" s="63"/>
      <x:c r="H1030" s="63" t="n">
        <x:f t="shared" ref="H1030:H1093" si="75">IFERROR(IF(OR($F$1="",D1030=""),0,MAX(0,$F$1-D1030)),0)</x:f>
        <x:v>0</x:v>
      </x:c>
      <x:c r="I1030" s="64"/>
      <x:c r="J1030" s="63" t="n">
        <x:f t="shared" ref="J1030:J1093" si="76">IFERROR(IF(OR(G1030="",I1030="",D1030="",$F$1=""),0,IF($F$1&lt;D1030,0,MIN(MAX(G1030-1,0),MAX(0,(G1030*I1030/365)*H1030)))),0)</x:f>
        <x:v>0</x:v>
      </x:c>
      <x:c r="K1030" s="63" t="str">
        <x:f t="shared" si="74"/>
      </x:c>
      <x:c r="L1030" s="63" t="n">
        <x:f t="shared" ref="L1030:L1093" si="77">IFERROR(IF(OR(G1030="",I1030="",D1030="",$F$1=""),0,IF($F$1&lt;D1030,0,IF(K1030&lt;=1,0,MIN(G1030*I1030/12,K1030-1)))),0)</x:f>
        <x:v>0</x:v>
      </x:c>
      <x:c r="M1030" s="61"/>
    </x:row>
    <x:row r="1031">
      <x:c r="A1031" s="61" t="str">
        <x:f>IF(E1031="","",MAX($A$6:A1030)+1)</x:f>
      </x:c>
      <x:c r="B1031" s="61"/>
      <x:c r="C1031" s="61"/>
      <x:c r="D1031" s="62"/>
      <x:c r="E1031" s="61"/>
      <x:c r="F1031" s="61"/>
      <x:c r="G1031" s="63"/>
      <x:c r="H1031" s="63">
        <x:f t="shared" si="75"/>
        <x:v>0</x:v>
      </x:c>
      <x:c r="I1031" s="64"/>
      <x:c r="J1031" s="63">
        <x:f t="shared" si="76"/>
        <x:v>0</x:v>
      </x:c>
      <x:c r="K1031" s="63" t="str">
        <x:f t="shared" si="74"/>
      </x:c>
      <x:c r="L1031" s="63">
        <x:f t="shared" si="77"/>
        <x:v>0</x:v>
      </x:c>
      <x:c r="M1031" s="61"/>
    </x:row>
    <x:row r="1032">
      <x:c r="A1032" s="61" t="str">
        <x:f>IF(E1032="","",MAX($A$6:A1031)+1)</x:f>
      </x:c>
      <x:c r="B1032" s="61"/>
      <x:c r="C1032" s="61"/>
      <x:c r="D1032" s="62"/>
      <x:c r="E1032" s="61"/>
      <x:c r="F1032" s="61"/>
      <x:c r="G1032" s="63"/>
      <x:c r="H1032" s="63">
        <x:f t="shared" si="75"/>
        <x:v>0</x:v>
      </x:c>
      <x:c r="I1032" s="64"/>
      <x:c r="J1032" s="63">
        <x:f t="shared" si="76"/>
        <x:v>0</x:v>
      </x:c>
      <x:c r="K1032" s="63" t="str">
        <x:f t="shared" si="74"/>
      </x:c>
      <x:c r="L1032" s="63">
        <x:f t="shared" si="77"/>
        <x:v>0</x:v>
      </x:c>
      <x:c r="M1032" s="61"/>
    </x:row>
    <x:row r="1033">
      <x:c r="A1033" s="61" t="str">
        <x:f>IF(E1033="","",MAX($A$6:A1032)+1)</x:f>
      </x:c>
      <x:c r="B1033" s="61"/>
      <x:c r="C1033" s="61"/>
      <x:c r="D1033" s="62"/>
      <x:c r="E1033" s="61"/>
      <x:c r="F1033" s="61"/>
      <x:c r="G1033" s="63"/>
      <x:c r="H1033" s="63">
        <x:f t="shared" si="75"/>
        <x:v>0</x:v>
      </x:c>
      <x:c r="I1033" s="64"/>
      <x:c r="J1033" s="63">
        <x:f t="shared" si="76"/>
        <x:v>0</x:v>
      </x:c>
      <x:c r="K1033" s="63" t="str">
        <x:f t="shared" si="74"/>
      </x:c>
      <x:c r="L1033" s="63">
        <x:f t="shared" si="77"/>
        <x:v>0</x:v>
      </x:c>
      <x:c r="M1033" s="61"/>
    </x:row>
    <x:row r="1034">
      <x:c r="A1034" s="61" t="str">
        <x:f>IF(E1034="","",MAX($A$6:A1033)+1)</x:f>
      </x:c>
      <x:c r="B1034" s="61"/>
      <x:c r="C1034" s="61"/>
      <x:c r="D1034" s="62"/>
      <x:c r="E1034" s="61"/>
      <x:c r="F1034" s="61"/>
      <x:c r="G1034" s="63"/>
      <x:c r="H1034" s="63">
        <x:f t="shared" si="75"/>
        <x:v>0</x:v>
      </x:c>
      <x:c r="I1034" s="64"/>
      <x:c r="J1034" s="63">
        <x:f t="shared" si="76"/>
        <x:v>0</x:v>
      </x:c>
      <x:c r="K1034" s="63" t="str">
        <x:f t="shared" si="74"/>
      </x:c>
      <x:c r="L1034" s="63">
        <x:f t="shared" si="77"/>
        <x:v>0</x:v>
      </x:c>
      <x:c r="M1034" s="61"/>
    </x:row>
    <x:row r="1035">
      <x:c r="A1035" s="61" t="str">
        <x:f>IF(E1035="","",MAX($A$6:A1034)+1)</x:f>
      </x:c>
      <x:c r="B1035" s="61"/>
      <x:c r="C1035" s="61"/>
      <x:c r="D1035" s="62"/>
      <x:c r="E1035" s="61"/>
      <x:c r="F1035" s="61"/>
      <x:c r="G1035" s="63"/>
      <x:c r="H1035" s="63">
        <x:f t="shared" si="75"/>
        <x:v>0</x:v>
      </x:c>
      <x:c r="I1035" s="64"/>
      <x:c r="J1035" s="63">
        <x:f t="shared" si="76"/>
        <x:v>0</x:v>
      </x:c>
      <x:c r="K1035" s="63" t="str">
        <x:f t="shared" si="74"/>
      </x:c>
      <x:c r="L1035" s="63">
        <x:f t="shared" si="77"/>
        <x:v>0</x:v>
      </x:c>
      <x:c r="M1035" s="61"/>
    </x:row>
    <x:row r="1036">
      <x:c r="A1036" s="61" t="str">
        <x:f>IF(E1036="","",MAX($A$6:A1035)+1)</x:f>
      </x:c>
      <x:c r="B1036" s="61"/>
      <x:c r="C1036" s="61"/>
      <x:c r="D1036" s="62"/>
      <x:c r="E1036" s="61"/>
      <x:c r="F1036" s="61"/>
      <x:c r="G1036" s="63"/>
      <x:c r="H1036" s="63">
        <x:f t="shared" si="75"/>
        <x:v>0</x:v>
      </x:c>
      <x:c r="I1036" s="64"/>
      <x:c r="J1036" s="63">
        <x:f t="shared" si="76"/>
        <x:v>0</x:v>
      </x:c>
      <x:c r="K1036" s="63" t="str">
        <x:f t="shared" si="74"/>
      </x:c>
      <x:c r="L1036" s="63">
        <x:f t="shared" si="77"/>
        <x:v>0</x:v>
      </x:c>
      <x:c r="M1036" s="61"/>
    </x:row>
    <x:row r="1037">
      <x:c r="A1037" s="61" t="str">
        <x:f>IF(E1037="","",MAX($A$6:A1036)+1)</x:f>
      </x:c>
      <x:c r="B1037" s="61"/>
      <x:c r="C1037" s="61"/>
      <x:c r="D1037" s="62"/>
      <x:c r="E1037" s="61"/>
      <x:c r="F1037" s="61"/>
      <x:c r="G1037" s="63"/>
      <x:c r="H1037" s="63">
        <x:f t="shared" si="75"/>
        <x:v>0</x:v>
      </x:c>
      <x:c r="I1037" s="64"/>
      <x:c r="J1037" s="63">
        <x:f t="shared" si="76"/>
        <x:v>0</x:v>
      </x:c>
      <x:c r="K1037" s="63" t="str">
        <x:f t="shared" si="74"/>
      </x:c>
      <x:c r="L1037" s="63">
        <x:f t="shared" si="77"/>
        <x:v>0</x:v>
      </x:c>
      <x:c r="M1037" s="61"/>
    </x:row>
    <x:row r="1038">
      <x:c r="A1038" s="61" t="str">
        <x:f>IF(E1038="","",MAX($A$6:A1037)+1)</x:f>
      </x:c>
      <x:c r="B1038" s="61"/>
      <x:c r="C1038" s="61"/>
      <x:c r="D1038" s="62"/>
      <x:c r="E1038" s="61"/>
      <x:c r="F1038" s="61"/>
      <x:c r="G1038" s="63"/>
      <x:c r="H1038" s="63">
        <x:f t="shared" si="75"/>
        <x:v>0</x:v>
      </x:c>
      <x:c r="I1038" s="64"/>
      <x:c r="J1038" s="63">
        <x:f t="shared" si="76"/>
        <x:v>0</x:v>
      </x:c>
      <x:c r="K1038" s="63" t="str">
        <x:f t="shared" si="74"/>
      </x:c>
      <x:c r="L1038" s="63">
        <x:f t="shared" si="77"/>
        <x:v>0</x:v>
      </x:c>
      <x:c r="M1038" s="61"/>
    </x:row>
    <x:row r="1039">
      <x:c r="A1039" s="61" t="str">
        <x:f>IF(E1039="","",MAX($A$6:A1038)+1)</x:f>
      </x:c>
      <x:c r="B1039" s="61"/>
      <x:c r="C1039" s="61"/>
      <x:c r="D1039" s="62"/>
      <x:c r="E1039" s="61"/>
      <x:c r="F1039" s="61"/>
      <x:c r="G1039" s="63"/>
      <x:c r="H1039" s="63">
        <x:f t="shared" si="75"/>
        <x:v>0</x:v>
      </x:c>
      <x:c r="I1039" s="64"/>
      <x:c r="J1039" s="63">
        <x:f t="shared" si="76"/>
        <x:v>0</x:v>
      </x:c>
      <x:c r="K1039" s="63" t="str">
        <x:f t="shared" si="74"/>
      </x:c>
      <x:c r="L1039" s="63">
        <x:f t="shared" si="77"/>
        <x:v>0</x:v>
      </x:c>
      <x:c r="M1039" s="61"/>
    </x:row>
    <x:row r="1040">
      <x:c r="A1040" s="61" t="str">
        <x:f>IF(E1040="","",MAX($A$6:A1039)+1)</x:f>
      </x:c>
      <x:c r="B1040" s="61"/>
      <x:c r="C1040" s="61"/>
      <x:c r="D1040" s="62"/>
      <x:c r="E1040" s="61"/>
      <x:c r="F1040" s="61"/>
      <x:c r="G1040" s="63"/>
      <x:c r="H1040" s="63">
        <x:f t="shared" si="75"/>
        <x:v>0</x:v>
      </x:c>
      <x:c r="I1040" s="64"/>
      <x:c r="J1040" s="63">
        <x:f t="shared" si="76"/>
        <x:v>0</x:v>
      </x:c>
      <x:c r="K1040" s="63" t="str">
        <x:f t="shared" si="74"/>
      </x:c>
      <x:c r="L1040" s="63">
        <x:f t="shared" si="77"/>
        <x:v>0</x:v>
      </x:c>
      <x:c r="M1040" s="61"/>
    </x:row>
    <x:row r="1041">
      <x:c r="A1041" s="61" t="str">
        <x:f>IF(E1041="","",MAX($A$6:A1040)+1)</x:f>
      </x:c>
      <x:c r="B1041" s="61"/>
      <x:c r="C1041" s="61"/>
      <x:c r="D1041" s="62"/>
      <x:c r="E1041" s="61"/>
      <x:c r="F1041" s="61"/>
      <x:c r="G1041" s="63"/>
      <x:c r="H1041" s="63">
        <x:f t="shared" si="75"/>
        <x:v>0</x:v>
      </x:c>
      <x:c r="I1041" s="64"/>
      <x:c r="J1041" s="63">
        <x:f t="shared" si="76"/>
        <x:v>0</x:v>
      </x:c>
      <x:c r="K1041" s="63" t="str">
        <x:f t="shared" si="74"/>
      </x:c>
      <x:c r="L1041" s="63">
        <x:f t="shared" si="77"/>
        <x:v>0</x:v>
      </x:c>
      <x:c r="M1041" s="61"/>
    </x:row>
    <x:row r="1042">
      <x:c r="A1042" s="61" t="str">
        <x:f>IF(E1042="","",MAX($A$6:A1041)+1)</x:f>
      </x:c>
      <x:c r="B1042" s="61"/>
      <x:c r="C1042" s="61"/>
      <x:c r="D1042" s="62"/>
      <x:c r="E1042" s="61"/>
      <x:c r="F1042" s="61"/>
      <x:c r="G1042" s="63"/>
      <x:c r="H1042" s="63">
        <x:f t="shared" si="75"/>
        <x:v>0</x:v>
      </x:c>
      <x:c r="I1042" s="64"/>
      <x:c r="J1042" s="63">
        <x:f t="shared" si="76"/>
        <x:v>0</x:v>
      </x:c>
      <x:c r="K1042" s="63" t="str">
        <x:f t="shared" si="74"/>
      </x:c>
      <x:c r="L1042" s="63">
        <x:f t="shared" si="77"/>
        <x:v>0</x:v>
      </x:c>
      <x:c r="M1042" s="61"/>
    </x:row>
    <x:row r="1043">
      <x:c r="A1043" s="61" t="str">
        <x:f>IF(E1043="","",MAX($A$6:A1042)+1)</x:f>
      </x:c>
      <x:c r="B1043" s="61"/>
      <x:c r="C1043" s="61"/>
      <x:c r="D1043" s="62"/>
      <x:c r="E1043" s="61"/>
      <x:c r="F1043" s="61"/>
      <x:c r="G1043" s="63"/>
      <x:c r="H1043" s="63">
        <x:f t="shared" si="75"/>
        <x:v>0</x:v>
      </x:c>
      <x:c r="I1043" s="64"/>
      <x:c r="J1043" s="63">
        <x:f t="shared" si="76"/>
        <x:v>0</x:v>
      </x:c>
      <x:c r="K1043" s="63" t="str">
        <x:f t="shared" si="74"/>
      </x:c>
      <x:c r="L1043" s="63">
        <x:f t="shared" si="77"/>
        <x:v>0</x:v>
      </x:c>
      <x:c r="M1043" s="61"/>
    </x:row>
    <x:row r="1044">
      <x:c r="A1044" s="61" t="str">
        <x:f>IF(E1044="","",MAX($A$6:A1043)+1)</x:f>
      </x:c>
      <x:c r="B1044" s="61"/>
      <x:c r="C1044" s="61"/>
      <x:c r="D1044" s="62"/>
      <x:c r="E1044" s="61"/>
      <x:c r="F1044" s="61"/>
      <x:c r="G1044" s="63"/>
      <x:c r="H1044" s="63">
        <x:f t="shared" si="75"/>
        <x:v>0</x:v>
      </x:c>
      <x:c r="I1044" s="64"/>
      <x:c r="J1044" s="63">
        <x:f t="shared" si="76"/>
        <x:v>0</x:v>
      </x:c>
      <x:c r="K1044" s="63" t="str">
        <x:f t="shared" si="74"/>
      </x:c>
      <x:c r="L1044" s="63">
        <x:f t="shared" si="77"/>
        <x:v>0</x:v>
      </x:c>
      <x:c r="M1044" s="61"/>
    </x:row>
    <x:row r="1045">
      <x:c r="A1045" s="61" t="str">
        <x:f>IF(E1045="","",MAX($A$6:A1044)+1)</x:f>
      </x:c>
      <x:c r="B1045" s="61"/>
      <x:c r="C1045" s="61"/>
      <x:c r="D1045" s="62"/>
      <x:c r="E1045" s="61"/>
      <x:c r="F1045" s="61"/>
      <x:c r="G1045" s="63"/>
      <x:c r="H1045" s="63">
        <x:f t="shared" si="75"/>
        <x:v>0</x:v>
      </x:c>
      <x:c r="I1045" s="64"/>
      <x:c r="J1045" s="63">
        <x:f t="shared" si="76"/>
        <x:v>0</x:v>
      </x:c>
      <x:c r="K1045" s="63" t="str">
        <x:f t="shared" si="74"/>
      </x:c>
      <x:c r="L1045" s="63">
        <x:f t="shared" si="77"/>
        <x:v>0</x:v>
      </x:c>
      <x:c r="M1045" s="61"/>
    </x:row>
    <x:row r="1046">
      <x:c r="A1046" s="61" t="str">
        <x:f>IF(E1046="","",MAX($A$6:A1045)+1)</x:f>
      </x:c>
      <x:c r="B1046" s="61"/>
      <x:c r="C1046" s="61"/>
      <x:c r="D1046" s="62"/>
      <x:c r="E1046" s="61"/>
      <x:c r="F1046" s="61"/>
      <x:c r="G1046" s="63"/>
      <x:c r="H1046" s="63">
        <x:f t="shared" si="75"/>
        <x:v>0</x:v>
      </x:c>
      <x:c r="I1046" s="64"/>
      <x:c r="J1046" s="63">
        <x:f t="shared" si="76"/>
        <x:v>0</x:v>
      </x:c>
      <x:c r="K1046" s="63" t="str">
        <x:f t="shared" si="74"/>
      </x:c>
      <x:c r="L1046" s="63">
        <x:f t="shared" si="77"/>
        <x:v>0</x:v>
      </x:c>
      <x:c r="M1046" s="61"/>
    </x:row>
    <x:row r="1047">
      <x:c r="A1047" s="61" t="str">
        <x:f>IF(E1047="","",MAX($A$6:A1046)+1)</x:f>
      </x:c>
      <x:c r="B1047" s="61"/>
      <x:c r="C1047" s="61"/>
      <x:c r="D1047" s="62"/>
      <x:c r="E1047" s="61"/>
      <x:c r="F1047" s="61"/>
      <x:c r="G1047" s="63"/>
      <x:c r="H1047" s="63">
        <x:f t="shared" si="75"/>
        <x:v>0</x:v>
      </x:c>
      <x:c r="I1047" s="64"/>
      <x:c r="J1047" s="63">
        <x:f t="shared" si="76"/>
        <x:v>0</x:v>
      </x:c>
      <x:c r="K1047" s="63" t="str">
        <x:f t="shared" si="74"/>
      </x:c>
      <x:c r="L1047" s="63">
        <x:f t="shared" si="77"/>
        <x:v>0</x:v>
      </x:c>
      <x:c r="M1047" s="61"/>
    </x:row>
    <x:row r="1048">
      <x:c r="A1048" s="61" t="str">
        <x:f>IF(E1048="","",MAX($A$6:A1047)+1)</x:f>
      </x:c>
      <x:c r="B1048" s="61"/>
      <x:c r="C1048" s="61"/>
      <x:c r="D1048" s="62"/>
      <x:c r="E1048" s="61"/>
      <x:c r="F1048" s="61"/>
      <x:c r="G1048" s="63"/>
      <x:c r="H1048" s="63">
        <x:f t="shared" si="75"/>
        <x:v>0</x:v>
      </x:c>
      <x:c r="I1048" s="64"/>
      <x:c r="J1048" s="63">
        <x:f t="shared" si="76"/>
        <x:v>0</x:v>
      </x:c>
      <x:c r="K1048" s="63" t="str">
        <x:f t="shared" si="74"/>
      </x:c>
      <x:c r="L1048" s="63">
        <x:f t="shared" si="77"/>
        <x:v>0</x:v>
      </x:c>
      <x:c r="M1048" s="61"/>
    </x:row>
    <x:row r="1049">
      <x:c r="A1049" s="61" t="str">
        <x:f>IF(E1049="","",MAX($A$6:A1048)+1)</x:f>
      </x:c>
      <x:c r="B1049" s="61"/>
      <x:c r="C1049" s="61"/>
      <x:c r="D1049" s="62"/>
      <x:c r="E1049" s="61"/>
      <x:c r="F1049" s="61"/>
      <x:c r="G1049" s="63"/>
      <x:c r="H1049" s="63">
        <x:f t="shared" si="75"/>
        <x:v>0</x:v>
      </x:c>
      <x:c r="I1049" s="64"/>
      <x:c r="J1049" s="63">
        <x:f t="shared" si="76"/>
        <x:v>0</x:v>
      </x:c>
      <x:c r="K1049" s="63" t="str">
        <x:f t="shared" si="74"/>
      </x:c>
      <x:c r="L1049" s="63">
        <x:f t="shared" si="77"/>
        <x:v>0</x:v>
      </x:c>
      <x:c r="M1049" s="61"/>
    </x:row>
    <x:row r="1050">
      <x:c r="A1050" s="61" t="str">
        <x:f>IF(E1050="","",MAX($A$6:A1049)+1)</x:f>
      </x:c>
      <x:c r="B1050" s="61"/>
      <x:c r="C1050" s="61"/>
      <x:c r="D1050" s="62"/>
      <x:c r="E1050" s="61"/>
      <x:c r="F1050" s="61"/>
      <x:c r="G1050" s="63"/>
      <x:c r="H1050" s="63">
        <x:f t="shared" si="75"/>
        <x:v>0</x:v>
      </x:c>
      <x:c r="I1050" s="64"/>
      <x:c r="J1050" s="63">
        <x:f t="shared" si="76"/>
        <x:v>0</x:v>
      </x:c>
      <x:c r="K1050" s="63" t="str">
        <x:f t="shared" si="74"/>
      </x:c>
      <x:c r="L1050" s="63">
        <x:f t="shared" si="77"/>
        <x:v>0</x:v>
      </x:c>
      <x:c r="M1050" s="61"/>
    </x:row>
    <x:row r="1051">
      <x:c r="A1051" s="61" t="str">
        <x:f>IF(E1051="","",MAX($A$6:A1050)+1)</x:f>
      </x:c>
      <x:c r="B1051" s="61"/>
      <x:c r="C1051" s="61"/>
      <x:c r="D1051" s="62"/>
      <x:c r="E1051" s="61"/>
      <x:c r="F1051" s="61"/>
      <x:c r="G1051" s="63"/>
      <x:c r="H1051" s="63">
        <x:f t="shared" si="75"/>
        <x:v>0</x:v>
      </x:c>
      <x:c r="I1051" s="64"/>
      <x:c r="J1051" s="63">
        <x:f t="shared" si="76"/>
        <x:v>0</x:v>
      </x:c>
      <x:c r="K1051" s="63" t="str">
        <x:f t="shared" si="74"/>
      </x:c>
      <x:c r="L1051" s="63">
        <x:f t="shared" si="77"/>
        <x:v>0</x:v>
      </x:c>
      <x:c r="M1051" s="61"/>
    </x:row>
    <x:row r="1052">
      <x:c r="A1052" s="61" t="str">
        <x:f>IF(E1052="","",MAX($A$6:A1051)+1)</x:f>
      </x:c>
      <x:c r="B1052" s="61"/>
      <x:c r="C1052" s="61"/>
      <x:c r="D1052" s="62"/>
      <x:c r="E1052" s="61"/>
      <x:c r="F1052" s="61"/>
      <x:c r="G1052" s="63"/>
      <x:c r="H1052" s="63">
        <x:f t="shared" si="75"/>
        <x:v>0</x:v>
      </x:c>
      <x:c r="I1052" s="64"/>
      <x:c r="J1052" s="63">
        <x:f t="shared" si="76"/>
        <x:v>0</x:v>
      </x:c>
      <x:c r="K1052" s="63" t="str">
        <x:f t="shared" si="74"/>
      </x:c>
      <x:c r="L1052" s="63">
        <x:f t="shared" si="77"/>
        <x:v>0</x:v>
      </x:c>
      <x:c r="M1052" s="61"/>
    </x:row>
    <x:row r="1053">
      <x:c r="A1053" s="61" t="str">
        <x:f>IF(E1053="","",MAX($A$6:A1052)+1)</x:f>
      </x:c>
      <x:c r="B1053" s="61"/>
      <x:c r="C1053" s="61"/>
      <x:c r="D1053" s="62"/>
      <x:c r="E1053" s="61"/>
      <x:c r="F1053" s="61"/>
      <x:c r="G1053" s="63"/>
      <x:c r="H1053" s="63">
        <x:f t="shared" si="75"/>
        <x:v>0</x:v>
      </x:c>
      <x:c r="I1053" s="64"/>
      <x:c r="J1053" s="63">
        <x:f t="shared" si="76"/>
        <x:v>0</x:v>
      </x:c>
      <x:c r="K1053" s="63" t="str">
        <x:f t="shared" si="74"/>
      </x:c>
      <x:c r="L1053" s="63">
        <x:f t="shared" si="77"/>
        <x:v>0</x:v>
      </x:c>
      <x:c r="M1053" s="61"/>
    </x:row>
    <x:row r="1054">
      <x:c r="A1054" s="61" t="str">
        <x:f>IF(E1054="","",MAX($A$6:A1053)+1)</x:f>
      </x:c>
      <x:c r="B1054" s="61"/>
      <x:c r="C1054" s="61"/>
      <x:c r="D1054" s="62"/>
      <x:c r="E1054" s="61"/>
      <x:c r="F1054" s="61"/>
      <x:c r="G1054" s="63"/>
      <x:c r="H1054" s="63">
        <x:f t="shared" si="75"/>
        <x:v>0</x:v>
      </x:c>
      <x:c r="I1054" s="64"/>
      <x:c r="J1054" s="63">
        <x:f t="shared" si="76"/>
        <x:v>0</x:v>
      </x:c>
      <x:c r="K1054" s="63" t="str">
        <x:f t="shared" si="74"/>
      </x:c>
      <x:c r="L1054" s="63">
        <x:f t="shared" si="77"/>
        <x:v>0</x:v>
      </x:c>
      <x:c r="M1054" s="61"/>
    </x:row>
    <x:row r="1055">
      <x:c r="A1055" s="61" t="str">
        <x:f>IF(E1055="","",MAX($A$6:A1054)+1)</x:f>
      </x:c>
      <x:c r="B1055" s="61"/>
      <x:c r="C1055" s="61"/>
      <x:c r="D1055" s="62"/>
      <x:c r="E1055" s="61"/>
      <x:c r="F1055" s="61"/>
      <x:c r="G1055" s="63"/>
      <x:c r="H1055" s="63">
        <x:f t="shared" si="75"/>
        <x:v>0</x:v>
      </x:c>
      <x:c r="I1055" s="64"/>
      <x:c r="J1055" s="63">
        <x:f t="shared" si="76"/>
        <x:v>0</x:v>
      </x:c>
      <x:c r="K1055" s="63" t="str">
        <x:f t="shared" si="74"/>
      </x:c>
      <x:c r="L1055" s="63">
        <x:f t="shared" si="77"/>
        <x:v>0</x:v>
      </x:c>
      <x:c r="M1055" s="61"/>
    </x:row>
    <x:row r="1056">
      <x:c r="A1056" s="61" t="str">
        <x:f>IF(E1056="","",MAX($A$6:A1055)+1)</x:f>
      </x:c>
      <x:c r="B1056" s="61"/>
      <x:c r="C1056" s="61"/>
      <x:c r="D1056" s="62"/>
      <x:c r="E1056" s="61"/>
      <x:c r="F1056" s="61"/>
      <x:c r="G1056" s="63"/>
      <x:c r="H1056" s="63">
        <x:f t="shared" si="75"/>
        <x:v>0</x:v>
      </x:c>
      <x:c r="I1056" s="64"/>
      <x:c r="J1056" s="63">
        <x:f t="shared" si="76"/>
        <x:v>0</x:v>
      </x:c>
      <x:c r="K1056" s="63" t="str">
        <x:f t="shared" si="74"/>
      </x:c>
      <x:c r="L1056" s="63">
        <x:f t="shared" si="77"/>
        <x:v>0</x:v>
      </x:c>
      <x:c r="M1056" s="61"/>
    </x:row>
    <x:row r="1057">
      <x:c r="A1057" s="61" t="str">
        <x:f>IF(E1057="","",MAX($A$6:A1056)+1)</x:f>
      </x:c>
      <x:c r="B1057" s="61"/>
      <x:c r="C1057" s="61"/>
      <x:c r="D1057" s="62"/>
      <x:c r="E1057" s="61"/>
      <x:c r="F1057" s="61"/>
      <x:c r="G1057" s="63"/>
      <x:c r="H1057" s="63">
        <x:f t="shared" si="75"/>
        <x:v>0</x:v>
      </x:c>
      <x:c r="I1057" s="64"/>
      <x:c r="J1057" s="63">
        <x:f t="shared" si="76"/>
        <x:v>0</x:v>
      </x:c>
      <x:c r="K1057" s="63" t="str">
        <x:f t="shared" si="74"/>
      </x:c>
      <x:c r="L1057" s="63">
        <x:f t="shared" si="77"/>
        <x:v>0</x:v>
      </x:c>
      <x:c r="M1057" s="61"/>
    </x:row>
    <x:row r="1058">
      <x:c r="A1058" s="61" t="str">
        <x:f>IF(E1058="","",MAX($A$6:A1057)+1)</x:f>
      </x:c>
      <x:c r="B1058" s="61"/>
      <x:c r="C1058" s="61"/>
      <x:c r="D1058" s="62"/>
      <x:c r="E1058" s="61"/>
      <x:c r="F1058" s="61"/>
      <x:c r="G1058" s="63"/>
      <x:c r="H1058" s="63">
        <x:f t="shared" si="75"/>
        <x:v>0</x:v>
      </x:c>
      <x:c r="I1058" s="64"/>
      <x:c r="J1058" s="63">
        <x:f t="shared" si="76"/>
        <x:v>0</x:v>
      </x:c>
      <x:c r="K1058" s="63" t="str">
        <x:f t="shared" si="74"/>
      </x:c>
      <x:c r="L1058" s="63">
        <x:f t="shared" si="77"/>
        <x:v>0</x:v>
      </x:c>
      <x:c r="M1058" s="61"/>
    </x:row>
    <x:row r="1059">
      <x:c r="A1059" s="61" t="str">
        <x:f>IF(E1059="","",MAX($A$6:A1058)+1)</x:f>
      </x:c>
      <x:c r="B1059" s="61"/>
      <x:c r="C1059" s="61"/>
      <x:c r="D1059" s="62"/>
      <x:c r="E1059" s="61"/>
      <x:c r="F1059" s="61"/>
      <x:c r="G1059" s="63"/>
      <x:c r="H1059" s="63">
        <x:f t="shared" si="75"/>
        <x:v>0</x:v>
      </x:c>
      <x:c r="I1059" s="64"/>
      <x:c r="J1059" s="63">
        <x:f t="shared" si="76"/>
        <x:v>0</x:v>
      </x:c>
      <x:c r="K1059" s="63" t="str">
        <x:f t="shared" si="74"/>
      </x:c>
      <x:c r="L1059" s="63">
        <x:f t="shared" si="77"/>
        <x:v>0</x:v>
      </x:c>
      <x:c r="M1059" s="61"/>
    </x:row>
    <x:row r="1060">
      <x:c r="A1060" s="61" t="str">
        <x:f>IF(E1060="","",MAX($A$6:A1059)+1)</x:f>
      </x:c>
      <x:c r="B1060" s="61"/>
      <x:c r="C1060" s="61"/>
      <x:c r="D1060" s="62"/>
      <x:c r="E1060" s="61"/>
      <x:c r="F1060" s="61"/>
      <x:c r="G1060" s="63"/>
      <x:c r="H1060" s="63">
        <x:f t="shared" si="75"/>
        <x:v>0</x:v>
      </x:c>
      <x:c r="I1060" s="64"/>
      <x:c r="J1060" s="63">
        <x:f t="shared" si="76"/>
        <x:v>0</x:v>
      </x:c>
      <x:c r="K1060" s="63" t="str">
        <x:f t="shared" si="74"/>
      </x:c>
      <x:c r="L1060" s="63">
        <x:f t="shared" si="77"/>
        <x:v>0</x:v>
      </x:c>
      <x:c r="M1060" s="61"/>
    </x:row>
    <x:row r="1061">
      <x:c r="A1061" s="61" t="str">
        <x:f>IF(E1061="","",MAX($A$6:A1060)+1)</x:f>
      </x:c>
      <x:c r="B1061" s="61"/>
      <x:c r="C1061" s="61"/>
      <x:c r="D1061" s="62"/>
      <x:c r="E1061" s="61"/>
      <x:c r="F1061" s="61"/>
      <x:c r="G1061" s="63"/>
      <x:c r="H1061" s="63">
        <x:f t="shared" si="75"/>
        <x:v>0</x:v>
      </x:c>
      <x:c r="I1061" s="64"/>
      <x:c r="J1061" s="63">
        <x:f t="shared" si="76"/>
        <x:v>0</x:v>
      </x:c>
      <x:c r="K1061" s="63" t="str">
        <x:f t="shared" si="74"/>
      </x:c>
      <x:c r="L1061" s="63">
        <x:f t="shared" si="77"/>
        <x:v>0</x:v>
      </x:c>
      <x:c r="M1061" s="61"/>
    </x:row>
    <x:row r="1062">
      <x:c r="A1062" s="61" t="str">
        <x:f>IF(E1062="","",MAX($A$6:A1061)+1)</x:f>
      </x:c>
      <x:c r="B1062" s="61"/>
      <x:c r="C1062" s="61"/>
      <x:c r="D1062" s="62"/>
      <x:c r="E1062" s="61"/>
      <x:c r="F1062" s="61"/>
      <x:c r="G1062" s="63"/>
      <x:c r="H1062" s="63">
        <x:f t="shared" si="75"/>
        <x:v>0</x:v>
      </x:c>
      <x:c r="I1062" s="64"/>
      <x:c r="J1062" s="63">
        <x:f t="shared" si="76"/>
        <x:v>0</x:v>
      </x:c>
      <x:c r="K1062" s="63" t="str">
        <x:f t="shared" si="74"/>
      </x:c>
      <x:c r="L1062" s="63">
        <x:f t="shared" si="77"/>
        <x:v>0</x:v>
      </x:c>
      <x:c r="M1062" s="61"/>
    </x:row>
    <x:row r="1063">
      <x:c r="A1063" s="61" t="str">
        <x:f>IF(E1063="","",MAX($A$6:A1062)+1)</x:f>
      </x:c>
      <x:c r="B1063" s="61"/>
      <x:c r="C1063" s="61"/>
      <x:c r="D1063" s="62"/>
      <x:c r="E1063" s="61"/>
      <x:c r="F1063" s="61"/>
      <x:c r="G1063" s="63"/>
      <x:c r="H1063" s="63">
        <x:f t="shared" si="75"/>
        <x:v>0</x:v>
      </x:c>
      <x:c r="I1063" s="64"/>
      <x:c r="J1063" s="63">
        <x:f t="shared" si="76"/>
        <x:v>0</x:v>
      </x:c>
      <x:c r="K1063" s="63" t="str">
        <x:f t="shared" si="74"/>
      </x:c>
      <x:c r="L1063" s="63">
        <x:f t="shared" si="77"/>
        <x:v>0</x:v>
      </x:c>
      <x:c r="M1063" s="61"/>
    </x:row>
    <x:row r="1064">
      <x:c r="A1064" s="61" t="str">
        <x:f>IF(E1064="","",MAX($A$6:A1063)+1)</x:f>
      </x:c>
      <x:c r="B1064" s="61"/>
      <x:c r="C1064" s="61"/>
      <x:c r="D1064" s="62"/>
      <x:c r="E1064" s="61"/>
      <x:c r="F1064" s="61"/>
      <x:c r="G1064" s="63"/>
      <x:c r="H1064" s="63">
        <x:f t="shared" si="75"/>
        <x:v>0</x:v>
      </x:c>
      <x:c r="I1064" s="64"/>
      <x:c r="J1064" s="63">
        <x:f t="shared" si="76"/>
        <x:v>0</x:v>
      </x:c>
      <x:c r="K1064" s="63" t="str">
        <x:f t="shared" si="74"/>
      </x:c>
      <x:c r="L1064" s="63">
        <x:f t="shared" si="77"/>
        <x:v>0</x:v>
      </x:c>
      <x:c r="M1064" s="61"/>
    </x:row>
    <x:row r="1065">
      <x:c r="A1065" s="61" t="str">
        <x:f>IF(E1065="","",MAX($A$6:A1064)+1)</x:f>
      </x:c>
      <x:c r="B1065" s="61"/>
      <x:c r="C1065" s="61"/>
      <x:c r="D1065" s="62"/>
      <x:c r="E1065" s="61"/>
      <x:c r="F1065" s="61"/>
      <x:c r="G1065" s="63"/>
      <x:c r="H1065" s="63">
        <x:f t="shared" si="75"/>
        <x:v>0</x:v>
      </x:c>
      <x:c r="I1065" s="64"/>
      <x:c r="J1065" s="63">
        <x:f t="shared" si="76"/>
        <x:v>0</x:v>
      </x:c>
      <x:c r="K1065" s="63" t="str">
        <x:f t="shared" si="74"/>
      </x:c>
      <x:c r="L1065" s="63">
        <x:f t="shared" si="77"/>
        <x:v>0</x:v>
      </x:c>
      <x:c r="M1065" s="61"/>
    </x:row>
    <x:row r="1066">
      <x:c r="A1066" s="61" t="str">
        <x:f>IF(E1066="","",MAX($A$6:A1065)+1)</x:f>
      </x:c>
      <x:c r="B1066" s="61"/>
      <x:c r="C1066" s="61"/>
      <x:c r="D1066" s="62"/>
      <x:c r="E1066" s="61"/>
      <x:c r="F1066" s="61"/>
      <x:c r="G1066" s="63"/>
      <x:c r="H1066" s="63">
        <x:f t="shared" si="75"/>
        <x:v>0</x:v>
      </x:c>
      <x:c r="I1066" s="64"/>
      <x:c r="J1066" s="63">
        <x:f t="shared" si="76"/>
        <x:v>0</x:v>
      </x:c>
      <x:c r="K1066" s="63" t="str">
        <x:f t="shared" si="74"/>
      </x:c>
      <x:c r="L1066" s="63">
        <x:f t="shared" si="77"/>
        <x:v>0</x:v>
      </x:c>
      <x:c r="M1066" s="61"/>
    </x:row>
    <x:row r="1067">
      <x:c r="A1067" s="61" t="str">
        <x:f>IF(E1067="","",MAX($A$6:A1066)+1)</x:f>
      </x:c>
      <x:c r="B1067" s="61"/>
      <x:c r="C1067" s="61"/>
      <x:c r="D1067" s="62"/>
      <x:c r="E1067" s="61"/>
      <x:c r="F1067" s="61"/>
      <x:c r="G1067" s="63"/>
      <x:c r="H1067" s="63">
        <x:f t="shared" si="75"/>
        <x:v>0</x:v>
      </x:c>
      <x:c r="I1067" s="64"/>
      <x:c r="J1067" s="63">
        <x:f t="shared" si="76"/>
        <x:v>0</x:v>
      </x:c>
      <x:c r="K1067" s="63" t="str">
        <x:f t="shared" si="74"/>
      </x:c>
      <x:c r="L1067" s="63">
        <x:f t="shared" si="77"/>
        <x:v>0</x:v>
      </x:c>
      <x:c r="M1067" s="61"/>
    </x:row>
    <x:row r="1068">
      <x:c r="A1068" s="61" t="str">
        <x:f>IF(E1068="","",MAX($A$6:A1067)+1)</x:f>
      </x:c>
      <x:c r="B1068" s="61"/>
      <x:c r="C1068" s="61"/>
      <x:c r="D1068" s="62"/>
      <x:c r="E1068" s="61"/>
      <x:c r="F1068" s="61"/>
      <x:c r="G1068" s="63"/>
      <x:c r="H1068" s="63">
        <x:f t="shared" si="75"/>
        <x:v>0</x:v>
      </x:c>
      <x:c r="I1068" s="64"/>
      <x:c r="J1068" s="63">
        <x:f t="shared" si="76"/>
        <x:v>0</x:v>
      </x:c>
      <x:c r="K1068" s="63" t="str">
        <x:f t="shared" si="74"/>
      </x:c>
      <x:c r="L1068" s="63">
        <x:f t="shared" si="77"/>
        <x:v>0</x:v>
      </x:c>
      <x:c r="M1068" s="61"/>
    </x:row>
    <x:row r="1069">
      <x:c r="A1069" s="61" t="str">
        <x:f>IF(E1069="","",MAX($A$6:A1068)+1)</x:f>
      </x:c>
      <x:c r="B1069" s="61"/>
      <x:c r="C1069" s="61"/>
      <x:c r="D1069" s="62"/>
      <x:c r="E1069" s="61"/>
      <x:c r="F1069" s="61"/>
      <x:c r="G1069" s="63"/>
      <x:c r="H1069" s="63">
        <x:f t="shared" si="75"/>
        <x:v>0</x:v>
      </x:c>
      <x:c r="I1069" s="64"/>
      <x:c r="J1069" s="63">
        <x:f t="shared" si="76"/>
        <x:v>0</x:v>
      </x:c>
      <x:c r="K1069" s="63" t="str">
        <x:f t="shared" si="74"/>
      </x:c>
      <x:c r="L1069" s="63">
        <x:f t="shared" si="77"/>
        <x:v>0</x:v>
      </x:c>
      <x:c r="M1069" s="61"/>
    </x:row>
    <x:row r="1070">
      <x:c r="A1070" s="61" t="str">
        <x:f>IF(E1070="","",MAX($A$6:A1069)+1)</x:f>
      </x:c>
      <x:c r="B1070" s="61"/>
      <x:c r="C1070" s="61"/>
      <x:c r="D1070" s="62"/>
      <x:c r="E1070" s="61"/>
      <x:c r="F1070" s="61"/>
      <x:c r="G1070" s="63"/>
      <x:c r="H1070" s="63">
        <x:f t="shared" si="75"/>
        <x:v>0</x:v>
      </x:c>
      <x:c r="I1070" s="64"/>
      <x:c r="J1070" s="63">
        <x:f t="shared" si="76"/>
        <x:v>0</x:v>
      </x:c>
      <x:c r="K1070" s="63" t="str">
        <x:f t="shared" si="74"/>
      </x:c>
      <x:c r="L1070" s="63">
        <x:f t="shared" si="77"/>
        <x:v>0</x:v>
      </x:c>
      <x:c r="M1070" s="61"/>
    </x:row>
    <x:row r="1071">
      <x:c r="A1071" s="61" t="str">
        <x:f>IF(E1071="","",MAX($A$6:A1070)+1)</x:f>
      </x:c>
      <x:c r="B1071" s="61"/>
      <x:c r="C1071" s="61"/>
      <x:c r="D1071" s="62"/>
      <x:c r="E1071" s="61"/>
      <x:c r="F1071" s="61"/>
      <x:c r="G1071" s="63"/>
      <x:c r="H1071" s="63">
        <x:f t="shared" si="75"/>
        <x:v>0</x:v>
      </x:c>
      <x:c r="I1071" s="64"/>
      <x:c r="J1071" s="63">
        <x:f t="shared" si="76"/>
        <x:v>0</x:v>
      </x:c>
      <x:c r="K1071" s="63" t="str">
        <x:f t="shared" si="74"/>
      </x:c>
      <x:c r="L1071" s="63">
        <x:f t="shared" si="77"/>
        <x:v>0</x:v>
      </x:c>
      <x:c r="M1071" s="61"/>
    </x:row>
    <x:row r="1072">
      <x:c r="A1072" s="61" t="str">
        <x:f>IF(E1072="","",MAX($A$6:A1071)+1)</x:f>
      </x:c>
      <x:c r="B1072" s="61"/>
      <x:c r="C1072" s="61"/>
      <x:c r="D1072" s="62"/>
      <x:c r="E1072" s="61"/>
      <x:c r="F1072" s="61"/>
      <x:c r="G1072" s="63"/>
      <x:c r="H1072" s="63">
        <x:f t="shared" si="75"/>
        <x:v>0</x:v>
      </x:c>
      <x:c r="I1072" s="64"/>
      <x:c r="J1072" s="63">
        <x:f t="shared" si="76"/>
        <x:v>0</x:v>
      </x:c>
      <x:c r="K1072" s="63" t="str">
        <x:f t="shared" si="74"/>
      </x:c>
      <x:c r="L1072" s="63">
        <x:f t="shared" si="77"/>
        <x:v>0</x:v>
      </x:c>
      <x:c r="M1072" s="61"/>
    </x:row>
    <x:row r="1073">
      <x:c r="A1073" s="61" t="str">
        <x:f>IF(E1073="","",MAX($A$6:A1072)+1)</x:f>
      </x:c>
      <x:c r="B1073" s="61"/>
      <x:c r="C1073" s="61"/>
      <x:c r="D1073" s="62"/>
      <x:c r="E1073" s="61"/>
      <x:c r="F1073" s="61"/>
      <x:c r="G1073" s="63"/>
      <x:c r="H1073" s="63">
        <x:f t="shared" si="75"/>
        <x:v>0</x:v>
      </x:c>
      <x:c r="I1073" s="64"/>
      <x:c r="J1073" s="63">
        <x:f t="shared" si="76"/>
        <x:v>0</x:v>
      </x:c>
      <x:c r="K1073" s="63" t="str">
        <x:f t="shared" si="74"/>
      </x:c>
      <x:c r="L1073" s="63">
        <x:f t="shared" si="77"/>
        <x:v>0</x:v>
      </x:c>
      <x:c r="M1073" s="61"/>
    </x:row>
    <x:row r="1074">
      <x:c r="A1074" s="61" t="str">
        <x:f>IF(E1074="","",MAX($A$6:A1073)+1)</x:f>
      </x:c>
      <x:c r="B1074" s="61"/>
      <x:c r="C1074" s="61"/>
      <x:c r="D1074" s="62"/>
      <x:c r="E1074" s="61"/>
      <x:c r="F1074" s="61"/>
      <x:c r="G1074" s="63"/>
      <x:c r="H1074" s="63">
        <x:f t="shared" si="75"/>
        <x:v>0</x:v>
      </x:c>
      <x:c r="I1074" s="64"/>
      <x:c r="J1074" s="63">
        <x:f t="shared" si="76"/>
        <x:v>0</x:v>
      </x:c>
      <x:c r="K1074" s="63" t="str">
        <x:f t="shared" si="74"/>
      </x:c>
      <x:c r="L1074" s="63">
        <x:f t="shared" si="77"/>
        <x:v>0</x:v>
      </x:c>
      <x:c r="M1074" s="61"/>
    </x:row>
    <x:row r="1075">
      <x:c r="A1075" s="61" t="str">
        <x:f>IF(E1075="","",MAX($A$6:A1074)+1)</x:f>
      </x:c>
      <x:c r="B1075" s="61"/>
      <x:c r="C1075" s="61"/>
      <x:c r="D1075" s="62"/>
      <x:c r="E1075" s="61"/>
      <x:c r="F1075" s="61"/>
      <x:c r="G1075" s="63"/>
      <x:c r="H1075" s="63">
        <x:f t="shared" si="75"/>
        <x:v>0</x:v>
      </x:c>
      <x:c r="I1075" s="64"/>
      <x:c r="J1075" s="63">
        <x:f t="shared" si="76"/>
        <x:v>0</x:v>
      </x:c>
      <x:c r="K1075" s="63" t="str">
        <x:f t="shared" si="74"/>
      </x:c>
      <x:c r="L1075" s="63">
        <x:f t="shared" si="77"/>
        <x:v>0</x:v>
      </x:c>
      <x:c r="M1075" s="61"/>
    </x:row>
    <x:row r="1076">
      <x:c r="A1076" s="61" t="str">
        <x:f>IF(E1076="","",MAX($A$6:A1075)+1)</x:f>
      </x:c>
      <x:c r="B1076" s="61"/>
      <x:c r="C1076" s="61"/>
      <x:c r="D1076" s="62"/>
      <x:c r="E1076" s="61"/>
      <x:c r="F1076" s="61"/>
      <x:c r="G1076" s="63"/>
      <x:c r="H1076" s="63">
        <x:f t="shared" si="75"/>
        <x:v>0</x:v>
      </x:c>
      <x:c r="I1076" s="64"/>
      <x:c r="J1076" s="63">
        <x:f t="shared" si="76"/>
        <x:v>0</x:v>
      </x:c>
      <x:c r="K1076" s="63" t="str">
        <x:f t="shared" si="74"/>
      </x:c>
      <x:c r="L1076" s="63">
        <x:f t="shared" si="77"/>
        <x:v>0</x:v>
      </x:c>
      <x:c r="M1076" s="61"/>
    </x:row>
    <x:row r="1077">
      <x:c r="A1077" s="61" t="str">
        <x:f>IF(E1077="","",MAX($A$6:A1076)+1)</x:f>
      </x:c>
      <x:c r="B1077" s="61"/>
      <x:c r="C1077" s="61"/>
      <x:c r="D1077" s="62"/>
      <x:c r="E1077" s="61"/>
      <x:c r="F1077" s="61"/>
      <x:c r="G1077" s="63"/>
      <x:c r="H1077" s="63">
        <x:f t="shared" si="75"/>
        <x:v>0</x:v>
      </x:c>
      <x:c r="I1077" s="64"/>
      <x:c r="J1077" s="63">
        <x:f t="shared" si="76"/>
        <x:v>0</x:v>
      </x:c>
      <x:c r="K1077" s="63" t="str">
        <x:f t="shared" si="74"/>
      </x:c>
      <x:c r="L1077" s="63">
        <x:f t="shared" si="77"/>
        <x:v>0</x:v>
      </x:c>
      <x:c r="M1077" s="61"/>
    </x:row>
    <x:row r="1078">
      <x:c r="A1078" s="61" t="str">
        <x:f>IF(E1078="","",MAX($A$6:A1077)+1)</x:f>
      </x:c>
      <x:c r="B1078" s="61"/>
      <x:c r="C1078" s="61"/>
      <x:c r="D1078" s="62"/>
      <x:c r="E1078" s="61"/>
      <x:c r="F1078" s="61"/>
      <x:c r="G1078" s="63"/>
      <x:c r="H1078" s="63">
        <x:f t="shared" si="75"/>
        <x:v>0</x:v>
      </x:c>
      <x:c r="I1078" s="64"/>
      <x:c r="J1078" s="63">
        <x:f t="shared" si="76"/>
        <x:v>0</x:v>
      </x:c>
      <x:c r="K1078" s="63" t="str">
        <x:f t="shared" ref="K1078:K1141" si="78">IFERROR(IF(G1078="","",MAX(1,G1078-J1078)),0)</x:f>
      </x:c>
      <x:c r="L1078" s="63">
        <x:f t="shared" si="77"/>
        <x:v>0</x:v>
      </x:c>
      <x:c r="M1078" s="61"/>
    </x:row>
    <x:row r="1079">
      <x:c r="A1079" s="61" t="str">
        <x:f>IF(E1079="","",MAX($A$6:A1078)+1)</x:f>
      </x:c>
      <x:c r="B1079" s="61"/>
      <x:c r="C1079" s="61"/>
      <x:c r="D1079" s="62"/>
      <x:c r="E1079" s="61"/>
      <x:c r="F1079" s="61"/>
      <x:c r="G1079" s="63"/>
      <x:c r="H1079" s="63">
        <x:f t="shared" si="75"/>
        <x:v>0</x:v>
      </x:c>
      <x:c r="I1079" s="64"/>
      <x:c r="J1079" s="63">
        <x:f t="shared" si="76"/>
        <x:v>0</x:v>
      </x:c>
      <x:c r="K1079" s="63" t="str">
        <x:f t="shared" si="78"/>
      </x:c>
      <x:c r="L1079" s="63">
        <x:f t="shared" si="77"/>
        <x:v>0</x:v>
      </x:c>
      <x:c r="M1079" s="61"/>
    </x:row>
    <x:row r="1080">
      <x:c r="A1080" s="61" t="str">
        <x:f>IF(E1080="","",MAX($A$6:A1079)+1)</x:f>
      </x:c>
      <x:c r="B1080" s="61"/>
      <x:c r="C1080" s="61"/>
      <x:c r="D1080" s="62"/>
      <x:c r="E1080" s="61"/>
      <x:c r="F1080" s="61"/>
      <x:c r="G1080" s="63"/>
      <x:c r="H1080" s="63">
        <x:f t="shared" si="75"/>
        <x:v>0</x:v>
      </x:c>
      <x:c r="I1080" s="64"/>
      <x:c r="J1080" s="63">
        <x:f t="shared" si="76"/>
        <x:v>0</x:v>
      </x:c>
      <x:c r="K1080" s="63" t="str">
        <x:f t="shared" si="78"/>
      </x:c>
      <x:c r="L1080" s="63">
        <x:f t="shared" si="77"/>
        <x:v>0</x:v>
      </x:c>
      <x:c r="M1080" s="61"/>
    </x:row>
    <x:row r="1081">
      <x:c r="A1081" s="61" t="str">
        <x:f>IF(E1081="","",MAX($A$6:A1080)+1)</x:f>
      </x:c>
      <x:c r="B1081" s="61"/>
      <x:c r="C1081" s="61"/>
      <x:c r="D1081" s="62"/>
      <x:c r="E1081" s="61"/>
      <x:c r="F1081" s="61"/>
      <x:c r="G1081" s="63"/>
      <x:c r="H1081" s="63">
        <x:f t="shared" si="75"/>
        <x:v>0</x:v>
      </x:c>
      <x:c r="I1081" s="64"/>
      <x:c r="J1081" s="63">
        <x:f t="shared" si="76"/>
        <x:v>0</x:v>
      </x:c>
      <x:c r="K1081" s="63" t="str">
        <x:f t="shared" si="78"/>
      </x:c>
      <x:c r="L1081" s="63">
        <x:f t="shared" si="77"/>
        <x:v>0</x:v>
      </x:c>
      <x:c r="M1081" s="61"/>
    </x:row>
    <x:row r="1082">
      <x:c r="A1082" s="61" t="str">
        <x:f>IF(E1082="","",MAX($A$6:A1081)+1)</x:f>
      </x:c>
      <x:c r="B1082" s="61"/>
      <x:c r="C1082" s="61"/>
      <x:c r="D1082" s="62"/>
      <x:c r="E1082" s="61"/>
      <x:c r="F1082" s="61"/>
      <x:c r="G1082" s="63"/>
      <x:c r="H1082" s="63">
        <x:f t="shared" si="75"/>
        <x:v>0</x:v>
      </x:c>
      <x:c r="I1082" s="64"/>
      <x:c r="J1082" s="63">
        <x:f t="shared" si="76"/>
        <x:v>0</x:v>
      </x:c>
      <x:c r="K1082" s="63" t="str">
        <x:f t="shared" si="78"/>
      </x:c>
      <x:c r="L1082" s="63">
        <x:f t="shared" si="77"/>
        <x:v>0</x:v>
      </x:c>
      <x:c r="M1082" s="61"/>
    </x:row>
    <x:row r="1083">
      <x:c r="A1083" s="61" t="str">
        <x:f>IF(E1083="","",MAX($A$6:A1082)+1)</x:f>
      </x:c>
      <x:c r="B1083" s="61"/>
      <x:c r="C1083" s="61"/>
      <x:c r="D1083" s="62"/>
      <x:c r="E1083" s="61"/>
      <x:c r="F1083" s="61"/>
      <x:c r="G1083" s="63"/>
      <x:c r="H1083" s="63">
        <x:f t="shared" si="75"/>
        <x:v>0</x:v>
      </x:c>
      <x:c r="I1083" s="64"/>
      <x:c r="J1083" s="63">
        <x:f t="shared" si="76"/>
        <x:v>0</x:v>
      </x:c>
      <x:c r="K1083" s="63" t="str">
        <x:f t="shared" si="78"/>
      </x:c>
      <x:c r="L1083" s="63">
        <x:f t="shared" si="77"/>
        <x:v>0</x:v>
      </x:c>
      <x:c r="M1083" s="61"/>
    </x:row>
    <x:row r="1084">
      <x:c r="A1084" s="61" t="str">
        <x:f>IF(E1084="","",MAX($A$6:A1083)+1)</x:f>
      </x:c>
      <x:c r="B1084" s="61"/>
      <x:c r="C1084" s="61"/>
      <x:c r="D1084" s="62"/>
      <x:c r="E1084" s="61"/>
      <x:c r="F1084" s="61"/>
      <x:c r="G1084" s="63"/>
      <x:c r="H1084" s="63">
        <x:f t="shared" si="75"/>
        <x:v>0</x:v>
      </x:c>
      <x:c r="I1084" s="64"/>
      <x:c r="J1084" s="63">
        <x:f t="shared" si="76"/>
        <x:v>0</x:v>
      </x:c>
      <x:c r="K1084" s="63" t="str">
        <x:f t="shared" si="78"/>
      </x:c>
      <x:c r="L1084" s="63">
        <x:f t="shared" si="77"/>
        <x:v>0</x:v>
      </x:c>
      <x:c r="M1084" s="61"/>
    </x:row>
    <x:row r="1085">
      <x:c r="A1085" s="61" t="str">
        <x:f>IF(E1085="","",MAX($A$6:A1084)+1)</x:f>
      </x:c>
      <x:c r="B1085" s="61"/>
      <x:c r="C1085" s="61"/>
      <x:c r="D1085" s="62"/>
      <x:c r="E1085" s="61"/>
      <x:c r="F1085" s="61"/>
      <x:c r="G1085" s="63"/>
      <x:c r="H1085" s="63">
        <x:f t="shared" si="75"/>
        <x:v>0</x:v>
      </x:c>
      <x:c r="I1085" s="64"/>
      <x:c r="J1085" s="63">
        <x:f t="shared" si="76"/>
        <x:v>0</x:v>
      </x:c>
      <x:c r="K1085" s="63" t="str">
        <x:f t="shared" si="78"/>
      </x:c>
      <x:c r="L1085" s="63">
        <x:f t="shared" si="77"/>
        <x:v>0</x:v>
      </x:c>
      <x:c r="M1085" s="61"/>
    </x:row>
    <x:row r="1086">
      <x:c r="A1086" s="61" t="str">
        <x:f>IF(E1086="","",MAX($A$6:A1085)+1)</x:f>
      </x:c>
      <x:c r="B1086" s="61"/>
      <x:c r="C1086" s="61"/>
      <x:c r="D1086" s="62"/>
      <x:c r="E1086" s="61"/>
      <x:c r="F1086" s="61"/>
      <x:c r="G1086" s="63"/>
      <x:c r="H1086" s="63">
        <x:f t="shared" si="75"/>
        <x:v>0</x:v>
      </x:c>
      <x:c r="I1086" s="64"/>
      <x:c r="J1086" s="63">
        <x:f t="shared" si="76"/>
        <x:v>0</x:v>
      </x:c>
      <x:c r="K1086" s="63" t="str">
        <x:f t="shared" si="78"/>
      </x:c>
      <x:c r="L1086" s="63">
        <x:f t="shared" si="77"/>
        <x:v>0</x:v>
      </x:c>
      <x:c r="M1086" s="61"/>
    </x:row>
    <x:row r="1087">
      <x:c r="A1087" s="61" t="str">
        <x:f>IF(E1087="","",MAX($A$6:A1086)+1)</x:f>
      </x:c>
      <x:c r="B1087" s="61"/>
      <x:c r="C1087" s="61"/>
      <x:c r="D1087" s="62"/>
      <x:c r="E1087" s="61"/>
      <x:c r="F1087" s="61"/>
      <x:c r="G1087" s="63"/>
      <x:c r="H1087" s="63">
        <x:f t="shared" si="75"/>
        <x:v>0</x:v>
      </x:c>
      <x:c r="I1087" s="64"/>
      <x:c r="J1087" s="63">
        <x:f t="shared" si="76"/>
        <x:v>0</x:v>
      </x:c>
      <x:c r="K1087" s="63" t="str">
        <x:f t="shared" si="78"/>
      </x:c>
      <x:c r="L1087" s="63">
        <x:f t="shared" si="77"/>
        <x:v>0</x:v>
      </x:c>
      <x:c r="M1087" s="61"/>
    </x:row>
    <x:row r="1088">
      <x:c r="A1088" s="61" t="str">
        <x:f>IF(E1088="","",MAX($A$6:A1087)+1)</x:f>
      </x:c>
      <x:c r="B1088" s="61"/>
      <x:c r="C1088" s="61"/>
      <x:c r="D1088" s="62"/>
      <x:c r="E1088" s="61"/>
      <x:c r="F1088" s="61"/>
      <x:c r="G1088" s="63"/>
      <x:c r="H1088" s="63">
        <x:f t="shared" si="75"/>
        <x:v>0</x:v>
      </x:c>
      <x:c r="I1088" s="64"/>
      <x:c r="J1088" s="63">
        <x:f t="shared" si="76"/>
        <x:v>0</x:v>
      </x:c>
      <x:c r="K1088" s="63" t="str">
        <x:f t="shared" si="78"/>
      </x:c>
      <x:c r="L1088" s="63">
        <x:f t="shared" si="77"/>
        <x:v>0</x:v>
      </x:c>
      <x:c r="M1088" s="61"/>
    </x:row>
    <x:row r="1089">
      <x:c r="A1089" s="61" t="str">
        <x:f>IF(E1089="","",MAX($A$6:A1088)+1)</x:f>
      </x:c>
      <x:c r="B1089" s="61"/>
      <x:c r="C1089" s="61"/>
      <x:c r="D1089" s="62"/>
      <x:c r="E1089" s="61"/>
      <x:c r="F1089" s="61"/>
      <x:c r="G1089" s="63"/>
      <x:c r="H1089" s="63">
        <x:f t="shared" si="75"/>
        <x:v>0</x:v>
      </x:c>
      <x:c r="I1089" s="64"/>
      <x:c r="J1089" s="63">
        <x:f t="shared" si="76"/>
        <x:v>0</x:v>
      </x:c>
      <x:c r="K1089" s="63" t="str">
        <x:f t="shared" si="78"/>
      </x:c>
      <x:c r="L1089" s="63">
        <x:f t="shared" si="77"/>
        <x:v>0</x:v>
      </x:c>
      <x:c r="M1089" s="61"/>
    </x:row>
    <x:row r="1090">
      <x:c r="A1090" s="61" t="str">
        <x:f>IF(E1090="","",MAX($A$6:A1089)+1)</x:f>
      </x:c>
      <x:c r="B1090" s="61"/>
      <x:c r="C1090" s="61"/>
      <x:c r="D1090" s="62"/>
      <x:c r="E1090" s="61"/>
      <x:c r="F1090" s="61"/>
      <x:c r="G1090" s="63"/>
      <x:c r="H1090" s="63">
        <x:f t="shared" si="75"/>
        <x:v>0</x:v>
      </x:c>
      <x:c r="I1090" s="64"/>
      <x:c r="J1090" s="63">
        <x:f t="shared" si="76"/>
        <x:v>0</x:v>
      </x:c>
      <x:c r="K1090" s="63" t="str">
        <x:f t="shared" si="78"/>
      </x:c>
      <x:c r="L1090" s="63">
        <x:f t="shared" si="77"/>
        <x:v>0</x:v>
      </x:c>
      <x:c r="M1090" s="61"/>
    </x:row>
    <x:row r="1091">
      <x:c r="A1091" s="61" t="str">
        <x:f>IF(E1091="","",MAX($A$6:A1090)+1)</x:f>
      </x:c>
      <x:c r="B1091" s="61"/>
      <x:c r="C1091" s="61"/>
      <x:c r="D1091" s="62"/>
      <x:c r="E1091" s="61"/>
      <x:c r="F1091" s="61"/>
      <x:c r="G1091" s="63"/>
      <x:c r="H1091" s="63">
        <x:f t="shared" si="75"/>
        <x:v>0</x:v>
      </x:c>
      <x:c r="I1091" s="64"/>
      <x:c r="J1091" s="63">
        <x:f t="shared" si="76"/>
        <x:v>0</x:v>
      </x:c>
      <x:c r="K1091" s="63" t="str">
        <x:f t="shared" si="78"/>
      </x:c>
      <x:c r="L1091" s="63">
        <x:f t="shared" si="77"/>
        <x:v>0</x:v>
      </x:c>
      <x:c r="M1091" s="61"/>
    </x:row>
    <x:row r="1092">
      <x:c r="A1092" s="61" t="str">
        <x:f>IF(E1092="","",MAX($A$6:A1091)+1)</x:f>
      </x:c>
      <x:c r="B1092" s="61"/>
      <x:c r="C1092" s="61"/>
      <x:c r="D1092" s="62"/>
      <x:c r="E1092" s="61"/>
      <x:c r="F1092" s="61"/>
      <x:c r="G1092" s="63"/>
      <x:c r="H1092" s="63">
        <x:f t="shared" si="75"/>
        <x:v>0</x:v>
      </x:c>
      <x:c r="I1092" s="64"/>
      <x:c r="J1092" s="63">
        <x:f t="shared" si="76"/>
        <x:v>0</x:v>
      </x:c>
      <x:c r="K1092" s="63" t="str">
        <x:f t="shared" si="78"/>
      </x:c>
      <x:c r="L1092" s="63">
        <x:f t="shared" si="77"/>
        <x:v>0</x:v>
      </x:c>
      <x:c r="M1092" s="61"/>
    </x:row>
    <x:row r="1093">
      <x:c r="A1093" s="61" t="str">
        <x:f>IF(E1093="","",MAX($A$6:A1092)+1)</x:f>
      </x:c>
      <x:c r="B1093" s="61"/>
      <x:c r="C1093" s="61"/>
      <x:c r="D1093" s="62"/>
      <x:c r="E1093" s="61"/>
      <x:c r="F1093" s="61"/>
      <x:c r="G1093" s="63"/>
      <x:c r="H1093" s="63">
        <x:f t="shared" si="75"/>
        <x:v>0</x:v>
      </x:c>
      <x:c r="I1093" s="64"/>
      <x:c r="J1093" s="63">
        <x:f t="shared" si="76"/>
        <x:v>0</x:v>
      </x:c>
      <x:c r="K1093" s="63" t="str">
        <x:f t="shared" si="78"/>
      </x:c>
      <x:c r="L1093" s="63">
        <x:f t="shared" si="77"/>
        <x:v>0</x:v>
      </x:c>
      <x:c r="M1093" s="61"/>
    </x:row>
    <x:row r="1094">
      <x:c r="A1094" s="61" t="str">
        <x:f>IF(E1094="","",MAX($A$6:A1093)+1)</x:f>
      </x:c>
      <x:c r="B1094" s="61"/>
      <x:c r="C1094" s="61"/>
      <x:c r="D1094" s="62"/>
      <x:c r="E1094" s="61"/>
      <x:c r="F1094" s="61"/>
      <x:c r="G1094" s="63"/>
      <x:c r="H1094" s="63" t="n">
        <x:f t="shared" ref="H1094:H1157" si="79">IFERROR(IF(OR($F$1="",D1094=""),0,MAX(0,$F$1-D1094)),0)</x:f>
        <x:v>0</x:v>
      </x:c>
      <x:c r="I1094" s="64"/>
      <x:c r="J1094" s="63" t="n">
        <x:f t="shared" ref="J1094:J1157" si="80">IFERROR(IF(OR(G1094="",I1094="",D1094="",$F$1=""),0,IF($F$1&lt;D1094,0,MIN(MAX(G1094-1,0),MAX(0,(G1094*I1094/365)*H1094)))),0)</x:f>
        <x:v>0</x:v>
      </x:c>
      <x:c r="K1094" s="63" t="str">
        <x:f t="shared" si="78"/>
      </x:c>
      <x:c r="L1094" s="63" t="n">
        <x:f t="shared" ref="L1094:L1157" si="81">IFERROR(IF(OR(G1094="",I1094="",D1094="",$F$1=""),0,IF($F$1&lt;D1094,0,IF(K1094&lt;=1,0,MIN(G1094*I1094/12,K1094-1)))),0)</x:f>
        <x:v>0</x:v>
      </x:c>
      <x:c r="M1094" s="61"/>
    </x:row>
    <x:row r="1095">
      <x:c r="A1095" s="61" t="str">
        <x:f>IF(E1095="","",MAX($A$6:A1094)+1)</x:f>
      </x:c>
      <x:c r="B1095" s="61"/>
      <x:c r="C1095" s="61"/>
      <x:c r="D1095" s="62"/>
      <x:c r="E1095" s="61"/>
      <x:c r="F1095" s="61"/>
      <x:c r="G1095" s="63"/>
      <x:c r="H1095" s="63">
        <x:f t="shared" si="79"/>
        <x:v>0</x:v>
      </x:c>
      <x:c r="I1095" s="64"/>
      <x:c r="J1095" s="63">
        <x:f t="shared" si="80"/>
        <x:v>0</x:v>
      </x:c>
      <x:c r="K1095" s="63" t="str">
        <x:f t="shared" si="78"/>
      </x:c>
      <x:c r="L1095" s="63">
        <x:f t="shared" si="81"/>
        <x:v>0</x:v>
      </x:c>
      <x:c r="M1095" s="61"/>
    </x:row>
    <x:row r="1096">
      <x:c r="A1096" s="61" t="str">
        <x:f>IF(E1096="","",MAX($A$6:A1095)+1)</x:f>
      </x:c>
      <x:c r="B1096" s="61"/>
      <x:c r="C1096" s="61"/>
      <x:c r="D1096" s="62"/>
      <x:c r="E1096" s="61"/>
      <x:c r="F1096" s="61"/>
      <x:c r="G1096" s="63"/>
      <x:c r="H1096" s="63">
        <x:f t="shared" si="79"/>
        <x:v>0</x:v>
      </x:c>
      <x:c r="I1096" s="64"/>
      <x:c r="J1096" s="63">
        <x:f t="shared" si="80"/>
        <x:v>0</x:v>
      </x:c>
      <x:c r="K1096" s="63" t="str">
        <x:f t="shared" si="78"/>
      </x:c>
      <x:c r="L1096" s="63">
        <x:f t="shared" si="81"/>
        <x:v>0</x:v>
      </x:c>
      <x:c r="M1096" s="61"/>
    </x:row>
    <x:row r="1097">
      <x:c r="A1097" s="61" t="str">
        <x:f>IF(E1097="","",MAX($A$6:A1096)+1)</x:f>
      </x:c>
      <x:c r="B1097" s="61"/>
      <x:c r="C1097" s="61"/>
      <x:c r="D1097" s="62"/>
      <x:c r="E1097" s="61"/>
      <x:c r="F1097" s="61"/>
      <x:c r="G1097" s="63"/>
      <x:c r="H1097" s="63">
        <x:f t="shared" si="79"/>
        <x:v>0</x:v>
      </x:c>
      <x:c r="I1097" s="64"/>
      <x:c r="J1097" s="63">
        <x:f t="shared" si="80"/>
        <x:v>0</x:v>
      </x:c>
      <x:c r="K1097" s="63" t="str">
        <x:f t="shared" si="78"/>
      </x:c>
      <x:c r="L1097" s="63">
        <x:f t="shared" si="81"/>
        <x:v>0</x:v>
      </x:c>
      <x:c r="M1097" s="61"/>
    </x:row>
    <x:row r="1098">
      <x:c r="A1098" s="61" t="str">
        <x:f>IF(E1098="","",MAX($A$6:A1097)+1)</x:f>
      </x:c>
      <x:c r="B1098" s="61"/>
      <x:c r="C1098" s="61"/>
      <x:c r="D1098" s="62"/>
      <x:c r="E1098" s="61"/>
      <x:c r="F1098" s="61"/>
      <x:c r="G1098" s="63"/>
      <x:c r="H1098" s="63">
        <x:f t="shared" si="79"/>
        <x:v>0</x:v>
      </x:c>
      <x:c r="I1098" s="64"/>
      <x:c r="J1098" s="63">
        <x:f t="shared" si="80"/>
        <x:v>0</x:v>
      </x:c>
      <x:c r="K1098" s="63" t="str">
        <x:f t="shared" si="78"/>
      </x:c>
      <x:c r="L1098" s="63">
        <x:f t="shared" si="81"/>
        <x:v>0</x:v>
      </x:c>
      <x:c r="M1098" s="61"/>
    </x:row>
    <x:row r="1099">
      <x:c r="A1099" s="61" t="str">
        <x:f>IF(E1099="","",MAX($A$6:A1098)+1)</x:f>
      </x:c>
      <x:c r="B1099" s="61"/>
      <x:c r="C1099" s="61"/>
      <x:c r="D1099" s="62"/>
      <x:c r="E1099" s="61"/>
      <x:c r="F1099" s="61"/>
      <x:c r="G1099" s="63"/>
      <x:c r="H1099" s="63">
        <x:f t="shared" si="79"/>
        <x:v>0</x:v>
      </x:c>
      <x:c r="I1099" s="64"/>
      <x:c r="J1099" s="63">
        <x:f t="shared" si="80"/>
        <x:v>0</x:v>
      </x:c>
      <x:c r="K1099" s="63" t="str">
        <x:f t="shared" si="78"/>
      </x:c>
      <x:c r="L1099" s="63">
        <x:f t="shared" si="81"/>
        <x:v>0</x:v>
      </x:c>
      <x:c r="M1099" s="61"/>
    </x:row>
    <x:row r="1100">
      <x:c r="A1100" s="61" t="str">
        <x:f>IF(E1100="","",MAX($A$6:A1099)+1)</x:f>
      </x:c>
      <x:c r="B1100" s="61"/>
      <x:c r="C1100" s="61"/>
      <x:c r="D1100" s="62"/>
      <x:c r="E1100" s="61"/>
      <x:c r="F1100" s="61"/>
      <x:c r="G1100" s="63"/>
      <x:c r="H1100" s="63">
        <x:f t="shared" si="79"/>
        <x:v>0</x:v>
      </x:c>
      <x:c r="I1100" s="64"/>
      <x:c r="J1100" s="63">
        <x:f t="shared" si="80"/>
        <x:v>0</x:v>
      </x:c>
      <x:c r="K1100" s="63" t="str">
        <x:f t="shared" si="78"/>
      </x:c>
      <x:c r="L1100" s="63">
        <x:f t="shared" si="81"/>
        <x:v>0</x:v>
      </x:c>
      <x:c r="M1100" s="61"/>
    </x:row>
    <x:row r="1101">
      <x:c r="A1101" s="61" t="str">
        <x:f>IF(E1101="","",MAX($A$6:A1100)+1)</x:f>
      </x:c>
      <x:c r="B1101" s="61"/>
      <x:c r="C1101" s="61"/>
      <x:c r="D1101" s="62"/>
      <x:c r="E1101" s="61"/>
      <x:c r="F1101" s="61"/>
      <x:c r="G1101" s="63"/>
      <x:c r="H1101" s="63">
        <x:f t="shared" si="79"/>
        <x:v>0</x:v>
      </x:c>
      <x:c r="I1101" s="64"/>
      <x:c r="J1101" s="63">
        <x:f t="shared" si="80"/>
        <x:v>0</x:v>
      </x:c>
      <x:c r="K1101" s="63" t="str">
        <x:f t="shared" si="78"/>
      </x:c>
      <x:c r="L1101" s="63">
        <x:f t="shared" si="81"/>
        <x:v>0</x:v>
      </x:c>
      <x:c r="M1101" s="61"/>
    </x:row>
    <x:row r="1102">
      <x:c r="A1102" s="61" t="str">
        <x:f>IF(E1102="","",MAX($A$6:A1101)+1)</x:f>
      </x:c>
      <x:c r="B1102" s="61"/>
      <x:c r="C1102" s="61"/>
      <x:c r="D1102" s="62"/>
      <x:c r="E1102" s="61"/>
      <x:c r="F1102" s="61"/>
      <x:c r="G1102" s="63"/>
      <x:c r="H1102" s="63">
        <x:f t="shared" si="79"/>
        <x:v>0</x:v>
      </x:c>
      <x:c r="I1102" s="64"/>
      <x:c r="J1102" s="63">
        <x:f t="shared" si="80"/>
        <x:v>0</x:v>
      </x:c>
      <x:c r="K1102" s="63" t="str">
        <x:f t="shared" si="78"/>
      </x:c>
      <x:c r="L1102" s="63">
        <x:f t="shared" si="81"/>
        <x:v>0</x:v>
      </x:c>
      <x:c r="M1102" s="61"/>
    </x:row>
    <x:row r="1103">
      <x:c r="A1103" s="61" t="str">
        <x:f>IF(E1103="","",MAX($A$6:A1102)+1)</x:f>
      </x:c>
      <x:c r="B1103" s="61"/>
      <x:c r="C1103" s="61"/>
      <x:c r="D1103" s="62"/>
      <x:c r="E1103" s="61"/>
      <x:c r="F1103" s="61"/>
      <x:c r="G1103" s="63"/>
      <x:c r="H1103" s="63">
        <x:f t="shared" si="79"/>
        <x:v>0</x:v>
      </x:c>
      <x:c r="I1103" s="64"/>
      <x:c r="J1103" s="63">
        <x:f t="shared" si="80"/>
        <x:v>0</x:v>
      </x:c>
      <x:c r="K1103" s="63" t="str">
        <x:f t="shared" si="78"/>
      </x:c>
      <x:c r="L1103" s="63">
        <x:f t="shared" si="81"/>
        <x:v>0</x:v>
      </x:c>
      <x:c r="M1103" s="61"/>
    </x:row>
    <x:row r="1104">
      <x:c r="A1104" s="61" t="str">
        <x:f>IF(E1104="","",MAX($A$6:A1103)+1)</x:f>
      </x:c>
      <x:c r="B1104" s="61"/>
      <x:c r="C1104" s="61"/>
      <x:c r="D1104" s="62"/>
      <x:c r="E1104" s="61"/>
      <x:c r="F1104" s="61"/>
      <x:c r="G1104" s="63"/>
      <x:c r="H1104" s="63">
        <x:f t="shared" si="79"/>
        <x:v>0</x:v>
      </x:c>
      <x:c r="I1104" s="64"/>
      <x:c r="J1104" s="63">
        <x:f t="shared" si="80"/>
        <x:v>0</x:v>
      </x:c>
      <x:c r="K1104" s="63" t="str">
        <x:f t="shared" si="78"/>
      </x:c>
      <x:c r="L1104" s="63">
        <x:f t="shared" si="81"/>
        <x:v>0</x:v>
      </x:c>
      <x:c r="M1104" s="61"/>
    </x:row>
    <x:row r="1105">
      <x:c r="A1105" s="61" t="str">
        <x:f>IF(E1105="","",MAX($A$6:A1104)+1)</x:f>
      </x:c>
      <x:c r="B1105" s="61"/>
      <x:c r="C1105" s="61"/>
      <x:c r="D1105" s="62"/>
      <x:c r="E1105" s="61"/>
      <x:c r="F1105" s="61"/>
      <x:c r="G1105" s="63"/>
      <x:c r="H1105" s="63">
        <x:f t="shared" si="79"/>
        <x:v>0</x:v>
      </x:c>
      <x:c r="I1105" s="64"/>
      <x:c r="J1105" s="63">
        <x:f t="shared" si="80"/>
        <x:v>0</x:v>
      </x:c>
      <x:c r="K1105" s="63" t="str">
        <x:f t="shared" si="78"/>
      </x:c>
      <x:c r="L1105" s="63">
        <x:f t="shared" si="81"/>
        <x:v>0</x:v>
      </x:c>
      <x:c r="M1105" s="61"/>
    </x:row>
    <x:row r="1106">
      <x:c r="A1106" s="61" t="str">
        <x:f>IF(E1106="","",MAX($A$6:A1105)+1)</x:f>
      </x:c>
      <x:c r="B1106" s="61"/>
      <x:c r="C1106" s="61"/>
      <x:c r="D1106" s="62"/>
      <x:c r="E1106" s="61"/>
      <x:c r="F1106" s="61"/>
      <x:c r="G1106" s="63"/>
      <x:c r="H1106" s="63">
        <x:f t="shared" si="79"/>
        <x:v>0</x:v>
      </x:c>
      <x:c r="I1106" s="64"/>
      <x:c r="J1106" s="63">
        <x:f t="shared" si="80"/>
        <x:v>0</x:v>
      </x:c>
      <x:c r="K1106" s="63" t="str">
        <x:f t="shared" si="78"/>
      </x:c>
      <x:c r="L1106" s="63">
        <x:f t="shared" si="81"/>
        <x:v>0</x:v>
      </x:c>
      <x:c r="M1106" s="61"/>
    </x:row>
    <x:row r="1107">
      <x:c r="A1107" s="61" t="str">
        <x:f>IF(E1107="","",MAX($A$6:A1106)+1)</x:f>
      </x:c>
      <x:c r="B1107" s="61"/>
      <x:c r="C1107" s="61"/>
      <x:c r="D1107" s="62"/>
      <x:c r="E1107" s="61"/>
      <x:c r="F1107" s="61"/>
      <x:c r="G1107" s="63"/>
      <x:c r="H1107" s="63">
        <x:f t="shared" si="79"/>
        <x:v>0</x:v>
      </x:c>
      <x:c r="I1107" s="64"/>
      <x:c r="J1107" s="63">
        <x:f t="shared" si="80"/>
        <x:v>0</x:v>
      </x:c>
      <x:c r="K1107" s="63" t="str">
        <x:f t="shared" si="78"/>
      </x:c>
      <x:c r="L1107" s="63">
        <x:f t="shared" si="81"/>
        <x:v>0</x:v>
      </x:c>
      <x:c r="M1107" s="61"/>
    </x:row>
    <x:row r="1108">
      <x:c r="A1108" s="61" t="str">
        <x:f>IF(E1108="","",MAX($A$6:A1107)+1)</x:f>
      </x:c>
      <x:c r="B1108" s="61"/>
      <x:c r="C1108" s="61"/>
      <x:c r="D1108" s="62"/>
      <x:c r="E1108" s="61"/>
      <x:c r="F1108" s="61"/>
      <x:c r="G1108" s="63"/>
      <x:c r="H1108" s="63">
        <x:f t="shared" si="79"/>
        <x:v>0</x:v>
      </x:c>
      <x:c r="I1108" s="64"/>
      <x:c r="J1108" s="63">
        <x:f t="shared" si="80"/>
        <x:v>0</x:v>
      </x:c>
      <x:c r="K1108" s="63" t="str">
        <x:f t="shared" si="78"/>
      </x:c>
      <x:c r="L1108" s="63">
        <x:f t="shared" si="81"/>
        <x:v>0</x:v>
      </x:c>
      <x:c r="M1108" s="61"/>
    </x:row>
    <x:row r="1109">
      <x:c r="A1109" s="61" t="str">
        <x:f>IF(E1109="","",MAX($A$6:A1108)+1)</x:f>
      </x:c>
      <x:c r="B1109" s="61"/>
      <x:c r="C1109" s="61"/>
      <x:c r="D1109" s="62"/>
      <x:c r="E1109" s="61"/>
      <x:c r="F1109" s="61"/>
      <x:c r="G1109" s="63"/>
      <x:c r="H1109" s="63">
        <x:f t="shared" si="79"/>
        <x:v>0</x:v>
      </x:c>
      <x:c r="I1109" s="64"/>
      <x:c r="J1109" s="63">
        <x:f t="shared" si="80"/>
        <x:v>0</x:v>
      </x:c>
      <x:c r="K1109" s="63" t="str">
        <x:f t="shared" si="78"/>
      </x:c>
      <x:c r="L1109" s="63">
        <x:f t="shared" si="81"/>
        <x:v>0</x:v>
      </x:c>
      <x:c r="M1109" s="61"/>
    </x:row>
    <x:row r="1110">
      <x:c r="A1110" s="61" t="str">
        <x:f>IF(E1110="","",MAX($A$6:A1109)+1)</x:f>
      </x:c>
      <x:c r="B1110" s="61"/>
      <x:c r="C1110" s="61"/>
      <x:c r="D1110" s="62"/>
      <x:c r="E1110" s="61"/>
      <x:c r="F1110" s="61"/>
      <x:c r="G1110" s="63"/>
      <x:c r="H1110" s="63">
        <x:f t="shared" si="79"/>
        <x:v>0</x:v>
      </x:c>
      <x:c r="I1110" s="64"/>
      <x:c r="J1110" s="63">
        <x:f t="shared" si="80"/>
        <x:v>0</x:v>
      </x:c>
      <x:c r="K1110" s="63" t="str">
        <x:f t="shared" si="78"/>
      </x:c>
      <x:c r="L1110" s="63">
        <x:f t="shared" si="81"/>
        <x:v>0</x:v>
      </x:c>
      <x:c r="M1110" s="61"/>
    </x:row>
    <x:row r="1111">
      <x:c r="A1111" s="61" t="str">
        <x:f>IF(E1111="","",MAX($A$6:A1110)+1)</x:f>
      </x:c>
      <x:c r="B1111" s="61"/>
      <x:c r="C1111" s="61"/>
      <x:c r="D1111" s="62"/>
      <x:c r="E1111" s="61"/>
      <x:c r="F1111" s="61"/>
      <x:c r="G1111" s="63"/>
      <x:c r="H1111" s="63">
        <x:f t="shared" si="79"/>
        <x:v>0</x:v>
      </x:c>
      <x:c r="I1111" s="64"/>
      <x:c r="J1111" s="63">
        <x:f t="shared" si="80"/>
        <x:v>0</x:v>
      </x:c>
      <x:c r="K1111" s="63" t="str">
        <x:f t="shared" si="78"/>
      </x:c>
      <x:c r="L1111" s="63">
        <x:f t="shared" si="81"/>
        <x:v>0</x:v>
      </x:c>
      <x:c r="M1111" s="61"/>
    </x:row>
    <x:row r="1112">
      <x:c r="A1112" s="61" t="str">
        <x:f>IF(E1112="","",MAX($A$6:A1111)+1)</x:f>
      </x:c>
      <x:c r="B1112" s="61"/>
      <x:c r="C1112" s="61"/>
      <x:c r="D1112" s="62"/>
      <x:c r="E1112" s="61"/>
      <x:c r="F1112" s="61"/>
      <x:c r="G1112" s="63"/>
      <x:c r="H1112" s="63">
        <x:f t="shared" si="79"/>
        <x:v>0</x:v>
      </x:c>
      <x:c r="I1112" s="64"/>
      <x:c r="J1112" s="63">
        <x:f t="shared" si="80"/>
        <x:v>0</x:v>
      </x:c>
      <x:c r="K1112" s="63" t="str">
        <x:f t="shared" si="78"/>
      </x:c>
      <x:c r="L1112" s="63">
        <x:f t="shared" si="81"/>
        <x:v>0</x:v>
      </x:c>
      <x:c r="M1112" s="61"/>
    </x:row>
    <x:row r="1113">
      <x:c r="A1113" s="61" t="str">
        <x:f>IF(E1113="","",MAX($A$6:A1112)+1)</x:f>
      </x:c>
      <x:c r="B1113" s="61"/>
      <x:c r="C1113" s="61"/>
      <x:c r="D1113" s="62"/>
      <x:c r="E1113" s="61"/>
      <x:c r="F1113" s="61"/>
      <x:c r="G1113" s="63"/>
      <x:c r="H1113" s="63">
        <x:f t="shared" si="79"/>
        <x:v>0</x:v>
      </x:c>
      <x:c r="I1113" s="64"/>
      <x:c r="J1113" s="63">
        <x:f t="shared" si="80"/>
        <x:v>0</x:v>
      </x:c>
      <x:c r="K1113" s="63" t="str">
        <x:f t="shared" si="78"/>
      </x:c>
      <x:c r="L1113" s="63">
        <x:f t="shared" si="81"/>
        <x:v>0</x:v>
      </x:c>
      <x:c r="M1113" s="61"/>
    </x:row>
    <x:row r="1114">
      <x:c r="A1114" s="61" t="str">
        <x:f>IF(E1114="","",MAX($A$6:A1113)+1)</x:f>
      </x:c>
      <x:c r="B1114" s="61"/>
      <x:c r="C1114" s="61"/>
      <x:c r="D1114" s="62"/>
      <x:c r="E1114" s="61"/>
      <x:c r="F1114" s="61"/>
      <x:c r="G1114" s="63"/>
      <x:c r="H1114" s="63">
        <x:f t="shared" si="79"/>
        <x:v>0</x:v>
      </x:c>
      <x:c r="I1114" s="64"/>
      <x:c r="J1114" s="63">
        <x:f t="shared" si="80"/>
        <x:v>0</x:v>
      </x:c>
      <x:c r="K1114" s="63" t="str">
        <x:f t="shared" si="78"/>
      </x:c>
      <x:c r="L1114" s="63">
        <x:f t="shared" si="81"/>
        <x:v>0</x:v>
      </x:c>
      <x:c r="M1114" s="61"/>
    </x:row>
    <x:row r="1115">
      <x:c r="A1115" s="61" t="str">
        <x:f>IF(E1115="","",MAX($A$6:A1114)+1)</x:f>
      </x:c>
      <x:c r="B1115" s="61"/>
      <x:c r="C1115" s="61"/>
      <x:c r="D1115" s="62"/>
      <x:c r="E1115" s="61"/>
      <x:c r="F1115" s="61"/>
      <x:c r="G1115" s="63"/>
      <x:c r="H1115" s="63">
        <x:f t="shared" si="79"/>
        <x:v>0</x:v>
      </x:c>
      <x:c r="I1115" s="64"/>
      <x:c r="J1115" s="63">
        <x:f t="shared" si="80"/>
        <x:v>0</x:v>
      </x:c>
      <x:c r="K1115" s="63" t="str">
        <x:f t="shared" si="78"/>
      </x:c>
      <x:c r="L1115" s="63">
        <x:f t="shared" si="81"/>
        <x:v>0</x:v>
      </x:c>
      <x:c r="M1115" s="61"/>
    </x:row>
    <x:row r="1116">
      <x:c r="A1116" s="61" t="str">
        <x:f>IF(E1116="","",MAX($A$6:A1115)+1)</x:f>
      </x:c>
      <x:c r="B1116" s="61"/>
      <x:c r="C1116" s="61"/>
      <x:c r="D1116" s="62"/>
      <x:c r="E1116" s="61"/>
      <x:c r="F1116" s="61"/>
      <x:c r="G1116" s="63"/>
      <x:c r="H1116" s="63">
        <x:f t="shared" si="79"/>
        <x:v>0</x:v>
      </x:c>
      <x:c r="I1116" s="64"/>
      <x:c r="J1116" s="63">
        <x:f t="shared" si="80"/>
        <x:v>0</x:v>
      </x:c>
      <x:c r="K1116" s="63" t="str">
        <x:f t="shared" si="78"/>
      </x:c>
      <x:c r="L1116" s="63">
        <x:f t="shared" si="81"/>
        <x:v>0</x:v>
      </x:c>
      <x:c r="M1116" s="61"/>
    </x:row>
    <x:row r="1117">
      <x:c r="A1117" s="61" t="str">
        <x:f>IF(E1117="","",MAX($A$6:A1116)+1)</x:f>
      </x:c>
      <x:c r="B1117" s="61"/>
      <x:c r="C1117" s="61"/>
      <x:c r="D1117" s="62"/>
      <x:c r="E1117" s="61"/>
      <x:c r="F1117" s="61"/>
      <x:c r="G1117" s="63"/>
      <x:c r="H1117" s="63">
        <x:f t="shared" si="79"/>
        <x:v>0</x:v>
      </x:c>
      <x:c r="I1117" s="64"/>
      <x:c r="J1117" s="63">
        <x:f t="shared" si="80"/>
        <x:v>0</x:v>
      </x:c>
      <x:c r="K1117" s="63" t="str">
        <x:f t="shared" si="78"/>
      </x:c>
      <x:c r="L1117" s="63">
        <x:f t="shared" si="81"/>
        <x:v>0</x:v>
      </x:c>
      <x:c r="M1117" s="61"/>
    </x:row>
    <x:row r="1118">
      <x:c r="A1118" s="61" t="str">
        <x:f>IF(E1118="","",MAX($A$6:A1117)+1)</x:f>
      </x:c>
      <x:c r="B1118" s="61"/>
      <x:c r="C1118" s="61"/>
      <x:c r="D1118" s="62"/>
      <x:c r="E1118" s="61"/>
      <x:c r="F1118" s="61"/>
      <x:c r="G1118" s="63"/>
      <x:c r="H1118" s="63">
        <x:f t="shared" si="79"/>
        <x:v>0</x:v>
      </x:c>
      <x:c r="I1118" s="64"/>
      <x:c r="J1118" s="63">
        <x:f t="shared" si="80"/>
        <x:v>0</x:v>
      </x:c>
      <x:c r="K1118" s="63" t="str">
        <x:f t="shared" si="78"/>
      </x:c>
      <x:c r="L1118" s="63">
        <x:f t="shared" si="81"/>
        <x:v>0</x:v>
      </x:c>
      <x:c r="M1118" s="61"/>
    </x:row>
    <x:row r="1119">
      <x:c r="A1119" s="61" t="str">
        <x:f>IF(E1119="","",MAX($A$6:A1118)+1)</x:f>
      </x:c>
      <x:c r="B1119" s="61"/>
      <x:c r="C1119" s="61"/>
      <x:c r="D1119" s="62"/>
      <x:c r="E1119" s="61"/>
      <x:c r="F1119" s="61"/>
      <x:c r="G1119" s="63"/>
      <x:c r="H1119" s="63">
        <x:f t="shared" si="79"/>
        <x:v>0</x:v>
      </x:c>
      <x:c r="I1119" s="64"/>
      <x:c r="J1119" s="63">
        <x:f t="shared" si="80"/>
        <x:v>0</x:v>
      </x:c>
      <x:c r="K1119" s="63" t="str">
        <x:f t="shared" si="78"/>
      </x:c>
      <x:c r="L1119" s="63">
        <x:f t="shared" si="81"/>
        <x:v>0</x:v>
      </x:c>
      <x:c r="M1119" s="61"/>
    </x:row>
    <x:row r="1120">
      <x:c r="A1120" s="61" t="str">
        <x:f>IF(E1120="","",MAX($A$6:A1119)+1)</x:f>
      </x:c>
      <x:c r="B1120" s="61"/>
      <x:c r="C1120" s="61"/>
      <x:c r="D1120" s="62"/>
      <x:c r="E1120" s="61"/>
      <x:c r="F1120" s="61"/>
      <x:c r="G1120" s="63"/>
      <x:c r="H1120" s="63">
        <x:f t="shared" si="79"/>
        <x:v>0</x:v>
      </x:c>
      <x:c r="I1120" s="64"/>
      <x:c r="J1120" s="63">
        <x:f t="shared" si="80"/>
        <x:v>0</x:v>
      </x:c>
      <x:c r="K1120" s="63" t="str">
        <x:f t="shared" si="78"/>
      </x:c>
      <x:c r="L1120" s="63">
        <x:f t="shared" si="81"/>
        <x:v>0</x:v>
      </x:c>
      <x:c r="M1120" s="61"/>
    </x:row>
    <x:row r="1121">
      <x:c r="A1121" s="61" t="str">
        <x:f>IF(E1121="","",MAX($A$6:A1120)+1)</x:f>
      </x:c>
      <x:c r="B1121" s="61"/>
      <x:c r="C1121" s="61"/>
      <x:c r="D1121" s="62"/>
      <x:c r="E1121" s="61"/>
      <x:c r="F1121" s="61"/>
      <x:c r="G1121" s="63"/>
      <x:c r="H1121" s="63">
        <x:f t="shared" si="79"/>
        <x:v>0</x:v>
      </x:c>
      <x:c r="I1121" s="64"/>
      <x:c r="J1121" s="63">
        <x:f t="shared" si="80"/>
        <x:v>0</x:v>
      </x:c>
      <x:c r="K1121" s="63" t="str">
        <x:f t="shared" si="78"/>
      </x:c>
      <x:c r="L1121" s="63">
        <x:f t="shared" si="81"/>
        <x:v>0</x:v>
      </x:c>
      <x:c r="M1121" s="61"/>
    </x:row>
    <x:row r="1122">
      <x:c r="A1122" s="61" t="str">
        <x:f>IF(E1122="","",MAX($A$6:A1121)+1)</x:f>
      </x:c>
      <x:c r="B1122" s="61"/>
      <x:c r="C1122" s="61"/>
      <x:c r="D1122" s="62"/>
      <x:c r="E1122" s="61"/>
      <x:c r="F1122" s="61"/>
      <x:c r="G1122" s="63"/>
      <x:c r="H1122" s="63">
        <x:f t="shared" si="79"/>
        <x:v>0</x:v>
      </x:c>
      <x:c r="I1122" s="64"/>
      <x:c r="J1122" s="63">
        <x:f t="shared" si="80"/>
        <x:v>0</x:v>
      </x:c>
      <x:c r="K1122" s="63" t="str">
        <x:f t="shared" si="78"/>
      </x:c>
      <x:c r="L1122" s="63">
        <x:f t="shared" si="81"/>
        <x:v>0</x:v>
      </x:c>
      <x:c r="M1122" s="61"/>
    </x:row>
    <x:row r="1123">
      <x:c r="A1123" s="61" t="str">
        <x:f>IF(E1123="","",MAX($A$6:A1122)+1)</x:f>
      </x:c>
      <x:c r="B1123" s="61"/>
      <x:c r="C1123" s="61"/>
      <x:c r="D1123" s="62"/>
      <x:c r="E1123" s="61"/>
      <x:c r="F1123" s="61"/>
      <x:c r="G1123" s="63"/>
      <x:c r="H1123" s="63">
        <x:f t="shared" si="79"/>
        <x:v>0</x:v>
      </x:c>
      <x:c r="I1123" s="64"/>
      <x:c r="J1123" s="63">
        <x:f t="shared" si="80"/>
        <x:v>0</x:v>
      </x:c>
      <x:c r="K1123" s="63" t="str">
        <x:f t="shared" si="78"/>
      </x:c>
      <x:c r="L1123" s="63">
        <x:f t="shared" si="81"/>
        <x:v>0</x:v>
      </x:c>
      <x:c r="M1123" s="61"/>
    </x:row>
    <x:row r="1124">
      <x:c r="A1124" s="61" t="str">
        <x:f>IF(E1124="","",MAX($A$6:A1123)+1)</x:f>
      </x:c>
      <x:c r="B1124" s="61"/>
      <x:c r="C1124" s="61"/>
      <x:c r="D1124" s="62"/>
      <x:c r="E1124" s="61"/>
      <x:c r="F1124" s="61"/>
      <x:c r="G1124" s="63"/>
      <x:c r="H1124" s="63">
        <x:f t="shared" si="79"/>
        <x:v>0</x:v>
      </x:c>
      <x:c r="I1124" s="64"/>
      <x:c r="J1124" s="63">
        <x:f t="shared" si="80"/>
        <x:v>0</x:v>
      </x:c>
      <x:c r="K1124" s="63" t="str">
        <x:f t="shared" si="78"/>
      </x:c>
      <x:c r="L1124" s="63">
        <x:f t="shared" si="81"/>
        <x:v>0</x:v>
      </x:c>
      <x:c r="M1124" s="61"/>
    </x:row>
    <x:row r="1125">
      <x:c r="A1125" s="61" t="str">
        <x:f>IF(E1125="","",MAX($A$6:A1124)+1)</x:f>
      </x:c>
      <x:c r="B1125" s="61"/>
      <x:c r="C1125" s="61"/>
      <x:c r="D1125" s="62"/>
      <x:c r="E1125" s="61"/>
      <x:c r="F1125" s="61"/>
      <x:c r="G1125" s="63"/>
      <x:c r="H1125" s="63">
        <x:f t="shared" si="79"/>
        <x:v>0</x:v>
      </x:c>
      <x:c r="I1125" s="64"/>
      <x:c r="J1125" s="63">
        <x:f t="shared" si="80"/>
        <x:v>0</x:v>
      </x:c>
      <x:c r="K1125" s="63" t="str">
        <x:f t="shared" si="78"/>
      </x:c>
      <x:c r="L1125" s="63">
        <x:f t="shared" si="81"/>
        <x:v>0</x:v>
      </x:c>
      <x:c r="M1125" s="61"/>
    </x:row>
    <x:row r="1126">
      <x:c r="A1126" s="61" t="str">
        <x:f>IF(E1126="","",MAX($A$6:A1125)+1)</x:f>
      </x:c>
      <x:c r="B1126" s="61"/>
      <x:c r="C1126" s="61"/>
      <x:c r="D1126" s="62"/>
      <x:c r="E1126" s="61"/>
      <x:c r="F1126" s="61"/>
      <x:c r="G1126" s="63"/>
      <x:c r="H1126" s="63">
        <x:f t="shared" si="79"/>
        <x:v>0</x:v>
      </x:c>
      <x:c r="I1126" s="64"/>
      <x:c r="J1126" s="63">
        <x:f t="shared" si="80"/>
        <x:v>0</x:v>
      </x:c>
      <x:c r="K1126" s="63" t="str">
        <x:f t="shared" si="78"/>
      </x:c>
      <x:c r="L1126" s="63">
        <x:f t="shared" si="81"/>
        <x:v>0</x:v>
      </x:c>
      <x:c r="M1126" s="61"/>
    </x:row>
    <x:row r="1127">
      <x:c r="A1127" s="61" t="str">
        <x:f>IF(E1127="","",MAX($A$6:A1126)+1)</x:f>
      </x:c>
      <x:c r="B1127" s="61"/>
      <x:c r="C1127" s="61"/>
      <x:c r="D1127" s="62"/>
      <x:c r="E1127" s="61"/>
      <x:c r="F1127" s="61"/>
      <x:c r="G1127" s="63"/>
      <x:c r="H1127" s="63">
        <x:f t="shared" si="79"/>
        <x:v>0</x:v>
      </x:c>
      <x:c r="I1127" s="64"/>
      <x:c r="J1127" s="63">
        <x:f t="shared" si="80"/>
        <x:v>0</x:v>
      </x:c>
      <x:c r="K1127" s="63" t="str">
        <x:f t="shared" si="78"/>
      </x:c>
      <x:c r="L1127" s="63">
        <x:f t="shared" si="81"/>
        <x:v>0</x:v>
      </x:c>
      <x:c r="M1127" s="61"/>
    </x:row>
    <x:row r="1128">
      <x:c r="A1128" s="61" t="str">
        <x:f>IF(E1128="","",MAX($A$6:A1127)+1)</x:f>
      </x:c>
      <x:c r="B1128" s="61"/>
      <x:c r="C1128" s="61"/>
      <x:c r="D1128" s="62"/>
      <x:c r="E1128" s="61"/>
      <x:c r="F1128" s="61"/>
      <x:c r="G1128" s="63"/>
      <x:c r="H1128" s="63">
        <x:f t="shared" si="79"/>
        <x:v>0</x:v>
      </x:c>
      <x:c r="I1128" s="64"/>
      <x:c r="J1128" s="63">
        <x:f t="shared" si="80"/>
        <x:v>0</x:v>
      </x:c>
      <x:c r="K1128" s="63" t="str">
        <x:f t="shared" si="78"/>
      </x:c>
      <x:c r="L1128" s="63">
        <x:f t="shared" si="81"/>
        <x:v>0</x:v>
      </x:c>
      <x:c r="M1128" s="61"/>
    </x:row>
    <x:row r="1129">
      <x:c r="A1129" s="61" t="str">
        <x:f>IF(E1129="","",MAX($A$6:A1128)+1)</x:f>
      </x:c>
      <x:c r="B1129" s="61"/>
      <x:c r="C1129" s="61"/>
      <x:c r="D1129" s="62"/>
      <x:c r="E1129" s="61"/>
      <x:c r="F1129" s="61"/>
      <x:c r="G1129" s="63"/>
      <x:c r="H1129" s="63">
        <x:f t="shared" si="79"/>
        <x:v>0</x:v>
      </x:c>
      <x:c r="I1129" s="64"/>
      <x:c r="J1129" s="63">
        <x:f t="shared" si="80"/>
        <x:v>0</x:v>
      </x:c>
      <x:c r="K1129" s="63" t="str">
        <x:f t="shared" si="78"/>
      </x:c>
      <x:c r="L1129" s="63">
        <x:f t="shared" si="81"/>
        <x:v>0</x:v>
      </x:c>
      <x:c r="M1129" s="61"/>
    </x:row>
    <x:row r="1130">
      <x:c r="A1130" s="61" t="str">
        <x:f>IF(E1130="","",MAX($A$6:A1129)+1)</x:f>
      </x:c>
      <x:c r="B1130" s="61"/>
      <x:c r="C1130" s="61"/>
      <x:c r="D1130" s="62"/>
      <x:c r="E1130" s="61"/>
      <x:c r="F1130" s="61"/>
      <x:c r="G1130" s="63"/>
      <x:c r="H1130" s="63">
        <x:f t="shared" si="79"/>
        <x:v>0</x:v>
      </x:c>
      <x:c r="I1130" s="64"/>
      <x:c r="J1130" s="63">
        <x:f t="shared" si="80"/>
        <x:v>0</x:v>
      </x:c>
      <x:c r="K1130" s="63" t="str">
        <x:f t="shared" si="78"/>
      </x:c>
      <x:c r="L1130" s="63">
        <x:f t="shared" si="81"/>
        <x:v>0</x:v>
      </x:c>
      <x:c r="M1130" s="61"/>
    </x:row>
    <x:row r="1131">
      <x:c r="A1131" s="61" t="str">
        <x:f>IF(E1131="","",MAX($A$6:A1130)+1)</x:f>
      </x:c>
      <x:c r="B1131" s="61"/>
      <x:c r="C1131" s="61"/>
      <x:c r="D1131" s="62"/>
      <x:c r="E1131" s="61"/>
      <x:c r="F1131" s="61"/>
      <x:c r="G1131" s="63"/>
      <x:c r="H1131" s="63">
        <x:f t="shared" si="79"/>
        <x:v>0</x:v>
      </x:c>
      <x:c r="I1131" s="64"/>
      <x:c r="J1131" s="63">
        <x:f t="shared" si="80"/>
        <x:v>0</x:v>
      </x:c>
      <x:c r="K1131" s="63" t="str">
        <x:f t="shared" si="78"/>
      </x:c>
      <x:c r="L1131" s="63">
        <x:f t="shared" si="81"/>
        <x:v>0</x:v>
      </x:c>
      <x:c r="M1131" s="61"/>
    </x:row>
    <x:row r="1132">
      <x:c r="A1132" s="61" t="str">
        <x:f>IF(E1132="","",MAX($A$6:A1131)+1)</x:f>
      </x:c>
      <x:c r="B1132" s="61"/>
      <x:c r="C1132" s="61"/>
      <x:c r="D1132" s="62"/>
      <x:c r="E1132" s="61"/>
      <x:c r="F1132" s="61"/>
      <x:c r="G1132" s="63"/>
      <x:c r="H1132" s="63">
        <x:f t="shared" si="79"/>
        <x:v>0</x:v>
      </x:c>
      <x:c r="I1132" s="64"/>
      <x:c r="J1132" s="63">
        <x:f t="shared" si="80"/>
        <x:v>0</x:v>
      </x:c>
      <x:c r="K1132" s="63" t="str">
        <x:f t="shared" si="78"/>
      </x:c>
      <x:c r="L1132" s="63">
        <x:f t="shared" si="81"/>
        <x:v>0</x:v>
      </x:c>
      <x:c r="M1132" s="61"/>
    </x:row>
    <x:row r="1133">
      <x:c r="A1133" s="61" t="str">
        <x:f>IF(E1133="","",MAX($A$6:A1132)+1)</x:f>
      </x:c>
      <x:c r="B1133" s="61"/>
      <x:c r="C1133" s="61"/>
      <x:c r="D1133" s="62"/>
      <x:c r="E1133" s="61"/>
      <x:c r="F1133" s="61"/>
      <x:c r="G1133" s="63"/>
      <x:c r="H1133" s="63">
        <x:f t="shared" si="79"/>
        <x:v>0</x:v>
      </x:c>
      <x:c r="I1133" s="64"/>
      <x:c r="J1133" s="63">
        <x:f t="shared" si="80"/>
        <x:v>0</x:v>
      </x:c>
      <x:c r="K1133" s="63" t="str">
        <x:f t="shared" si="78"/>
      </x:c>
      <x:c r="L1133" s="63">
        <x:f t="shared" si="81"/>
        <x:v>0</x:v>
      </x:c>
      <x:c r="M1133" s="61"/>
    </x:row>
    <x:row r="1134">
      <x:c r="A1134" s="61" t="str">
        <x:f>IF(E1134="","",MAX($A$6:A1133)+1)</x:f>
      </x:c>
      <x:c r="B1134" s="61"/>
      <x:c r="C1134" s="61"/>
      <x:c r="D1134" s="62"/>
      <x:c r="E1134" s="61"/>
      <x:c r="F1134" s="61"/>
      <x:c r="G1134" s="63"/>
      <x:c r="H1134" s="63">
        <x:f t="shared" si="79"/>
        <x:v>0</x:v>
      </x:c>
      <x:c r="I1134" s="64"/>
      <x:c r="J1134" s="63">
        <x:f t="shared" si="80"/>
        <x:v>0</x:v>
      </x:c>
      <x:c r="K1134" s="63" t="str">
        <x:f t="shared" si="78"/>
      </x:c>
      <x:c r="L1134" s="63">
        <x:f t="shared" si="81"/>
        <x:v>0</x:v>
      </x:c>
      <x:c r="M1134" s="61"/>
    </x:row>
    <x:row r="1135">
      <x:c r="A1135" s="61" t="str">
        <x:f>IF(E1135="","",MAX($A$6:A1134)+1)</x:f>
      </x:c>
      <x:c r="B1135" s="61"/>
      <x:c r="C1135" s="61"/>
      <x:c r="D1135" s="62"/>
      <x:c r="E1135" s="61"/>
      <x:c r="F1135" s="61"/>
      <x:c r="G1135" s="63"/>
      <x:c r="H1135" s="63">
        <x:f t="shared" si="79"/>
        <x:v>0</x:v>
      </x:c>
      <x:c r="I1135" s="64"/>
      <x:c r="J1135" s="63">
        <x:f t="shared" si="80"/>
        <x:v>0</x:v>
      </x:c>
      <x:c r="K1135" s="63" t="str">
        <x:f t="shared" si="78"/>
      </x:c>
      <x:c r="L1135" s="63">
        <x:f t="shared" si="81"/>
        <x:v>0</x:v>
      </x:c>
      <x:c r="M1135" s="61"/>
    </x:row>
    <x:row r="1136">
      <x:c r="A1136" s="61" t="str">
        <x:f>IF(E1136="","",MAX($A$6:A1135)+1)</x:f>
      </x:c>
      <x:c r="B1136" s="61"/>
      <x:c r="C1136" s="61"/>
      <x:c r="D1136" s="62"/>
      <x:c r="E1136" s="61"/>
      <x:c r="F1136" s="61"/>
      <x:c r="G1136" s="63"/>
      <x:c r="H1136" s="63">
        <x:f t="shared" si="79"/>
        <x:v>0</x:v>
      </x:c>
      <x:c r="I1136" s="64"/>
      <x:c r="J1136" s="63">
        <x:f t="shared" si="80"/>
        <x:v>0</x:v>
      </x:c>
      <x:c r="K1136" s="63" t="str">
        <x:f t="shared" si="78"/>
      </x:c>
      <x:c r="L1136" s="63">
        <x:f t="shared" si="81"/>
        <x:v>0</x:v>
      </x:c>
      <x:c r="M1136" s="61"/>
    </x:row>
    <x:row r="1137">
      <x:c r="A1137" s="61" t="str">
        <x:f>IF(E1137="","",MAX($A$6:A1136)+1)</x:f>
      </x:c>
      <x:c r="B1137" s="61"/>
      <x:c r="C1137" s="61"/>
      <x:c r="D1137" s="62"/>
      <x:c r="E1137" s="61"/>
      <x:c r="F1137" s="61"/>
      <x:c r="G1137" s="63"/>
      <x:c r="H1137" s="63">
        <x:f t="shared" si="79"/>
        <x:v>0</x:v>
      </x:c>
      <x:c r="I1137" s="64"/>
      <x:c r="J1137" s="63">
        <x:f t="shared" si="80"/>
        <x:v>0</x:v>
      </x:c>
      <x:c r="K1137" s="63" t="str">
        <x:f t="shared" si="78"/>
      </x:c>
      <x:c r="L1137" s="63">
        <x:f t="shared" si="81"/>
        <x:v>0</x:v>
      </x:c>
      <x:c r="M1137" s="61"/>
    </x:row>
    <x:row r="1138">
      <x:c r="A1138" s="61" t="str">
        <x:f>IF(E1138="","",MAX($A$6:A1137)+1)</x:f>
      </x:c>
      <x:c r="B1138" s="61"/>
      <x:c r="C1138" s="61"/>
      <x:c r="D1138" s="62"/>
      <x:c r="E1138" s="61"/>
      <x:c r="F1138" s="61"/>
      <x:c r="G1138" s="63"/>
      <x:c r="H1138" s="63">
        <x:f t="shared" si="79"/>
        <x:v>0</x:v>
      </x:c>
      <x:c r="I1138" s="64"/>
      <x:c r="J1138" s="63">
        <x:f t="shared" si="80"/>
        <x:v>0</x:v>
      </x:c>
      <x:c r="K1138" s="63" t="str">
        <x:f t="shared" si="78"/>
      </x:c>
      <x:c r="L1138" s="63">
        <x:f t="shared" si="81"/>
        <x:v>0</x:v>
      </x:c>
      <x:c r="M1138" s="61"/>
    </x:row>
    <x:row r="1139">
      <x:c r="A1139" s="61" t="str">
        <x:f>IF(E1139="","",MAX($A$6:A1138)+1)</x:f>
      </x:c>
      <x:c r="B1139" s="61"/>
      <x:c r="C1139" s="61"/>
      <x:c r="D1139" s="62"/>
      <x:c r="E1139" s="61"/>
      <x:c r="F1139" s="61"/>
      <x:c r="G1139" s="63"/>
      <x:c r="H1139" s="63">
        <x:f t="shared" si="79"/>
        <x:v>0</x:v>
      </x:c>
      <x:c r="I1139" s="64"/>
      <x:c r="J1139" s="63">
        <x:f t="shared" si="80"/>
        <x:v>0</x:v>
      </x:c>
      <x:c r="K1139" s="63" t="str">
        <x:f t="shared" si="78"/>
      </x:c>
      <x:c r="L1139" s="63">
        <x:f t="shared" si="81"/>
        <x:v>0</x:v>
      </x:c>
      <x:c r="M1139" s="61"/>
    </x:row>
    <x:row r="1140">
      <x:c r="A1140" s="61" t="str">
        <x:f>IF(E1140="","",MAX($A$6:A1139)+1)</x:f>
      </x:c>
      <x:c r="B1140" s="61"/>
      <x:c r="C1140" s="61"/>
      <x:c r="D1140" s="62"/>
      <x:c r="E1140" s="61"/>
      <x:c r="F1140" s="61"/>
      <x:c r="G1140" s="63"/>
      <x:c r="H1140" s="63">
        <x:f t="shared" si="79"/>
        <x:v>0</x:v>
      </x:c>
      <x:c r="I1140" s="64"/>
      <x:c r="J1140" s="63">
        <x:f t="shared" si="80"/>
        <x:v>0</x:v>
      </x:c>
      <x:c r="K1140" s="63" t="str">
        <x:f t="shared" si="78"/>
      </x:c>
      <x:c r="L1140" s="63">
        <x:f t="shared" si="81"/>
        <x:v>0</x:v>
      </x:c>
      <x:c r="M1140" s="61"/>
    </x:row>
    <x:row r="1141">
      <x:c r="A1141" s="61" t="str">
        <x:f>IF(E1141="","",MAX($A$6:A1140)+1)</x:f>
      </x:c>
      <x:c r="B1141" s="61"/>
      <x:c r="C1141" s="61"/>
      <x:c r="D1141" s="62"/>
      <x:c r="E1141" s="61"/>
      <x:c r="F1141" s="61"/>
      <x:c r="G1141" s="63"/>
      <x:c r="H1141" s="63">
        <x:f t="shared" si="79"/>
        <x:v>0</x:v>
      </x:c>
      <x:c r="I1141" s="64"/>
      <x:c r="J1141" s="63">
        <x:f t="shared" si="80"/>
        <x:v>0</x:v>
      </x:c>
      <x:c r="K1141" s="63" t="str">
        <x:f t="shared" si="78"/>
      </x:c>
      <x:c r="L1141" s="63">
        <x:f t="shared" si="81"/>
        <x:v>0</x:v>
      </x:c>
      <x:c r="M1141" s="61"/>
    </x:row>
    <x:row r="1142">
      <x:c r="A1142" s="61" t="str">
        <x:f>IF(E1142="","",MAX($A$6:A1141)+1)</x:f>
      </x:c>
      <x:c r="B1142" s="61"/>
      <x:c r="C1142" s="61"/>
      <x:c r="D1142" s="62"/>
      <x:c r="E1142" s="61"/>
      <x:c r="F1142" s="61"/>
      <x:c r="G1142" s="63"/>
      <x:c r="H1142" s="63">
        <x:f t="shared" si="79"/>
        <x:v>0</x:v>
      </x:c>
      <x:c r="I1142" s="64"/>
      <x:c r="J1142" s="63">
        <x:f t="shared" si="80"/>
        <x:v>0</x:v>
      </x:c>
      <x:c r="K1142" s="63" t="str">
        <x:f t="shared" ref="K1142:K1205" si="82">IFERROR(IF(G1142="","",MAX(1,G1142-J1142)),0)</x:f>
      </x:c>
      <x:c r="L1142" s="63">
        <x:f t="shared" si="81"/>
        <x:v>0</x:v>
      </x:c>
      <x:c r="M1142" s="61"/>
    </x:row>
    <x:row r="1143">
      <x:c r="A1143" s="61" t="str">
        <x:f>IF(E1143="","",MAX($A$6:A1142)+1)</x:f>
      </x:c>
      <x:c r="B1143" s="61"/>
      <x:c r="C1143" s="61"/>
      <x:c r="D1143" s="62"/>
      <x:c r="E1143" s="61"/>
      <x:c r="F1143" s="61"/>
      <x:c r="G1143" s="63"/>
      <x:c r="H1143" s="63">
        <x:f t="shared" si="79"/>
        <x:v>0</x:v>
      </x:c>
      <x:c r="I1143" s="64"/>
      <x:c r="J1143" s="63">
        <x:f t="shared" si="80"/>
        <x:v>0</x:v>
      </x:c>
      <x:c r="K1143" s="63" t="str">
        <x:f t="shared" si="82"/>
      </x:c>
      <x:c r="L1143" s="63">
        <x:f t="shared" si="81"/>
        <x:v>0</x:v>
      </x:c>
      <x:c r="M1143" s="61"/>
    </x:row>
    <x:row r="1144">
      <x:c r="A1144" s="61" t="str">
        <x:f>IF(E1144="","",MAX($A$6:A1143)+1)</x:f>
      </x:c>
      <x:c r="B1144" s="61"/>
      <x:c r="C1144" s="61"/>
      <x:c r="D1144" s="62"/>
      <x:c r="E1144" s="61"/>
      <x:c r="F1144" s="61"/>
      <x:c r="G1144" s="63"/>
      <x:c r="H1144" s="63">
        <x:f t="shared" si="79"/>
        <x:v>0</x:v>
      </x:c>
      <x:c r="I1144" s="64"/>
      <x:c r="J1144" s="63">
        <x:f t="shared" si="80"/>
        <x:v>0</x:v>
      </x:c>
      <x:c r="K1144" s="63" t="str">
        <x:f t="shared" si="82"/>
      </x:c>
      <x:c r="L1144" s="63">
        <x:f t="shared" si="81"/>
        <x:v>0</x:v>
      </x:c>
      <x:c r="M1144" s="61"/>
    </x:row>
    <x:row r="1145">
      <x:c r="A1145" s="61" t="str">
        <x:f>IF(E1145="","",MAX($A$6:A1144)+1)</x:f>
      </x:c>
      <x:c r="B1145" s="61"/>
      <x:c r="C1145" s="61"/>
      <x:c r="D1145" s="62"/>
      <x:c r="E1145" s="61"/>
      <x:c r="F1145" s="61"/>
      <x:c r="G1145" s="63"/>
      <x:c r="H1145" s="63">
        <x:f t="shared" si="79"/>
        <x:v>0</x:v>
      </x:c>
      <x:c r="I1145" s="64"/>
      <x:c r="J1145" s="63">
        <x:f t="shared" si="80"/>
        <x:v>0</x:v>
      </x:c>
      <x:c r="K1145" s="63" t="str">
        <x:f t="shared" si="82"/>
      </x:c>
      <x:c r="L1145" s="63">
        <x:f t="shared" si="81"/>
        <x:v>0</x:v>
      </x:c>
      <x:c r="M1145" s="61"/>
    </x:row>
    <x:row r="1146">
      <x:c r="A1146" s="61" t="str">
        <x:f>IF(E1146="","",MAX($A$6:A1145)+1)</x:f>
      </x:c>
      <x:c r="B1146" s="61"/>
      <x:c r="C1146" s="61"/>
      <x:c r="D1146" s="62"/>
      <x:c r="E1146" s="61"/>
      <x:c r="F1146" s="61"/>
      <x:c r="G1146" s="63"/>
      <x:c r="H1146" s="63">
        <x:f t="shared" si="79"/>
        <x:v>0</x:v>
      </x:c>
      <x:c r="I1146" s="64"/>
      <x:c r="J1146" s="63">
        <x:f t="shared" si="80"/>
        <x:v>0</x:v>
      </x:c>
      <x:c r="K1146" s="63" t="str">
        <x:f t="shared" si="82"/>
      </x:c>
      <x:c r="L1146" s="63">
        <x:f t="shared" si="81"/>
        <x:v>0</x:v>
      </x:c>
      <x:c r="M1146" s="61"/>
    </x:row>
    <x:row r="1147">
      <x:c r="A1147" s="61" t="str">
        <x:f>IF(E1147="","",MAX($A$6:A1146)+1)</x:f>
      </x:c>
      <x:c r="B1147" s="61"/>
      <x:c r="C1147" s="61"/>
      <x:c r="D1147" s="62"/>
      <x:c r="E1147" s="61"/>
      <x:c r="F1147" s="61"/>
      <x:c r="G1147" s="63"/>
      <x:c r="H1147" s="63">
        <x:f t="shared" si="79"/>
        <x:v>0</x:v>
      </x:c>
      <x:c r="I1147" s="64"/>
      <x:c r="J1147" s="63">
        <x:f t="shared" si="80"/>
        <x:v>0</x:v>
      </x:c>
      <x:c r="K1147" s="63" t="str">
        <x:f t="shared" si="82"/>
      </x:c>
      <x:c r="L1147" s="63">
        <x:f t="shared" si="81"/>
        <x:v>0</x:v>
      </x:c>
      <x:c r="M1147" s="61"/>
    </x:row>
    <x:row r="1148">
      <x:c r="A1148" s="61" t="str">
        <x:f>IF(E1148="","",MAX($A$6:A1147)+1)</x:f>
      </x:c>
      <x:c r="B1148" s="61"/>
      <x:c r="C1148" s="61"/>
      <x:c r="D1148" s="62"/>
      <x:c r="E1148" s="61"/>
      <x:c r="F1148" s="61"/>
      <x:c r="G1148" s="63"/>
      <x:c r="H1148" s="63">
        <x:f t="shared" si="79"/>
        <x:v>0</x:v>
      </x:c>
      <x:c r="I1148" s="64"/>
      <x:c r="J1148" s="63">
        <x:f t="shared" si="80"/>
        <x:v>0</x:v>
      </x:c>
      <x:c r="K1148" s="63" t="str">
        <x:f t="shared" si="82"/>
      </x:c>
      <x:c r="L1148" s="63">
        <x:f t="shared" si="81"/>
        <x:v>0</x:v>
      </x:c>
      <x:c r="M1148" s="61"/>
    </x:row>
    <x:row r="1149">
      <x:c r="A1149" s="61" t="str">
        <x:f>IF(E1149="","",MAX($A$6:A1148)+1)</x:f>
      </x:c>
      <x:c r="B1149" s="61"/>
      <x:c r="C1149" s="61"/>
      <x:c r="D1149" s="62"/>
      <x:c r="E1149" s="61"/>
      <x:c r="F1149" s="61"/>
      <x:c r="G1149" s="63"/>
      <x:c r="H1149" s="63">
        <x:f t="shared" si="79"/>
        <x:v>0</x:v>
      </x:c>
      <x:c r="I1149" s="64"/>
      <x:c r="J1149" s="63">
        <x:f t="shared" si="80"/>
        <x:v>0</x:v>
      </x:c>
      <x:c r="K1149" s="63" t="str">
        <x:f t="shared" si="82"/>
      </x:c>
      <x:c r="L1149" s="63">
        <x:f t="shared" si="81"/>
        <x:v>0</x:v>
      </x:c>
      <x:c r="M1149" s="61"/>
    </x:row>
    <x:row r="1150">
      <x:c r="A1150" s="61" t="str">
        <x:f>IF(E1150="","",MAX($A$6:A1149)+1)</x:f>
      </x:c>
      <x:c r="B1150" s="61"/>
      <x:c r="C1150" s="61"/>
      <x:c r="D1150" s="62"/>
      <x:c r="E1150" s="61"/>
      <x:c r="F1150" s="61"/>
      <x:c r="G1150" s="63"/>
      <x:c r="H1150" s="63">
        <x:f t="shared" si="79"/>
        <x:v>0</x:v>
      </x:c>
      <x:c r="I1150" s="64"/>
      <x:c r="J1150" s="63">
        <x:f t="shared" si="80"/>
        <x:v>0</x:v>
      </x:c>
      <x:c r="K1150" s="63" t="str">
        <x:f t="shared" si="82"/>
      </x:c>
      <x:c r="L1150" s="63">
        <x:f t="shared" si="81"/>
        <x:v>0</x:v>
      </x:c>
      <x:c r="M1150" s="61"/>
    </x:row>
    <x:row r="1151">
      <x:c r="A1151" s="61" t="str">
        <x:f>IF(E1151="","",MAX($A$6:A1150)+1)</x:f>
      </x:c>
      <x:c r="B1151" s="61"/>
      <x:c r="C1151" s="61"/>
      <x:c r="D1151" s="62"/>
      <x:c r="E1151" s="61"/>
      <x:c r="F1151" s="61"/>
      <x:c r="G1151" s="63"/>
      <x:c r="H1151" s="63">
        <x:f t="shared" si="79"/>
        <x:v>0</x:v>
      </x:c>
      <x:c r="I1151" s="64"/>
      <x:c r="J1151" s="63">
        <x:f t="shared" si="80"/>
        <x:v>0</x:v>
      </x:c>
      <x:c r="K1151" s="63" t="str">
        <x:f t="shared" si="82"/>
      </x:c>
      <x:c r="L1151" s="63">
        <x:f t="shared" si="81"/>
        <x:v>0</x:v>
      </x:c>
      <x:c r="M1151" s="61"/>
    </x:row>
    <x:row r="1152">
      <x:c r="A1152" s="61" t="str">
        <x:f>IF(E1152="","",MAX($A$6:A1151)+1)</x:f>
      </x:c>
      <x:c r="B1152" s="61"/>
      <x:c r="C1152" s="61"/>
      <x:c r="D1152" s="62"/>
      <x:c r="E1152" s="61"/>
      <x:c r="F1152" s="61"/>
      <x:c r="G1152" s="63"/>
      <x:c r="H1152" s="63">
        <x:f t="shared" si="79"/>
        <x:v>0</x:v>
      </x:c>
      <x:c r="I1152" s="64"/>
      <x:c r="J1152" s="63">
        <x:f t="shared" si="80"/>
        <x:v>0</x:v>
      </x:c>
      <x:c r="K1152" s="63" t="str">
        <x:f t="shared" si="82"/>
      </x:c>
      <x:c r="L1152" s="63">
        <x:f t="shared" si="81"/>
        <x:v>0</x:v>
      </x:c>
      <x:c r="M1152" s="61"/>
    </x:row>
    <x:row r="1153">
      <x:c r="A1153" s="61" t="str">
        <x:f>IF(E1153="","",MAX($A$6:A1152)+1)</x:f>
      </x:c>
      <x:c r="B1153" s="61"/>
      <x:c r="C1153" s="61"/>
      <x:c r="D1153" s="62"/>
      <x:c r="E1153" s="61"/>
      <x:c r="F1153" s="61"/>
      <x:c r="G1153" s="63"/>
      <x:c r="H1153" s="63">
        <x:f t="shared" si="79"/>
        <x:v>0</x:v>
      </x:c>
      <x:c r="I1153" s="64"/>
      <x:c r="J1153" s="63">
        <x:f t="shared" si="80"/>
        <x:v>0</x:v>
      </x:c>
      <x:c r="K1153" s="63" t="str">
        <x:f t="shared" si="82"/>
      </x:c>
      <x:c r="L1153" s="63">
        <x:f t="shared" si="81"/>
        <x:v>0</x:v>
      </x:c>
      <x:c r="M1153" s="61"/>
    </x:row>
    <x:row r="1154">
      <x:c r="A1154" s="61" t="str">
        <x:f>IF(E1154="","",MAX($A$6:A1153)+1)</x:f>
      </x:c>
      <x:c r="B1154" s="61"/>
      <x:c r="C1154" s="61"/>
      <x:c r="D1154" s="62"/>
      <x:c r="E1154" s="61"/>
      <x:c r="F1154" s="61"/>
      <x:c r="G1154" s="63"/>
      <x:c r="H1154" s="63">
        <x:f t="shared" si="79"/>
        <x:v>0</x:v>
      </x:c>
      <x:c r="I1154" s="64"/>
      <x:c r="J1154" s="63">
        <x:f t="shared" si="80"/>
        <x:v>0</x:v>
      </x:c>
      <x:c r="K1154" s="63" t="str">
        <x:f t="shared" si="82"/>
      </x:c>
      <x:c r="L1154" s="63">
        <x:f t="shared" si="81"/>
        <x:v>0</x:v>
      </x:c>
      <x:c r="M1154" s="61"/>
    </x:row>
    <x:row r="1155">
      <x:c r="A1155" s="61" t="str">
        <x:f>IF(E1155="","",MAX($A$6:A1154)+1)</x:f>
      </x:c>
      <x:c r="B1155" s="61"/>
      <x:c r="C1155" s="61"/>
      <x:c r="D1155" s="62"/>
      <x:c r="E1155" s="61"/>
      <x:c r="F1155" s="61"/>
      <x:c r="G1155" s="63"/>
      <x:c r="H1155" s="63">
        <x:f t="shared" si="79"/>
        <x:v>0</x:v>
      </x:c>
      <x:c r="I1155" s="64"/>
      <x:c r="J1155" s="63">
        <x:f t="shared" si="80"/>
        <x:v>0</x:v>
      </x:c>
      <x:c r="K1155" s="63" t="str">
        <x:f t="shared" si="82"/>
      </x:c>
      <x:c r="L1155" s="63">
        <x:f t="shared" si="81"/>
        <x:v>0</x:v>
      </x:c>
      <x:c r="M1155" s="61"/>
    </x:row>
    <x:row r="1156">
      <x:c r="A1156" s="61" t="str">
        <x:f>IF(E1156="","",MAX($A$6:A1155)+1)</x:f>
      </x:c>
      <x:c r="B1156" s="61"/>
      <x:c r="C1156" s="61"/>
      <x:c r="D1156" s="62"/>
      <x:c r="E1156" s="61"/>
      <x:c r="F1156" s="61"/>
      <x:c r="G1156" s="63"/>
      <x:c r="H1156" s="63">
        <x:f t="shared" si="79"/>
        <x:v>0</x:v>
      </x:c>
      <x:c r="I1156" s="64"/>
      <x:c r="J1156" s="63">
        <x:f t="shared" si="80"/>
        <x:v>0</x:v>
      </x:c>
      <x:c r="K1156" s="63" t="str">
        <x:f t="shared" si="82"/>
      </x:c>
      <x:c r="L1156" s="63">
        <x:f t="shared" si="81"/>
        <x:v>0</x:v>
      </x:c>
      <x:c r="M1156" s="61"/>
    </x:row>
    <x:row r="1157">
      <x:c r="A1157" s="61" t="str">
        <x:f>IF(E1157="","",MAX($A$6:A1156)+1)</x:f>
      </x:c>
      <x:c r="B1157" s="61"/>
      <x:c r="C1157" s="61"/>
      <x:c r="D1157" s="62"/>
      <x:c r="E1157" s="61"/>
      <x:c r="F1157" s="61"/>
      <x:c r="G1157" s="63"/>
      <x:c r="H1157" s="63">
        <x:f t="shared" si="79"/>
        <x:v>0</x:v>
      </x:c>
      <x:c r="I1157" s="64"/>
      <x:c r="J1157" s="63">
        <x:f t="shared" si="80"/>
        <x:v>0</x:v>
      </x:c>
      <x:c r="K1157" s="63" t="str">
        <x:f t="shared" si="82"/>
      </x:c>
      <x:c r="L1157" s="63">
        <x:f t="shared" si="81"/>
        <x:v>0</x:v>
      </x:c>
      <x:c r="M1157" s="61"/>
    </x:row>
    <x:row r="1158">
      <x:c r="A1158" s="61" t="str">
        <x:f>IF(E1158="","",MAX($A$6:A1157)+1)</x:f>
      </x:c>
      <x:c r="B1158" s="61"/>
      <x:c r="C1158" s="61"/>
      <x:c r="D1158" s="62"/>
      <x:c r="E1158" s="61"/>
      <x:c r="F1158" s="61"/>
      <x:c r="G1158" s="63"/>
      <x:c r="H1158" s="63" t="n">
        <x:f t="shared" ref="H1158:H1221" si="83">IFERROR(IF(OR($F$1="",D1158=""),0,MAX(0,$F$1-D1158)),0)</x:f>
        <x:v>0</x:v>
      </x:c>
      <x:c r="I1158" s="64"/>
      <x:c r="J1158" s="63" t="n">
        <x:f t="shared" ref="J1158:J1221" si="84">IFERROR(IF(OR(G1158="",I1158="",D1158="",$F$1=""),0,IF($F$1&lt;D1158,0,MIN(MAX(G1158-1,0),MAX(0,(G1158*I1158/365)*H1158)))),0)</x:f>
        <x:v>0</x:v>
      </x:c>
      <x:c r="K1158" s="63" t="str">
        <x:f t="shared" si="82"/>
      </x:c>
      <x:c r="L1158" s="63" t="n">
        <x:f t="shared" ref="L1158:L1221" si="85">IFERROR(IF(OR(G1158="",I1158="",D1158="",$F$1=""),0,IF($F$1&lt;D1158,0,IF(K1158&lt;=1,0,MIN(G1158*I1158/12,K1158-1)))),0)</x:f>
        <x:v>0</x:v>
      </x:c>
      <x:c r="M1158" s="61"/>
    </x:row>
    <x:row r="1159">
      <x:c r="A1159" s="61" t="str">
        <x:f>IF(E1159="","",MAX($A$6:A1158)+1)</x:f>
      </x:c>
      <x:c r="B1159" s="61"/>
      <x:c r="C1159" s="61"/>
      <x:c r="D1159" s="62"/>
      <x:c r="E1159" s="61"/>
      <x:c r="F1159" s="61"/>
      <x:c r="G1159" s="63"/>
      <x:c r="H1159" s="63">
        <x:f t="shared" si="83"/>
        <x:v>0</x:v>
      </x:c>
      <x:c r="I1159" s="64"/>
      <x:c r="J1159" s="63">
        <x:f t="shared" si="84"/>
        <x:v>0</x:v>
      </x:c>
      <x:c r="K1159" s="63" t="str">
        <x:f t="shared" si="82"/>
      </x:c>
      <x:c r="L1159" s="63">
        <x:f t="shared" si="85"/>
        <x:v>0</x:v>
      </x:c>
      <x:c r="M1159" s="61"/>
    </x:row>
    <x:row r="1160">
      <x:c r="A1160" s="61" t="str">
        <x:f>IF(E1160="","",MAX($A$6:A1159)+1)</x:f>
      </x:c>
      <x:c r="B1160" s="61"/>
      <x:c r="C1160" s="61"/>
      <x:c r="D1160" s="62"/>
      <x:c r="E1160" s="61"/>
      <x:c r="F1160" s="61"/>
      <x:c r="G1160" s="63"/>
      <x:c r="H1160" s="63">
        <x:f t="shared" si="83"/>
        <x:v>0</x:v>
      </x:c>
      <x:c r="I1160" s="64"/>
      <x:c r="J1160" s="63">
        <x:f t="shared" si="84"/>
        <x:v>0</x:v>
      </x:c>
      <x:c r="K1160" s="63" t="str">
        <x:f t="shared" si="82"/>
      </x:c>
      <x:c r="L1160" s="63">
        <x:f t="shared" si="85"/>
        <x:v>0</x:v>
      </x:c>
      <x:c r="M1160" s="61"/>
    </x:row>
    <x:row r="1161">
      <x:c r="A1161" s="61" t="str">
        <x:f>IF(E1161="","",MAX($A$6:A1160)+1)</x:f>
      </x:c>
      <x:c r="B1161" s="61"/>
      <x:c r="C1161" s="61"/>
      <x:c r="D1161" s="62"/>
      <x:c r="E1161" s="61"/>
      <x:c r="F1161" s="61"/>
      <x:c r="G1161" s="63"/>
      <x:c r="H1161" s="63">
        <x:f t="shared" si="83"/>
        <x:v>0</x:v>
      </x:c>
      <x:c r="I1161" s="64"/>
      <x:c r="J1161" s="63">
        <x:f t="shared" si="84"/>
        <x:v>0</x:v>
      </x:c>
      <x:c r="K1161" s="63" t="str">
        <x:f t="shared" si="82"/>
      </x:c>
      <x:c r="L1161" s="63">
        <x:f t="shared" si="85"/>
        <x:v>0</x:v>
      </x:c>
      <x:c r="M1161" s="61"/>
    </x:row>
    <x:row r="1162">
      <x:c r="A1162" s="61" t="str">
        <x:f>IF(E1162="","",MAX($A$6:A1161)+1)</x:f>
      </x:c>
      <x:c r="B1162" s="61"/>
      <x:c r="C1162" s="61"/>
      <x:c r="D1162" s="62"/>
      <x:c r="E1162" s="61"/>
      <x:c r="F1162" s="61"/>
      <x:c r="G1162" s="63"/>
      <x:c r="H1162" s="63">
        <x:f t="shared" si="83"/>
        <x:v>0</x:v>
      </x:c>
      <x:c r="I1162" s="64"/>
      <x:c r="J1162" s="63">
        <x:f t="shared" si="84"/>
        <x:v>0</x:v>
      </x:c>
      <x:c r="K1162" s="63" t="str">
        <x:f t="shared" si="82"/>
      </x:c>
      <x:c r="L1162" s="63">
        <x:f t="shared" si="85"/>
        <x:v>0</x:v>
      </x:c>
      <x:c r="M1162" s="61"/>
    </x:row>
    <x:row r="1163">
      <x:c r="A1163" s="61" t="str">
        <x:f>IF(E1163="","",MAX($A$6:A1162)+1)</x:f>
      </x:c>
      <x:c r="B1163" s="61"/>
      <x:c r="C1163" s="61"/>
      <x:c r="D1163" s="62"/>
      <x:c r="E1163" s="61"/>
      <x:c r="F1163" s="61"/>
      <x:c r="G1163" s="63"/>
      <x:c r="H1163" s="63">
        <x:f t="shared" si="83"/>
        <x:v>0</x:v>
      </x:c>
      <x:c r="I1163" s="64"/>
      <x:c r="J1163" s="63">
        <x:f t="shared" si="84"/>
        <x:v>0</x:v>
      </x:c>
      <x:c r="K1163" s="63" t="str">
        <x:f t="shared" si="82"/>
      </x:c>
      <x:c r="L1163" s="63">
        <x:f t="shared" si="85"/>
        <x:v>0</x:v>
      </x:c>
      <x:c r="M1163" s="61"/>
    </x:row>
    <x:row r="1164">
      <x:c r="A1164" s="61" t="str">
        <x:f>IF(E1164="","",MAX($A$6:A1163)+1)</x:f>
      </x:c>
      <x:c r="B1164" s="61"/>
      <x:c r="C1164" s="61"/>
      <x:c r="D1164" s="62"/>
      <x:c r="E1164" s="61"/>
      <x:c r="F1164" s="61"/>
      <x:c r="G1164" s="63"/>
      <x:c r="H1164" s="63">
        <x:f t="shared" si="83"/>
        <x:v>0</x:v>
      </x:c>
      <x:c r="I1164" s="64"/>
      <x:c r="J1164" s="63">
        <x:f t="shared" si="84"/>
        <x:v>0</x:v>
      </x:c>
      <x:c r="K1164" s="63" t="str">
        <x:f t="shared" si="82"/>
      </x:c>
      <x:c r="L1164" s="63">
        <x:f t="shared" si="85"/>
        <x:v>0</x:v>
      </x:c>
      <x:c r="M1164" s="61"/>
    </x:row>
    <x:row r="1165">
      <x:c r="A1165" s="61" t="str">
        <x:f>IF(E1165="","",MAX($A$6:A1164)+1)</x:f>
      </x:c>
      <x:c r="B1165" s="61"/>
      <x:c r="C1165" s="61"/>
      <x:c r="D1165" s="62"/>
      <x:c r="E1165" s="61"/>
      <x:c r="F1165" s="61"/>
      <x:c r="G1165" s="63"/>
      <x:c r="H1165" s="63">
        <x:f t="shared" si="83"/>
        <x:v>0</x:v>
      </x:c>
      <x:c r="I1165" s="64"/>
      <x:c r="J1165" s="63">
        <x:f t="shared" si="84"/>
        <x:v>0</x:v>
      </x:c>
      <x:c r="K1165" s="63" t="str">
        <x:f t="shared" si="82"/>
      </x:c>
      <x:c r="L1165" s="63">
        <x:f t="shared" si="85"/>
        <x:v>0</x:v>
      </x:c>
      <x:c r="M1165" s="61"/>
    </x:row>
    <x:row r="1166">
      <x:c r="A1166" s="61" t="str">
        <x:f>IF(E1166="","",MAX($A$6:A1165)+1)</x:f>
      </x:c>
      <x:c r="B1166" s="61"/>
      <x:c r="C1166" s="61"/>
      <x:c r="D1166" s="62"/>
      <x:c r="E1166" s="61"/>
      <x:c r="F1166" s="61"/>
      <x:c r="G1166" s="63"/>
      <x:c r="H1166" s="63">
        <x:f t="shared" si="83"/>
        <x:v>0</x:v>
      </x:c>
      <x:c r="I1166" s="64"/>
      <x:c r="J1166" s="63">
        <x:f t="shared" si="84"/>
        <x:v>0</x:v>
      </x:c>
      <x:c r="K1166" s="63" t="str">
        <x:f t="shared" si="82"/>
      </x:c>
      <x:c r="L1166" s="63">
        <x:f t="shared" si="85"/>
        <x:v>0</x:v>
      </x:c>
      <x:c r="M1166" s="61"/>
    </x:row>
    <x:row r="1167">
      <x:c r="A1167" s="61" t="str">
        <x:f>IF(E1167="","",MAX($A$6:A1166)+1)</x:f>
      </x:c>
      <x:c r="B1167" s="61"/>
      <x:c r="C1167" s="61"/>
      <x:c r="D1167" s="62"/>
      <x:c r="E1167" s="61"/>
      <x:c r="F1167" s="61"/>
      <x:c r="G1167" s="63"/>
      <x:c r="H1167" s="63">
        <x:f t="shared" si="83"/>
        <x:v>0</x:v>
      </x:c>
      <x:c r="I1167" s="64"/>
      <x:c r="J1167" s="63">
        <x:f t="shared" si="84"/>
        <x:v>0</x:v>
      </x:c>
      <x:c r="K1167" s="63" t="str">
        <x:f t="shared" si="82"/>
      </x:c>
      <x:c r="L1167" s="63">
        <x:f t="shared" si="85"/>
        <x:v>0</x:v>
      </x:c>
      <x:c r="M1167" s="61"/>
    </x:row>
    <x:row r="1168">
      <x:c r="A1168" s="61" t="str">
        <x:f>IF(E1168="","",MAX($A$6:A1167)+1)</x:f>
      </x:c>
      <x:c r="B1168" s="61"/>
      <x:c r="C1168" s="61"/>
      <x:c r="D1168" s="62"/>
      <x:c r="E1168" s="61"/>
      <x:c r="F1168" s="61"/>
      <x:c r="G1168" s="63"/>
      <x:c r="H1168" s="63">
        <x:f t="shared" si="83"/>
        <x:v>0</x:v>
      </x:c>
      <x:c r="I1168" s="64"/>
      <x:c r="J1168" s="63">
        <x:f t="shared" si="84"/>
        <x:v>0</x:v>
      </x:c>
      <x:c r="K1168" s="63" t="str">
        <x:f t="shared" si="82"/>
      </x:c>
      <x:c r="L1168" s="63">
        <x:f t="shared" si="85"/>
        <x:v>0</x:v>
      </x:c>
      <x:c r="M1168" s="61"/>
    </x:row>
    <x:row r="1169">
      <x:c r="A1169" s="61" t="str">
        <x:f>IF(E1169="","",MAX($A$6:A1168)+1)</x:f>
      </x:c>
      <x:c r="B1169" s="61"/>
      <x:c r="C1169" s="61"/>
      <x:c r="D1169" s="62"/>
      <x:c r="E1169" s="61"/>
      <x:c r="F1169" s="61"/>
      <x:c r="G1169" s="63"/>
      <x:c r="H1169" s="63">
        <x:f t="shared" si="83"/>
        <x:v>0</x:v>
      </x:c>
      <x:c r="I1169" s="64"/>
      <x:c r="J1169" s="63">
        <x:f t="shared" si="84"/>
        <x:v>0</x:v>
      </x:c>
      <x:c r="K1169" s="63" t="str">
        <x:f t="shared" si="82"/>
      </x:c>
      <x:c r="L1169" s="63">
        <x:f t="shared" si="85"/>
        <x:v>0</x:v>
      </x:c>
      <x:c r="M1169" s="61"/>
    </x:row>
    <x:row r="1170">
      <x:c r="A1170" s="61" t="str">
        <x:f>IF(E1170="","",MAX($A$6:A1169)+1)</x:f>
      </x:c>
      <x:c r="B1170" s="61"/>
      <x:c r="C1170" s="61"/>
      <x:c r="D1170" s="62"/>
      <x:c r="E1170" s="61"/>
      <x:c r="F1170" s="61"/>
      <x:c r="G1170" s="63"/>
      <x:c r="H1170" s="63">
        <x:f t="shared" si="83"/>
        <x:v>0</x:v>
      </x:c>
      <x:c r="I1170" s="64"/>
      <x:c r="J1170" s="63">
        <x:f t="shared" si="84"/>
        <x:v>0</x:v>
      </x:c>
      <x:c r="K1170" s="63" t="str">
        <x:f t="shared" si="82"/>
      </x:c>
      <x:c r="L1170" s="63">
        <x:f t="shared" si="85"/>
        <x:v>0</x:v>
      </x:c>
      <x:c r="M1170" s="61"/>
    </x:row>
    <x:row r="1171">
      <x:c r="A1171" s="61" t="str">
        <x:f>IF(E1171="","",MAX($A$6:A1170)+1)</x:f>
      </x:c>
      <x:c r="B1171" s="61"/>
      <x:c r="C1171" s="61"/>
      <x:c r="D1171" s="62"/>
      <x:c r="E1171" s="61"/>
      <x:c r="F1171" s="61"/>
      <x:c r="G1171" s="63"/>
      <x:c r="H1171" s="63">
        <x:f t="shared" si="83"/>
        <x:v>0</x:v>
      </x:c>
      <x:c r="I1171" s="64"/>
      <x:c r="J1171" s="63">
        <x:f t="shared" si="84"/>
        <x:v>0</x:v>
      </x:c>
      <x:c r="K1171" s="63" t="str">
        <x:f t="shared" si="82"/>
      </x:c>
      <x:c r="L1171" s="63">
        <x:f t="shared" si="85"/>
        <x:v>0</x:v>
      </x:c>
      <x:c r="M1171" s="61"/>
    </x:row>
    <x:row r="1172">
      <x:c r="A1172" s="61" t="str">
        <x:f>IF(E1172="","",MAX($A$6:A1171)+1)</x:f>
      </x:c>
      <x:c r="B1172" s="61"/>
      <x:c r="C1172" s="61"/>
      <x:c r="D1172" s="62"/>
      <x:c r="E1172" s="61"/>
      <x:c r="F1172" s="61"/>
      <x:c r="G1172" s="63"/>
      <x:c r="H1172" s="63">
        <x:f t="shared" si="83"/>
        <x:v>0</x:v>
      </x:c>
      <x:c r="I1172" s="64"/>
      <x:c r="J1172" s="63">
        <x:f t="shared" si="84"/>
        <x:v>0</x:v>
      </x:c>
      <x:c r="K1172" s="63" t="str">
        <x:f t="shared" si="82"/>
      </x:c>
      <x:c r="L1172" s="63">
        <x:f t="shared" si="85"/>
        <x:v>0</x:v>
      </x:c>
      <x:c r="M1172" s="61"/>
    </x:row>
    <x:row r="1173">
      <x:c r="A1173" s="61" t="str">
        <x:f>IF(E1173="","",MAX($A$6:A1172)+1)</x:f>
      </x:c>
      <x:c r="B1173" s="61"/>
      <x:c r="C1173" s="61"/>
      <x:c r="D1173" s="62"/>
      <x:c r="E1173" s="61"/>
      <x:c r="F1173" s="61"/>
      <x:c r="G1173" s="63"/>
      <x:c r="H1173" s="63">
        <x:f t="shared" si="83"/>
        <x:v>0</x:v>
      </x:c>
      <x:c r="I1173" s="64"/>
      <x:c r="J1173" s="63">
        <x:f t="shared" si="84"/>
        <x:v>0</x:v>
      </x:c>
      <x:c r="K1173" s="63" t="str">
        <x:f t="shared" si="82"/>
      </x:c>
      <x:c r="L1173" s="63">
        <x:f t="shared" si="85"/>
        <x:v>0</x:v>
      </x:c>
      <x:c r="M1173" s="61"/>
    </x:row>
    <x:row r="1174">
      <x:c r="A1174" s="61" t="str">
        <x:f>IF(E1174="","",MAX($A$6:A1173)+1)</x:f>
      </x:c>
      <x:c r="B1174" s="61"/>
      <x:c r="C1174" s="61"/>
      <x:c r="D1174" s="62"/>
      <x:c r="E1174" s="61"/>
      <x:c r="F1174" s="61"/>
      <x:c r="G1174" s="63"/>
      <x:c r="H1174" s="63">
        <x:f t="shared" si="83"/>
        <x:v>0</x:v>
      </x:c>
      <x:c r="I1174" s="64"/>
      <x:c r="J1174" s="63">
        <x:f t="shared" si="84"/>
        <x:v>0</x:v>
      </x:c>
      <x:c r="K1174" s="63" t="str">
        <x:f t="shared" si="82"/>
      </x:c>
      <x:c r="L1174" s="63">
        <x:f t="shared" si="85"/>
        <x:v>0</x:v>
      </x:c>
      <x:c r="M1174" s="61"/>
    </x:row>
    <x:row r="1175">
      <x:c r="A1175" s="61" t="str">
        <x:f>IF(E1175="","",MAX($A$6:A1174)+1)</x:f>
      </x:c>
      <x:c r="B1175" s="61"/>
      <x:c r="C1175" s="61"/>
      <x:c r="D1175" s="62"/>
      <x:c r="E1175" s="61"/>
      <x:c r="F1175" s="61"/>
      <x:c r="G1175" s="63"/>
      <x:c r="H1175" s="63">
        <x:f t="shared" si="83"/>
        <x:v>0</x:v>
      </x:c>
      <x:c r="I1175" s="64"/>
      <x:c r="J1175" s="63">
        <x:f t="shared" si="84"/>
        <x:v>0</x:v>
      </x:c>
      <x:c r="K1175" s="63" t="str">
        <x:f t="shared" si="82"/>
      </x:c>
      <x:c r="L1175" s="63">
        <x:f t="shared" si="85"/>
        <x:v>0</x:v>
      </x:c>
      <x:c r="M1175" s="61"/>
    </x:row>
    <x:row r="1176">
      <x:c r="A1176" s="61" t="str">
        <x:f>IF(E1176="","",MAX($A$6:A1175)+1)</x:f>
      </x:c>
      <x:c r="B1176" s="61"/>
      <x:c r="C1176" s="61"/>
      <x:c r="D1176" s="62"/>
      <x:c r="E1176" s="61"/>
      <x:c r="F1176" s="61"/>
      <x:c r="G1176" s="63"/>
      <x:c r="H1176" s="63">
        <x:f t="shared" si="83"/>
        <x:v>0</x:v>
      </x:c>
      <x:c r="I1176" s="64"/>
      <x:c r="J1176" s="63">
        <x:f t="shared" si="84"/>
        <x:v>0</x:v>
      </x:c>
      <x:c r="K1176" s="63" t="str">
        <x:f t="shared" si="82"/>
      </x:c>
      <x:c r="L1176" s="63">
        <x:f t="shared" si="85"/>
        <x:v>0</x:v>
      </x:c>
      <x:c r="M1176" s="61"/>
    </x:row>
    <x:row r="1177">
      <x:c r="A1177" s="61" t="str">
        <x:f>IF(E1177="","",MAX($A$6:A1176)+1)</x:f>
      </x:c>
      <x:c r="B1177" s="61"/>
      <x:c r="C1177" s="61"/>
      <x:c r="D1177" s="62"/>
      <x:c r="E1177" s="61"/>
      <x:c r="F1177" s="61"/>
      <x:c r="G1177" s="63"/>
      <x:c r="H1177" s="63">
        <x:f t="shared" si="83"/>
        <x:v>0</x:v>
      </x:c>
      <x:c r="I1177" s="64"/>
      <x:c r="J1177" s="63">
        <x:f t="shared" si="84"/>
        <x:v>0</x:v>
      </x:c>
      <x:c r="K1177" s="63" t="str">
        <x:f t="shared" si="82"/>
      </x:c>
      <x:c r="L1177" s="63">
        <x:f t="shared" si="85"/>
        <x:v>0</x:v>
      </x:c>
      <x:c r="M1177" s="61"/>
    </x:row>
    <x:row r="1178">
      <x:c r="A1178" s="61" t="str">
        <x:f>IF(E1178="","",MAX($A$6:A1177)+1)</x:f>
      </x:c>
      <x:c r="B1178" s="61"/>
      <x:c r="C1178" s="61"/>
      <x:c r="D1178" s="62"/>
      <x:c r="E1178" s="61"/>
      <x:c r="F1178" s="61"/>
      <x:c r="G1178" s="63"/>
      <x:c r="H1178" s="63">
        <x:f t="shared" si="83"/>
        <x:v>0</x:v>
      </x:c>
      <x:c r="I1178" s="64"/>
      <x:c r="J1178" s="63">
        <x:f t="shared" si="84"/>
        <x:v>0</x:v>
      </x:c>
      <x:c r="K1178" s="63" t="str">
        <x:f t="shared" si="82"/>
      </x:c>
      <x:c r="L1178" s="63">
        <x:f t="shared" si="85"/>
        <x:v>0</x:v>
      </x:c>
      <x:c r="M1178" s="61"/>
    </x:row>
    <x:row r="1179">
      <x:c r="A1179" s="61" t="str">
        <x:f>IF(E1179="","",MAX($A$6:A1178)+1)</x:f>
      </x:c>
      <x:c r="B1179" s="61"/>
      <x:c r="C1179" s="61"/>
      <x:c r="D1179" s="62"/>
      <x:c r="E1179" s="61"/>
      <x:c r="F1179" s="61"/>
      <x:c r="G1179" s="63"/>
      <x:c r="H1179" s="63">
        <x:f t="shared" si="83"/>
        <x:v>0</x:v>
      </x:c>
      <x:c r="I1179" s="64"/>
      <x:c r="J1179" s="63">
        <x:f t="shared" si="84"/>
        <x:v>0</x:v>
      </x:c>
      <x:c r="K1179" s="63" t="str">
        <x:f t="shared" si="82"/>
      </x:c>
      <x:c r="L1179" s="63">
        <x:f t="shared" si="85"/>
        <x:v>0</x:v>
      </x:c>
      <x:c r="M1179" s="61"/>
    </x:row>
    <x:row r="1180">
      <x:c r="A1180" s="61" t="str">
        <x:f>IF(E1180="","",MAX($A$6:A1179)+1)</x:f>
      </x:c>
      <x:c r="B1180" s="61"/>
      <x:c r="C1180" s="61"/>
      <x:c r="D1180" s="62"/>
      <x:c r="E1180" s="61"/>
      <x:c r="F1180" s="61"/>
      <x:c r="G1180" s="63"/>
      <x:c r="H1180" s="63">
        <x:f t="shared" si="83"/>
        <x:v>0</x:v>
      </x:c>
      <x:c r="I1180" s="64"/>
      <x:c r="J1180" s="63">
        <x:f t="shared" si="84"/>
        <x:v>0</x:v>
      </x:c>
      <x:c r="K1180" s="63" t="str">
        <x:f t="shared" si="82"/>
      </x:c>
      <x:c r="L1180" s="63">
        <x:f t="shared" si="85"/>
        <x:v>0</x:v>
      </x:c>
      <x:c r="M1180" s="61"/>
    </x:row>
    <x:row r="1181">
      <x:c r="A1181" s="61" t="str">
        <x:f>IF(E1181="","",MAX($A$6:A1180)+1)</x:f>
      </x:c>
      <x:c r="B1181" s="61"/>
      <x:c r="C1181" s="61"/>
      <x:c r="D1181" s="62"/>
      <x:c r="E1181" s="61"/>
      <x:c r="F1181" s="61"/>
      <x:c r="G1181" s="63"/>
      <x:c r="H1181" s="63">
        <x:f t="shared" si="83"/>
        <x:v>0</x:v>
      </x:c>
      <x:c r="I1181" s="64"/>
      <x:c r="J1181" s="63">
        <x:f t="shared" si="84"/>
        <x:v>0</x:v>
      </x:c>
      <x:c r="K1181" s="63" t="str">
        <x:f t="shared" si="82"/>
      </x:c>
      <x:c r="L1181" s="63">
        <x:f t="shared" si="85"/>
        <x:v>0</x:v>
      </x:c>
      <x:c r="M1181" s="61"/>
    </x:row>
    <x:row r="1182">
      <x:c r="A1182" s="61" t="str">
        <x:f>IF(E1182="","",MAX($A$6:A1181)+1)</x:f>
      </x:c>
      <x:c r="B1182" s="61"/>
      <x:c r="C1182" s="61"/>
      <x:c r="D1182" s="62"/>
      <x:c r="E1182" s="61"/>
      <x:c r="F1182" s="61"/>
      <x:c r="G1182" s="63"/>
      <x:c r="H1182" s="63">
        <x:f t="shared" si="83"/>
        <x:v>0</x:v>
      </x:c>
      <x:c r="I1182" s="64"/>
      <x:c r="J1182" s="63">
        <x:f t="shared" si="84"/>
        <x:v>0</x:v>
      </x:c>
      <x:c r="K1182" s="63" t="str">
        <x:f t="shared" si="82"/>
      </x:c>
      <x:c r="L1182" s="63">
        <x:f t="shared" si="85"/>
        <x:v>0</x:v>
      </x:c>
      <x:c r="M1182" s="61"/>
    </x:row>
    <x:row r="1183">
      <x:c r="A1183" s="61" t="str">
        <x:f>IF(E1183="","",MAX($A$6:A1182)+1)</x:f>
      </x:c>
      <x:c r="B1183" s="61"/>
      <x:c r="C1183" s="61"/>
      <x:c r="D1183" s="62"/>
      <x:c r="E1183" s="61"/>
      <x:c r="F1183" s="61"/>
      <x:c r="G1183" s="63"/>
      <x:c r="H1183" s="63">
        <x:f t="shared" si="83"/>
        <x:v>0</x:v>
      </x:c>
      <x:c r="I1183" s="64"/>
      <x:c r="J1183" s="63">
        <x:f t="shared" si="84"/>
        <x:v>0</x:v>
      </x:c>
      <x:c r="K1183" s="63" t="str">
        <x:f t="shared" si="82"/>
      </x:c>
      <x:c r="L1183" s="63">
        <x:f t="shared" si="85"/>
        <x:v>0</x:v>
      </x:c>
      <x:c r="M1183" s="61"/>
    </x:row>
    <x:row r="1184">
      <x:c r="A1184" s="61" t="str">
        <x:f>IF(E1184="","",MAX($A$6:A1183)+1)</x:f>
      </x:c>
      <x:c r="B1184" s="61"/>
      <x:c r="C1184" s="61"/>
      <x:c r="D1184" s="62"/>
      <x:c r="E1184" s="61"/>
      <x:c r="F1184" s="61"/>
      <x:c r="G1184" s="63"/>
      <x:c r="H1184" s="63">
        <x:f t="shared" si="83"/>
        <x:v>0</x:v>
      </x:c>
      <x:c r="I1184" s="64"/>
      <x:c r="J1184" s="63">
        <x:f t="shared" si="84"/>
        <x:v>0</x:v>
      </x:c>
      <x:c r="K1184" s="63" t="str">
        <x:f t="shared" si="82"/>
      </x:c>
      <x:c r="L1184" s="63">
        <x:f t="shared" si="85"/>
        <x:v>0</x:v>
      </x:c>
      <x:c r="M1184" s="61"/>
    </x:row>
    <x:row r="1185">
      <x:c r="A1185" s="61" t="str">
        <x:f>IF(E1185="","",MAX($A$6:A1184)+1)</x:f>
      </x:c>
      <x:c r="B1185" s="61"/>
      <x:c r="C1185" s="61"/>
      <x:c r="D1185" s="62"/>
      <x:c r="E1185" s="61"/>
      <x:c r="F1185" s="61"/>
      <x:c r="G1185" s="63"/>
      <x:c r="H1185" s="63">
        <x:f t="shared" si="83"/>
        <x:v>0</x:v>
      </x:c>
      <x:c r="I1185" s="64"/>
      <x:c r="J1185" s="63">
        <x:f t="shared" si="84"/>
        <x:v>0</x:v>
      </x:c>
      <x:c r="K1185" s="63" t="str">
        <x:f t="shared" si="82"/>
      </x:c>
      <x:c r="L1185" s="63">
        <x:f t="shared" si="85"/>
        <x:v>0</x:v>
      </x:c>
      <x:c r="M1185" s="61"/>
    </x:row>
    <x:row r="1186">
      <x:c r="A1186" s="61" t="str">
        <x:f>IF(E1186="","",MAX($A$6:A1185)+1)</x:f>
      </x:c>
      <x:c r="B1186" s="61"/>
      <x:c r="C1186" s="61"/>
      <x:c r="D1186" s="62"/>
      <x:c r="E1186" s="61"/>
      <x:c r="F1186" s="61"/>
      <x:c r="G1186" s="63"/>
      <x:c r="H1186" s="63">
        <x:f t="shared" si="83"/>
        <x:v>0</x:v>
      </x:c>
      <x:c r="I1186" s="64"/>
      <x:c r="J1186" s="63">
        <x:f t="shared" si="84"/>
        <x:v>0</x:v>
      </x:c>
      <x:c r="K1186" s="63" t="str">
        <x:f t="shared" si="82"/>
      </x:c>
      <x:c r="L1186" s="63">
        <x:f t="shared" si="85"/>
        <x:v>0</x:v>
      </x:c>
      <x:c r="M1186" s="61"/>
    </x:row>
    <x:row r="1187">
      <x:c r="A1187" s="61" t="str">
        <x:f>IF(E1187="","",MAX($A$6:A1186)+1)</x:f>
      </x:c>
      <x:c r="B1187" s="61"/>
      <x:c r="C1187" s="61"/>
      <x:c r="D1187" s="62"/>
      <x:c r="E1187" s="61"/>
      <x:c r="F1187" s="61"/>
      <x:c r="G1187" s="63"/>
      <x:c r="H1187" s="63">
        <x:f t="shared" si="83"/>
        <x:v>0</x:v>
      </x:c>
      <x:c r="I1187" s="64"/>
      <x:c r="J1187" s="63">
        <x:f t="shared" si="84"/>
        <x:v>0</x:v>
      </x:c>
      <x:c r="K1187" s="63" t="str">
        <x:f t="shared" si="82"/>
      </x:c>
      <x:c r="L1187" s="63">
        <x:f t="shared" si="85"/>
        <x:v>0</x:v>
      </x:c>
      <x:c r="M1187" s="61"/>
    </x:row>
    <x:row r="1188">
      <x:c r="A1188" s="61" t="str">
        <x:f>IF(E1188="","",MAX($A$6:A1187)+1)</x:f>
      </x:c>
      <x:c r="B1188" s="61"/>
      <x:c r="C1188" s="61"/>
      <x:c r="D1188" s="62"/>
      <x:c r="E1188" s="61"/>
      <x:c r="F1188" s="61"/>
      <x:c r="G1188" s="63"/>
      <x:c r="H1188" s="63">
        <x:f t="shared" si="83"/>
        <x:v>0</x:v>
      </x:c>
      <x:c r="I1188" s="64"/>
      <x:c r="J1188" s="63">
        <x:f t="shared" si="84"/>
        <x:v>0</x:v>
      </x:c>
      <x:c r="K1188" s="63" t="str">
        <x:f t="shared" si="82"/>
      </x:c>
      <x:c r="L1188" s="63">
        <x:f t="shared" si="85"/>
        <x:v>0</x:v>
      </x:c>
      <x:c r="M1188" s="61"/>
    </x:row>
    <x:row r="1189">
      <x:c r="A1189" s="61" t="str">
        <x:f>IF(E1189="","",MAX($A$6:A1188)+1)</x:f>
      </x:c>
      <x:c r="B1189" s="61"/>
      <x:c r="C1189" s="61"/>
      <x:c r="D1189" s="62"/>
      <x:c r="E1189" s="61"/>
      <x:c r="F1189" s="61"/>
      <x:c r="G1189" s="63"/>
      <x:c r="H1189" s="63">
        <x:f t="shared" si="83"/>
        <x:v>0</x:v>
      </x:c>
      <x:c r="I1189" s="64"/>
      <x:c r="J1189" s="63">
        <x:f t="shared" si="84"/>
        <x:v>0</x:v>
      </x:c>
      <x:c r="K1189" s="63" t="str">
        <x:f t="shared" si="82"/>
      </x:c>
      <x:c r="L1189" s="63">
        <x:f t="shared" si="85"/>
        <x:v>0</x:v>
      </x:c>
      <x:c r="M1189" s="61"/>
    </x:row>
    <x:row r="1190">
      <x:c r="A1190" s="61" t="str">
        <x:f>IF(E1190="","",MAX($A$6:A1189)+1)</x:f>
      </x:c>
      <x:c r="B1190" s="61"/>
      <x:c r="C1190" s="61"/>
      <x:c r="D1190" s="62"/>
      <x:c r="E1190" s="61"/>
      <x:c r="F1190" s="61"/>
      <x:c r="G1190" s="63"/>
      <x:c r="H1190" s="63">
        <x:f t="shared" si="83"/>
        <x:v>0</x:v>
      </x:c>
      <x:c r="I1190" s="64"/>
      <x:c r="J1190" s="63">
        <x:f t="shared" si="84"/>
        <x:v>0</x:v>
      </x:c>
      <x:c r="K1190" s="63" t="str">
        <x:f t="shared" si="82"/>
      </x:c>
      <x:c r="L1190" s="63">
        <x:f t="shared" si="85"/>
        <x:v>0</x:v>
      </x:c>
      <x:c r="M1190" s="61"/>
    </x:row>
    <x:row r="1191">
      <x:c r="A1191" s="61" t="str">
        <x:f>IF(E1191="","",MAX($A$6:A1190)+1)</x:f>
      </x:c>
      <x:c r="B1191" s="61"/>
      <x:c r="C1191" s="61"/>
      <x:c r="D1191" s="62"/>
      <x:c r="E1191" s="61"/>
      <x:c r="F1191" s="61"/>
      <x:c r="G1191" s="63"/>
      <x:c r="H1191" s="63">
        <x:f t="shared" si="83"/>
        <x:v>0</x:v>
      </x:c>
      <x:c r="I1191" s="64"/>
      <x:c r="J1191" s="63">
        <x:f t="shared" si="84"/>
        <x:v>0</x:v>
      </x:c>
      <x:c r="K1191" s="63" t="str">
        <x:f t="shared" si="82"/>
      </x:c>
      <x:c r="L1191" s="63">
        <x:f t="shared" si="85"/>
        <x:v>0</x:v>
      </x:c>
      <x:c r="M1191" s="61"/>
    </x:row>
    <x:row r="1192">
      <x:c r="A1192" s="61" t="str">
        <x:f>IF(E1192="","",MAX($A$6:A1191)+1)</x:f>
      </x:c>
      <x:c r="B1192" s="61"/>
      <x:c r="C1192" s="61"/>
      <x:c r="D1192" s="62"/>
      <x:c r="E1192" s="61"/>
      <x:c r="F1192" s="61"/>
      <x:c r="G1192" s="63"/>
      <x:c r="H1192" s="63">
        <x:f t="shared" si="83"/>
        <x:v>0</x:v>
      </x:c>
      <x:c r="I1192" s="64"/>
      <x:c r="J1192" s="63">
        <x:f t="shared" si="84"/>
        <x:v>0</x:v>
      </x:c>
      <x:c r="K1192" s="63" t="str">
        <x:f t="shared" si="82"/>
      </x:c>
      <x:c r="L1192" s="63">
        <x:f t="shared" si="85"/>
        <x:v>0</x:v>
      </x:c>
      <x:c r="M1192" s="61"/>
    </x:row>
    <x:row r="1193">
      <x:c r="A1193" s="61" t="str">
        <x:f>IF(E1193="","",MAX($A$6:A1192)+1)</x:f>
      </x:c>
      <x:c r="B1193" s="61"/>
      <x:c r="C1193" s="61"/>
      <x:c r="D1193" s="62"/>
      <x:c r="E1193" s="61"/>
      <x:c r="F1193" s="61"/>
      <x:c r="G1193" s="63"/>
      <x:c r="H1193" s="63">
        <x:f t="shared" si="83"/>
        <x:v>0</x:v>
      </x:c>
      <x:c r="I1193" s="64"/>
      <x:c r="J1193" s="63">
        <x:f t="shared" si="84"/>
        <x:v>0</x:v>
      </x:c>
      <x:c r="K1193" s="63" t="str">
        <x:f t="shared" si="82"/>
      </x:c>
      <x:c r="L1193" s="63">
        <x:f t="shared" si="85"/>
        <x:v>0</x:v>
      </x:c>
      <x:c r="M1193" s="61"/>
    </x:row>
    <x:row r="1194">
      <x:c r="A1194" s="61" t="str">
        <x:f>IF(E1194="","",MAX($A$6:A1193)+1)</x:f>
      </x:c>
      <x:c r="B1194" s="61"/>
      <x:c r="C1194" s="61"/>
      <x:c r="D1194" s="62"/>
      <x:c r="E1194" s="61"/>
      <x:c r="F1194" s="61"/>
      <x:c r="G1194" s="63"/>
      <x:c r="H1194" s="63">
        <x:f t="shared" si="83"/>
        <x:v>0</x:v>
      </x:c>
      <x:c r="I1194" s="64"/>
      <x:c r="J1194" s="63">
        <x:f t="shared" si="84"/>
        <x:v>0</x:v>
      </x:c>
      <x:c r="K1194" s="63" t="str">
        <x:f t="shared" si="82"/>
      </x:c>
      <x:c r="L1194" s="63">
        <x:f t="shared" si="85"/>
        <x:v>0</x:v>
      </x:c>
      <x:c r="M1194" s="61"/>
    </x:row>
    <x:row r="1195">
      <x:c r="A1195" s="61" t="str">
        <x:f>IF(E1195="","",MAX($A$6:A1194)+1)</x:f>
      </x:c>
      <x:c r="B1195" s="61"/>
      <x:c r="C1195" s="61"/>
      <x:c r="D1195" s="62"/>
      <x:c r="E1195" s="61"/>
      <x:c r="F1195" s="61"/>
      <x:c r="G1195" s="63"/>
      <x:c r="H1195" s="63">
        <x:f t="shared" si="83"/>
        <x:v>0</x:v>
      </x:c>
      <x:c r="I1195" s="64"/>
      <x:c r="J1195" s="63">
        <x:f t="shared" si="84"/>
        <x:v>0</x:v>
      </x:c>
      <x:c r="K1195" s="63" t="str">
        <x:f t="shared" si="82"/>
      </x:c>
      <x:c r="L1195" s="63">
        <x:f t="shared" si="85"/>
        <x:v>0</x:v>
      </x:c>
      <x:c r="M1195" s="61"/>
    </x:row>
    <x:row r="1196">
      <x:c r="A1196" s="61" t="str">
        <x:f>IF(E1196="","",MAX($A$6:A1195)+1)</x:f>
      </x:c>
      <x:c r="B1196" s="61"/>
      <x:c r="C1196" s="61"/>
      <x:c r="D1196" s="62"/>
      <x:c r="E1196" s="61"/>
      <x:c r="F1196" s="61"/>
      <x:c r="G1196" s="63"/>
      <x:c r="H1196" s="63">
        <x:f t="shared" si="83"/>
        <x:v>0</x:v>
      </x:c>
      <x:c r="I1196" s="64"/>
      <x:c r="J1196" s="63">
        <x:f t="shared" si="84"/>
        <x:v>0</x:v>
      </x:c>
      <x:c r="K1196" s="63" t="str">
        <x:f t="shared" si="82"/>
      </x:c>
      <x:c r="L1196" s="63">
        <x:f t="shared" si="85"/>
        <x:v>0</x:v>
      </x:c>
      <x:c r="M1196" s="61"/>
    </x:row>
    <x:row r="1197">
      <x:c r="A1197" s="61" t="str">
        <x:f>IF(E1197="","",MAX($A$6:A1196)+1)</x:f>
      </x:c>
      <x:c r="B1197" s="61"/>
      <x:c r="C1197" s="61"/>
      <x:c r="D1197" s="62"/>
      <x:c r="E1197" s="61"/>
      <x:c r="F1197" s="61"/>
      <x:c r="G1197" s="63"/>
      <x:c r="H1197" s="63">
        <x:f t="shared" si="83"/>
        <x:v>0</x:v>
      </x:c>
      <x:c r="I1197" s="64"/>
      <x:c r="J1197" s="63">
        <x:f t="shared" si="84"/>
        <x:v>0</x:v>
      </x:c>
      <x:c r="K1197" s="63" t="str">
        <x:f t="shared" si="82"/>
      </x:c>
      <x:c r="L1197" s="63">
        <x:f t="shared" si="85"/>
        <x:v>0</x:v>
      </x:c>
      <x:c r="M1197" s="61"/>
    </x:row>
    <x:row r="1198">
      <x:c r="A1198" s="61" t="str">
        <x:f>IF(E1198="","",MAX($A$6:A1197)+1)</x:f>
      </x:c>
      <x:c r="B1198" s="61"/>
      <x:c r="C1198" s="61"/>
      <x:c r="D1198" s="62"/>
      <x:c r="E1198" s="61"/>
      <x:c r="F1198" s="61"/>
      <x:c r="G1198" s="63"/>
      <x:c r="H1198" s="63">
        <x:f t="shared" si="83"/>
        <x:v>0</x:v>
      </x:c>
      <x:c r="I1198" s="64"/>
      <x:c r="J1198" s="63">
        <x:f t="shared" si="84"/>
        <x:v>0</x:v>
      </x:c>
      <x:c r="K1198" s="63" t="str">
        <x:f t="shared" si="82"/>
      </x:c>
      <x:c r="L1198" s="63">
        <x:f t="shared" si="85"/>
        <x:v>0</x:v>
      </x:c>
      <x:c r="M1198" s="61"/>
    </x:row>
    <x:row r="1199">
      <x:c r="A1199" s="61" t="str">
        <x:f>IF(E1199="","",MAX($A$6:A1198)+1)</x:f>
      </x:c>
      <x:c r="B1199" s="61"/>
      <x:c r="C1199" s="61"/>
      <x:c r="D1199" s="62"/>
      <x:c r="E1199" s="61"/>
      <x:c r="F1199" s="61"/>
      <x:c r="G1199" s="63"/>
      <x:c r="H1199" s="63">
        <x:f t="shared" si="83"/>
        <x:v>0</x:v>
      </x:c>
      <x:c r="I1199" s="64"/>
      <x:c r="J1199" s="63">
        <x:f t="shared" si="84"/>
        <x:v>0</x:v>
      </x:c>
      <x:c r="K1199" s="63" t="str">
        <x:f t="shared" si="82"/>
      </x:c>
      <x:c r="L1199" s="63">
        <x:f t="shared" si="85"/>
        <x:v>0</x:v>
      </x:c>
      <x:c r="M1199" s="61"/>
    </x:row>
    <x:row r="1200">
      <x:c r="A1200" s="61" t="str">
        <x:f>IF(E1200="","",MAX($A$6:A1199)+1)</x:f>
      </x:c>
      <x:c r="B1200" s="61"/>
      <x:c r="C1200" s="61"/>
      <x:c r="D1200" s="62"/>
      <x:c r="E1200" s="61"/>
      <x:c r="F1200" s="61"/>
      <x:c r="G1200" s="63"/>
      <x:c r="H1200" s="63">
        <x:f t="shared" si="83"/>
        <x:v>0</x:v>
      </x:c>
      <x:c r="I1200" s="64"/>
      <x:c r="J1200" s="63">
        <x:f t="shared" si="84"/>
        <x:v>0</x:v>
      </x:c>
      <x:c r="K1200" s="63" t="str">
        <x:f t="shared" si="82"/>
      </x:c>
      <x:c r="L1200" s="63">
        <x:f t="shared" si="85"/>
        <x:v>0</x:v>
      </x:c>
      <x:c r="M1200" s="61"/>
    </x:row>
    <x:row r="1201">
      <x:c r="A1201" s="61" t="str">
        <x:f>IF(E1201="","",MAX($A$6:A1200)+1)</x:f>
      </x:c>
      <x:c r="B1201" s="61"/>
      <x:c r="C1201" s="61"/>
      <x:c r="D1201" s="62"/>
      <x:c r="E1201" s="61"/>
      <x:c r="F1201" s="61"/>
      <x:c r="G1201" s="63"/>
      <x:c r="H1201" s="63">
        <x:f t="shared" si="83"/>
        <x:v>0</x:v>
      </x:c>
      <x:c r="I1201" s="64"/>
      <x:c r="J1201" s="63">
        <x:f t="shared" si="84"/>
        <x:v>0</x:v>
      </x:c>
      <x:c r="K1201" s="63" t="str">
        <x:f t="shared" si="82"/>
      </x:c>
      <x:c r="L1201" s="63">
        <x:f t="shared" si="85"/>
        <x:v>0</x:v>
      </x:c>
      <x:c r="M1201" s="61"/>
    </x:row>
    <x:row r="1202">
      <x:c r="A1202" s="61" t="str">
        <x:f>IF(E1202="","",MAX($A$6:A1201)+1)</x:f>
      </x:c>
      <x:c r="B1202" s="61"/>
      <x:c r="C1202" s="61"/>
      <x:c r="D1202" s="62"/>
      <x:c r="E1202" s="61"/>
      <x:c r="F1202" s="61"/>
      <x:c r="G1202" s="63"/>
      <x:c r="H1202" s="63">
        <x:f t="shared" si="83"/>
        <x:v>0</x:v>
      </x:c>
      <x:c r="I1202" s="64"/>
      <x:c r="J1202" s="63">
        <x:f t="shared" si="84"/>
        <x:v>0</x:v>
      </x:c>
      <x:c r="K1202" s="63" t="str">
        <x:f t="shared" si="82"/>
      </x:c>
      <x:c r="L1202" s="63">
        <x:f t="shared" si="85"/>
        <x:v>0</x:v>
      </x:c>
      <x:c r="M1202" s="61"/>
    </x:row>
    <x:row r="1203">
      <x:c r="A1203" s="61" t="str">
        <x:f>IF(E1203="","",MAX($A$6:A1202)+1)</x:f>
      </x:c>
      <x:c r="B1203" s="61"/>
      <x:c r="C1203" s="61"/>
      <x:c r="D1203" s="62"/>
      <x:c r="E1203" s="61"/>
      <x:c r="F1203" s="61"/>
      <x:c r="G1203" s="63"/>
      <x:c r="H1203" s="63">
        <x:f t="shared" si="83"/>
        <x:v>0</x:v>
      </x:c>
      <x:c r="I1203" s="64"/>
      <x:c r="J1203" s="63">
        <x:f t="shared" si="84"/>
        <x:v>0</x:v>
      </x:c>
      <x:c r="K1203" s="63" t="str">
        <x:f t="shared" si="82"/>
      </x:c>
      <x:c r="L1203" s="63">
        <x:f t="shared" si="85"/>
        <x:v>0</x:v>
      </x:c>
      <x:c r="M1203" s="61"/>
    </x:row>
    <x:row r="1204">
      <x:c r="A1204" s="61" t="str">
        <x:f>IF(E1204="","",MAX($A$6:A1203)+1)</x:f>
      </x:c>
      <x:c r="B1204" s="61"/>
      <x:c r="C1204" s="61"/>
      <x:c r="D1204" s="62"/>
      <x:c r="E1204" s="61"/>
      <x:c r="F1204" s="61"/>
      <x:c r="G1204" s="63"/>
      <x:c r="H1204" s="63">
        <x:f t="shared" si="83"/>
        <x:v>0</x:v>
      </x:c>
      <x:c r="I1204" s="64"/>
      <x:c r="J1204" s="63">
        <x:f t="shared" si="84"/>
        <x:v>0</x:v>
      </x:c>
      <x:c r="K1204" s="63" t="str">
        <x:f t="shared" si="82"/>
      </x:c>
      <x:c r="L1204" s="63">
        <x:f t="shared" si="85"/>
        <x:v>0</x:v>
      </x:c>
      <x:c r="M1204" s="61"/>
    </x:row>
    <x:row r="1205">
      <x:c r="A1205" s="61" t="str">
        <x:f>IF(E1205="","",MAX($A$6:A1204)+1)</x:f>
      </x:c>
      <x:c r="B1205" s="61"/>
      <x:c r="C1205" s="61"/>
      <x:c r="D1205" s="62"/>
      <x:c r="E1205" s="61"/>
      <x:c r="F1205" s="61"/>
      <x:c r="G1205" s="63"/>
      <x:c r="H1205" s="63">
        <x:f t="shared" si="83"/>
        <x:v>0</x:v>
      </x:c>
      <x:c r="I1205" s="64"/>
      <x:c r="J1205" s="63">
        <x:f t="shared" si="84"/>
        <x:v>0</x:v>
      </x:c>
      <x:c r="K1205" s="63" t="str">
        <x:f t="shared" si="82"/>
      </x:c>
      <x:c r="L1205" s="63">
        <x:f t="shared" si="85"/>
        <x:v>0</x:v>
      </x:c>
      <x:c r="M1205" s="61"/>
    </x:row>
    <x:row r="1206">
      <x:c r="A1206" s="61" t="str">
        <x:f>IF(E1206="","",MAX($A$6:A1205)+1)</x:f>
      </x:c>
      <x:c r="B1206" s="61"/>
      <x:c r="C1206" s="61"/>
      <x:c r="D1206" s="62"/>
      <x:c r="E1206" s="61"/>
      <x:c r="F1206" s="61"/>
      <x:c r="G1206" s="63"/>
      <x:c r="H1206" s="63">
        <x:f t="shared" si="83"/>
        <x:v>0</x:v>
      </x:c>
      <x:c r="I1206" s="64"/>
      <x:c r="J1206" s="63">
        <x:f t="shared" si="84"/>
        <x:v>0</x:v>
      </x:c>
      <x:c r="K1206" s="63" t="str">
        <x:f t="shared" ref="K1206:K1269" si="86">IFERROR(IF(G1206="","",MAX(1,G1206-J1206)),0)</x:f>
      </x:c>
      <x:c r="L1206" s="63">
        <x:f t="shared" si="85"/>
        <x:v>0</x:v>
      </x:c>
      <x:c r="M1206" s="61"/>
    </x:row>
    <x:row r="1207">
      <x:c r="A1207" s="61" t="str">
        <x:f>IF(E1207="","",MAX($A$6:A1206)+1)</x:f>
      </x:c>
      <x:c r="B1207" s="61"/>
      <x:c r="C1207" s="61"/>
      <x:c r="D1207" s="62"/>
      <x:c r="E1207" s="61"/>
      <x:c r="F1207" s="61"/>
      <x:c r="G1207" s="63"/>
      <x:c r="H1207" s="63">
        <x:f t="shared" si="83"/>
        <x:v>0</x:v>
      </x:c>
      <x:c r="I1207" s="64"/>
      <x:c r="J1207" s="63">
        <x:f t="shared" si="84"/>
        <x:v>0</x:v>
      </x:c>
      <x:c r="K1207" s="63" t="str">
        <x:f t="shared" si="86"/>
      </x:c>
      <x:c r="L1207" s="63">
        <x:f t="shared" si="85"/>
        <x:v>0</x:v>
      </x:c>
      <x:c r="M1207" s="61"/>
    </x:row>
    <x:row r="1208">
      <x:c r="A1208" s="61" t="str">
        <x:f>IF(E1208="","",MAX($A$6:A1207)+1)</x:f>
      </x:c>
      <x:c r="B1208" s="61"/>
      <x:c r="C1208" s="61"/>
      <x:c r="D1208" s="62"/>
      <x:c r="E1208" s="61"/>
      <x:c r="F1208" s="61"/>
      <x:c r="G1208" s="63"/>
      <x:c r="H1208" s="63">
        <x:f t="shared" si="83"/>
        <x:v>0</x:v>
      </x:c>
      <x:c r="I1208" s="64"/>
      <x:c r="J1208" s="63">
        <x:f t="shared" si="84"/>
        <x:v>0</x:v>
      </x:c>
      <x:c r="K1208" s="63" t="str">
        <x:f t="shared" si="86"/>
      </x:c>
      <x:c r="L1208" s="63">
        <x:f t="shared" si="85"/>
        <x:v>0</x:v>
      </x:c>
      <x:c r="M1208" s="61"/>
    </x:row>
    <x:row r="1209">
      <x:c r="A1209" s="61" t="str">
        <x:f>IF(E1209="","",MAX($A$6:A1208)+1)</x:f>
      </x:c>
      <x:c r="B1209" s="61"/>
      <x:c r="C1209" s="61"/>
      <x:c r="D1209" s="62"/>
      <x:c r="E1209" s="61"/>
      <x:c r="F1209" s="61"/>
      <x:c r="G1209" s="63"/>
      <x:c r="H1209" s="63">
        <x:f t="shared" si="83"/>
        <x:v>0</x:v>
      </x:c>
      <x:c r="I1209" s="64"/>
      <x:c r="J1209" s="63">
        <x:f t="shared" si="84"/>
        <x:v>0</x:v>
      </x:c>
      <x:c r="K1209" s="63" t="str">
        <x:f t="shared" si="86"/>
      </x:c>
      <x:c r="L1209" s="63">
        <x:f t="shared" si="85"/>
        <x:v>0</x:v>
      </x:c>
      <x:c r="M1209" s="61"/>
    </x:row>
    <x:row r="1210">
      <x:c r="A1210" s="61" t="str">
        <x:f>IF(E1210="","",MAX($A$6:A1209)+1)</x:f>
      </x:c>
      <x:c r="B1210" s="61"/>
      <x:c r="C1210" s="61"/>
      <x:c r="D1210" s="62"/>
      <x:c r="E1210" s="61"/>
      <x:c r="F1210" s="61"/>
      <x:c r="G1210" s="63"/>
      <x:c r="H1210" s="63">
        <x:f t="shared" si="83"/>
        <x:v>0</x:v>
      </x:c>
      <x:c r="I1210" s="64"/>
      <x:c r="J1210" s="63">
        <x:f t="shared" si="84"/>
        <x:v>0</x:v>
      </x:c>
      <x:c r="K1210" s="63" t="str">
        <x:f t="shared" si="86"/>
      </x:c>
      <x:c r="L1210" s="63">
        <x:f t="shared" si="85"/>
        <x:v>0</x:v>
      </x:c>
      <x:c r="M1210" s="61"/>
    </x:row>
    <x:row r="1211">
      <x:c r="A1211" s="61" t="str">
        <x:f>IF(E1211="","",MAX($A$6:A1210)+1)</x:f>
      </x:c>
      <x:c r="B1211" s="61"/>
      <x:c r="C1211" s="61"/>
      <x:c r="D1211" s="62"/>
      <x:c r="E1211" s="61"/>
      <x:c r="F1211" s="61"/>
      <x:c r="G1211" s="63"/>
      <x:c r="H1211" s="63">
        <x:f t="shared" si="83"/>
        <x:v>0</x:v>
      </x:c>
      <x:c r="I1211" s="64"/>
      <x:c r="J1211" s="63">
        <x:f t="shared" si="84"/>
        <x:v>0</x:v>
      </x:c>
      <x:c r="K1211" s="63" t="str">
        <x:f t="shared" si="86"/>
      </x:c>
      <x:c r="L1211" s="63">
        <x:f t="shared" si="85"/>
        <x:v>0</x:v>
      </x:c>
      <x:c r="M1211" s="61"/>
    </x:row>
    <x:row r="1212">
      <x:c r="A1212" s="61" t="str">
        <x:f>IF(E1212="","",MAX($A$6:A1211)+1)</x:f>
      </x:c>
      <x:c r="B1212" s="61"/>
      <x:c r="C1212" s="61"/>
      <x:c r="D1212" s="62"/>
      <x:c r="E1212" s="61"/>
      <x:c r="F1212" s="61"/>
      <x:c r="G1212" s="63"/>
      <x:c r="H1212" s="63">
        <x:f t="shared" si="83"/>
        <x:v>0</x:v>
      </x:c>
      <x:c r="I1212" s="64"/>
      <x:c r="J1212" s="63">
        <x:f t="shared" si="84"/>
        <x:v>0</x:v>
      </x:c>
      <x:c r="K1212" s="63" t="str">
        <x:f t="shared" si="86"/>
      </x:c>
      <x:c r="L1212" s="63">
        <x:f t="shared" si="85"/>
        <x:v>0</x:v>
      </x:c>
      <x:c r="M1212" s="61"/>
    </x:row>
    <x:row r="1213">
      <x:c r="A1213" s="61" t="str">
        <x:f>IF(E1213="","",MAX($A$6:A1212)+1)</x:f>
      </x:c>
      <x:c r="B1213" s="61"/>
      <x:c r="C1213" s="61"/>
      <x:c r="D1213" s="62"/>
      <x:c r="E1213" s="61"/>
      <x:c r="F1213" s="61"/>
      <x:c r="G1213" s="63"/>
      <x:c r="H1213" s="63">
        <x:f t="shared" si="83"/>
        <x:v>0</x:v>
      </x:c>
      <x:c r="I1213" s="64"/>
      <x:c r="J1213" s="63">
        <x:f t="shared" si="84"/>
        <x:v>0</x:v>
      </x:c>
      <x:c r="K1213" s="63" t="str">
        <x:f t="shared" si="86"/>
      </x:c>
      <x:c r="L1213" s="63">
        <x:f t="shared" si="85"/>
        <x:v>0</x:v>
      </x:c>
      <x:c r="M1213" s="61"/>
    </x:row>
    <x:row r="1214">
      <x:c r="A1214" s="61" t="str">
        <x:f>IF(E1214="","",MAX($A$6:A1213)+1)</x:f>
      </x:c>
      <x:c r="B1214" s="61"/>
      <x:c r="C1214" s="61"/>
      <x:c r="D1214" s="62"/>
      <x:c r="E1214" s="61"/>
      <x:c r="F1214" s="61"/>
      <x:c r="G1214" s="63"/>
      <x:c r="H1214" s="63">
        <x:f t="shared" si="83"/>
        <x:v>0</x:v>
      </x:c>
      <x:c r="I1214" s="64"/>
      <x:c r="J1214" s="63">
        <x:f t="shared" si="84"/>
        <x:v>0</x:v>
      </x:c>
      <x:c r="K1214" s="63" t="str">
        <x:f t="shared" si="86"/>
      </x:c>
      <x:c r="L1214" s="63">
        <x:f t="shared" si="85"/>
        <x:v>0</x:v>
      </x:c>
      <x:c r="M1214" s="61"/>
    </x:row>
    <x:row r="1215">
      <x:c r="A1215" s="61" t="str">
        <x:f>IF(E1215="","",MAX($A$6:A1214)+1)</x:f>
      </x:c>
      <x:c r="B1215" s="61"/>
      <x:c r="C1215" s="61"/>
      <x:c r="D1215" s="62"/>
      <x:c r="E1215" s="61"/>
      <x:c r="F1215" s="61"/>
      <x:c r="G1215" s="63"/>
      <x:c r="H1215" s="63">
        <x:f t="shared" si="83"/>
        <x:v>0</x:v>
      </x:c>
      <x:c r="I1215" s="64"/>
      <x:c r="J1215" s="63">
        <x:f t="shared" si="84"/>
        <x:v>0</x:v>
      </x:c>
      <x:c r="K1215" s="63" t="str">
        <x:f t="shared" si="86"/>
      </x:c>
      <x:c r="L1215" s="63">
        <x:f t="shared" si="85"/>
        <x:v>0</x:v>
      </x:c>
      <x:c r="M1215" s="61"/>
    </x:row>
    <x:row r="1216">
      <x:c r="A1216" s="61" t="str">
        <x:f>IF(E1216="","",MAX($A$6:A1215)+1)</x:f>
      </x:c>
      <x:c r="B1216" s="61"/>
      <x:c r="C1216" s="61"/>
      <x:c r="D1216" s="62"/>
      <x:c r="E1216" s="61"/>
      <x:c r="F1216" s="61"/>
      <x:c r="G1216" s="63"/>
      <x:c r="H1216" s="63">
        <x:f t="shared" si="83"/>
        <x:v>0</x:v>
      </x:c>
      <x:c r="I1216" s="64"/>
      <x:c r="J1216" s="63">
        <x:f t="shared" si="84"/>
        <x:v>0</x:v>
      </x:c>
      <x:c r="K1216" s="63" t="str">
        <x:f t="shared" si="86"/>
      </x:c>
      <x:c r="L1216" s="63">
        <x:f t="shared" si="85"/>
        <x:v>0</x:v>
      </x:c>
      <x:c r="M1216" s="61"/>
    </x:row>
    <x:row r="1217">
      <x:c r="A1217" s="61" t="str">
        <x:f>IF(E1217="","",MAX($A$6:A1216)+1)</x:f>
      </x:c>
      <x:c r="B1217" s="61"/>
      <x:c r="C1217" s="61"/>
      <x:c r="D1217" s="62"/>
      <x:c r="E1217" s="61"/>
      <x:c r="F1217" s="61"/>
      <x:c r="G1217" s="63"/>
      <x:c r="H1217" s="63">
        <x:f t="shared" si="83"/>
        <x:v>0</x:v>
      </x:c>
      <x:c r="I1217" s="64"/>
      <x:c r="J1217" s="63">
        <x:f t="shared" si="84"/>
        <x:v>0</x:v>
      </x:c>
      <x:c r="K1217" s="63" t="str">
        <x:f t="shared" si="86"/>
      </x:c>
      <x:c r="L1217" s="63">
        <x:f t="shared" si="85"/>
        <x:v>0</x:v>
      </x:c>
      <x:c r="M1217" s="61"/>
    </x:row>
    <x:row r="1218">
      <x:c r="A1218" s="61" t="str">
        <x:f>IF(E1218="","",MAX($A$6:A1217)+1)</x:f>
      </x:c>
      <x:c r="B1218" s="61"/>
      <x:c r="C1218" s="61"/>
      <x:c r="D1218" s="62"/>
      <x:c r="E1218" s="61"/>
      <x:c r="F1218" s="61"/>
      <x:c r="G1218" s="63"/>
      <x:c r="H1218" s="63">
        <x:f t="shared" si="83"/>
        <x:v>0</x:v>
      </x:c>
      <x:c r="I1218" s="64"/>
      <x:c r="J1218" s="63">
        <x:f t="shared" si="84"/>
        <x:v>0</x:v>
      </x:c>
      <x:c r="K1218" s="63" t="str">
        <x:f t="shared" si="86"/>
      </x:c>
      <x:c r="L1218" s="63">
        <x:f t="shared" si="85"/>
        <x:v>0</x:v>
      </x:c>
      <x:c r="M1218" s="61"/>
    </x:row>
    <x:row r="1219">
      <x:c r="A1219" s="61" t="str">
        <x:f>IF(E1219="","",MAX($A$6:A1218)+1)</x:f>
      </x:c>
      <x:c r="B1219" s="61"/>
      <x:c r="C1219" s="61"/>
      <x:c r="D1219" s="62"/>
      <x:c r="E1219" s="61"/>
      <x:c r="F1219" s="61"/>
      <x:c r="G1219" s="63"/>
      <x:c r="H1219" s="63">
        <x:f t="shared" si="83"/>
        <x:v>0</x:v>
      </x:c>
      <x:c r="I1219" s="64"/>
      <x:c r="J1219" s="63">
        <x:f t="shared" si="84"/>
        <x:v>0</x:v>
      </x:c>
      <x:c r="K1219" s="63" t="str">
        <x:f t="shared" si="86"/>
      </x:c>
      <x:c r="L1219" s="63">
        <x:f t="shared" si="85"/>
        <x:v>0</x:v>
      </x:c>
      <x:c r="M1219" s="61"/>
    </x:row>
    <x:row r="1220">
      <x:c r="A1220" s="61" t="str">
        <x:f>IF(E1220="","",MAX($A$6:A1219)+1)</x:f>
      </x:c>
      <x:c r="B1220" s="61"/>
      <x:c r="C1220" s="61"/>
      <x:c r="D1220" s="62"/>
      <x:c r="E1220" s="61"/>
      <x:c r="F1220" s="61"/>
      <x:c r="G1220" s="63"/>
      <x:c r="H1220" s="63">
        <x:f t="shared" si="83"/>
        <x:v>0</x:v>
      </x:c>
      <x:c r="I1220" s="64"/>
      <x:c r="J1220" s="63">
        <x:f t="shared" si="84"/>
        <x:v>0</x:v>
      </x:c>
      <x:c r="K1220" s="63" t="str">
        <x:f t="shared" si="86"/>
      </x:c>
      <x:c r="L1220" s="63">
        <x:f t="shared" si="85"/>
        <x:v>0</x:v>
      </x:c>
      <x:c r="M1220" s="61"/>
    </x:row>
    <x:row r="1221">
      <x:c r="A1221" s="61" t="str">
        <x:f>IF(E1221="","",MAX($A$6:A1220)+1)</x:f>
      </x:c>
      <x:c r="B1221" s="61"/>
      <x:c r="C1221" s="61"/>
      <x:c r="D1221" s="62"/>
      <x:c r="E1221" s="61"/>
      <x:c r="F1221" s="61"/>
      <x:c r="G1221" s="63"/>
      <x:c r="H1221" s="63">
        <x:f t="shared" si="83"/>
        <x:v>0</x:v>
      </x:c>
      <x:c r="I1221" s="64"/>
      <x:c r="J1221" s="63">
        <x:f t="shared" si="84"/>
        <x:v>0</x:v>
      </x:c>
      <x:c r="K1221" s="63" t="str">
        <x:f t="shared" si="86"/>
      </x:c>
      <x:c r="L1221" s="63">
        <x:f t="shared" si="85"/>
        <x:v>0</x:v>
      </x:c>
      <x:c r="M1221" s="61"/>
    </x:row>
    <x:row r="1222">
      <x:c r="A1222" s="61" t="str">
        <x:f>IF(E1222="","",MAX($A$6:A1221)+1)</x:f>
      </x:c>
      <x:c r="B1222" s="61"/>
      <x:c r="C1222" s="61"/>
      <x:c r="D1222" s="62"/>
      <x:c r="E1222" s="61"/>
      <x:c r="F1222" s="61"/>
      <x:c r="G1222" s="63"/>
      <x:c r="H1222" s="63" t="n">
        <x:f t="shared" ref="H1222:H1285" si="87">IFERROR(IF(OR($F$1="",D1222=""),0,MAX(0,$F$1-D1222)),0)</x:f>
        <x:v>0</x:v>
      </x:c>
      <x:c r="I1222" s="64"/>
      <x:c r="J1222" s="63" t="n">
        <x:f t="shared" ref="J1222:J1285" si="88">IFERROR(IF(OR(G1222="",I1222="",D1222="",$F$1=""),0,IF($F$1&lt;D1222,0,MIN(MAX(G1222-1,0),MAX(0,(G1222*I1222/365)*H1222)))),0)</x:f>
        <x:v>0</x:v>
      </x:c>
      <x:c r="K1222" s="63" t="str">
        <x:f t="shared" si="86"/>
      </x:c>
      <x:c r="L1222" s="63" t="n">
        <x:f t="shared" ref="L1222:L1285" si="89">IFERROR(IF(OR(G1222="",I1222="",D1222="",$F$1=""),0,IF($F$1&lt;D1222,0,IF(K1222&lt;=1,0,MIN(G1222*I1222/12,K1222-1)))),0)</x:f>
        <x:v>0</x:v>
      </x:c>
      <x:c r="M1222" s="61"/>
    </x:row>
    <x:row r="1223">
      <x:c r="A1223" s="61" t="str">
        <x:f>IF(E1223="","",MAX($A$6:A1222)+1)</x:f>
      </x:c>
      <x:c r="B1223" s="61"/>
      <x:c r="C1223" s="61"/>
      <x:c r="D1223" s="62"/>
      <x:c r="E1223" s="61"/>
      <x:c r="F1223" s="61"/>
      <x:c r="G1223" s="63"/>
      <x:c r="H1223" s="63">
        <x:f t="shared" si="87"/>
        <x:v>0</x:v>
      </x:c>
      <x:c r="I1223" s="64"/>
      <x:c r="J1223" s="63">
        <x:f t="shared" si="88"/>
        <x:v>0</x:v>
      </x:c>
      <x:c r="K1223" s="63" t="str">
        <x:f t="shared" si="86"/>
      </x:c>
      <x:c r="L1223" s="63">
        <x:f t="shared" si="89"/>
        <x:v>0</x:v>
      </x:c>
      <x:c r="M1223" s="61"/>
    </x:row>
    <x:row r="1224">
      <x:c r="A1224" s="61" t="str">
        <x:f>IF(E1224="","",MAX($A$6:A1223)+1)</x:f>
      </x:c>
      <x:c r="B1224" s="61"/>
      <x:c r="C1224" s="61"/>
      <x:c r="D1224" s="62"/>
      <x:c r="E1224" s="61"/>
      <x:c r="F1224" s="61"/>
      <x:c r="G1224" s="63"/>
      <x:c r="H1224" s="63">
        <x:f t="shared" si="87"/>
        <x:v>0</x:v>
      </x:c>
      <x:c r="I1224" s="64"/>
      <x:c r="J1224" s="63">
        <x:f t="shared" si="88"/>
        <x:v>0</x:v>
      </x:c>
      <x:c r="K1224" s="63" t="str">
        <x:f t="shared" si="86"/>
      </x:c>
      <x:c r="L1224" s="63">
        <x:f t="shared" si="89"/>
        <x:v>0</x:v>
      </x:c>
      <x:c r="M1224" s="61"/>
    </x:row>
    <x:row r="1225">
      <x:c r="A1225" s="61" t="str">
        <x:f>IF(E1225="","",MAX($A$6:A1224)+1)</x:f>
      </x:c>
      <x:c r="B1225" s="61"/>
      <x:c r="C1225" s="61"/>
      <x:c r="D1225" s="62"/>
      <x:c r="E1225" s="61"/>
      <x:c r="F1225" s="61"/>
      <x:c r="G1225" s="63"/>
      <x:c r="H1225" s="63">
        <x:f t="shared" si="87"/>
        <x:v>0</x:v>
      </x:c>
      <x:c r="I1225" s="64"/>
      <x:c r="J1225" s="63">
        <x:f t="shared" si="88"/>
        <x:v>0</x:v>
      </x:c>
      <x:c r="K1225" s="63" t="str">
        <x:f t="shared" si="86"/>
      </x:c>
      <x:c r="L1225" s="63">
        <x:f t="shared" si="89"/>
        <x:v>0</x:v>
      </x:c>
      <x:c r="M1225" s="61"/>
    </x:row>
    <x:row r="1226">
      <x:c r="A1226" s="61" t="str">
        <x:f>IF(E1226="","",MAX($A$6:A1225)+1)</x:f>
      </x:c>
      <x:c r="B1226" s="61"/>
      <x:c r="C1226" s="61"/>
      <x:c r="D1226" s="62"/>
      <x:c r="E1226" s="61"/>
      <x:c r="F1226" s="61"/>
      <x:c r="G1226" s="63"/>
      <x:c r="H1226" s="63">
        <x:f t="shared" si="87"/>
        <x:v>0</x:v>
      </x:c>
      <x:c r="I1226" s="64"/>
      <x:c r="J1226" s="63">
        <x:f t="shared" si="88"/>
        <x:v>0</x:v>
      </x:c>
      <x:c r="K1226" s="63" t="str">
        <x:f t="shared" si="86"/>
      </x:c>
      <x:c r="L1226" s="63">
        <x:f t="shared" si="89"/>
        <x:v>0</x:v>
      </x:c>
      <x:c r="M1226" s="61"/>
    </x:row>
    <x:row r="1227">
      <x:c r="A1227" s="61" t="str">
        <x:f>IF(E1227="","",MAX($A$6:A1226)+1)</x:f>
      </x:c>
      <x:c r="B1227" s="61"/>
      <x:c r="C1227" s="61"/>
      <x:c r="D1227" s="62"/>
      <x:c r="E1227" s="61"/>
      <x:c r="F1227" s="61"/>
      <x:c r="G1227" s="63"/>
      <x:c r="H1227" s="63">
        <x:f t="shared" si="87"/>
        <x:v>0</x:v>
      </x:c>
      <x:c r="I1227" s="64"/>
      <x:c r="J1227" s="63">
        <x:f t="shared" si="88"/>
        <x:v>0</x:v>
      </x:c>
      <x:c r="K1227" s="63" t="str">
        <x:f t="shared" si="86"/>
      </x:c>
      <x:c r="L1227" s="63">
        <x:f t="shared" si="89"/>
        <x:v>0</x:v>
      </x:c>
      <x:c r="M1227" s="61"/>
    </x:row>
    <x:row r="1228">
      <x:c r="A1228" s="61" t="str">
        <x:f>IF(E1228="","",MAX($A$6:A1227)+1)</x:f>
      </x:c>
      <x:c r="B1228" s="61"/>
      <x:c r="C1228" s="61"/>
      <x:c r="D1228" s="62"/>
      <x:c r="E1228" s="61"/>
      <x:c r="F1228" s="61"/>
      <x:c r="G1228" s="63"/>
      <x:c r="H1228" s="63">
        <x:f t="shared" si="87"/>
        <x:v>0</x:v>
      </x:c>
      <x:c r="I1228" s="64"/>
      <x:c r="J1228" s="63">
        <x:f t="shared" si="88"/>
        <x:v>0</x:v>
      </x:c>
      <x:c r="K1228" s="63" t="str">
        <x:f t="shared" si="86"/>
      </x:c>
      <x:c r="L1228" s="63">
        <x:f t="shared" si="89"/>
        <x:v>0</x:v>
      </x:c>
      <x:c r="M1228" s="61"/>
    </x:row>
    <x:row r="1229">
      <x:c r="A1229" s="61" t="str">
        <x:f>IF(E1229="","",MAX($A$6:A1228)+1)</x:f>
      </x:c>
      <x:c r="B1229" s="61"/>
      <x:c r="C1229" s="61"/>
      <x:c r="D1229" s="62"/>
      <x:c r="E1229" s="61"/>
      <x:c r="F1229" s="61"/>
      <x:c r="G1229" s="63"/>
      <x:c r="H1229" s="63">
        <x:f t="shared" si="87"/>
        <x:v>0</x:v>
      </x:c>
      <x:c r="I1229" s="64"/>
      <x:c r="J1229" s="63">
        <x:f t="shared" si="88"/>
        <x:v>0</x:v>
      </x:c>
      <x:c r="K1229" s="63" t="str">
        <x:f t="shared" si="86"/>
      </x:c>
      <x:c r="L1229" s="63">
        <x:f t="shared" si="89"/>
        <x:v>0</x:v>
      </x:c>
      <x:c r="M1229" s="61"/>
    </x:row>
    <x:row r="1230">
      <x:c r="A1230" s="61" t="str">
        <x:f>IF(E1230="","",MAX($A$6:A1229)+1)</x:f>
      </x:c>
      <x:c r="B1230" s="61"/>
      <x:c r="C1230" s="61"/>
      <x:c r="D1230" s="62"/>
      <x:c r="E1230" s="61"/>
      <x:c r="F1230" s="61"/>
      <x:c r="G1230" s="63"/>
      <x:c r="H1230" s="63">
        <x:f t="shared" si="87"/>
        <x:v>0</x:v>
      </x:c>
      <x:c r="I1230" s="64"/>
      <x:c r="J1230" s="63">
        <x:f t="shared" si="88"/>
        <x:v>0</x:v>
      </x:c>
      <x:c r="K1230" s="63" t="str">
        <x:f t="shared" si="86"/>
      </x:c>
      <x:c r="L1230" s="63">
        <x:f t="shared" si="89"/>
        <x:v>0</x:v>
      </x:c>
      <x:c r="M1230" s="61"/>
    </x:row>
    <x:row r="1231">
      <x:c r="A1231" s="61" t="str">
        <x:f>IF(E1231="","",MAX($A$6:A1230)+1)</x:f>
      </x:c>
      <x:c r="B1231" s="61"/>
      <x:c r="C1231" s="61"/>
      <x:c r="D1231" s="62"/>
      <x:c r="E1231" s="61"/>
      <x:c r="F1231" s="61"/>
      <x:c r="G1231" s="63"/>
      <x:c r="H1231" s="63">
        <x:f t="shared" si="87"/>
        <x:v>0</x:v>
      </x:c>
      <x:c r="I1231" s="64"/>
      <x:c r="J1231" s="63">
        <x:f t="shared" si="88"/>
        <x:v>0</x:v>
      </x:c>
      <x:c r="K1231" s="63" t="str">
        <x:f t="shared" si="86"/>
      </x:c>
      <x:c r="L1231" s="63">
        <x:f t="shared" si="89"/>
        <x:v>0</x:v>
      </x:c>
      <x:c r="M1231" s="61"/>
    </x:row>
    <x:row r="1232">
      <x:c r="A1232" s="61" t="str">
        <x:f>IF(E1232="","",MAX($A$6:A1231)+1)</x:f>
      </x:c>
      <x:c r="B1232" s="61"/>
      <x:c r="C1232" s="61"/>
      <x:c r="D1232" s="62"/>
      <x:c r="E1232" s="61"/>
      <x:c r="F1232" s="61"/>
      <x:c r="G1232" s="63"/>
      <x:c r="H1232" s="63">
        <x:f t="shared" si="87"/>
        <x:v>0</x:v>
      </x:c>
      <x:c r="I1232" s="64"/>
      <x:c r="J1232" s="63">
        <x:f t="shared" si="88"/>
        <x:v>0</x:v>
      </x:c>
      <x:c r="K1232" s="63" t="str">
        <x:f t="shared" si="86"/>
      </x:c>
      <x:c r="L1232" s="63">
        <x:f t="shared" si="89"/>
        <x:v>0</x:v>
      </x:c>
      <x:c r="M1232" s="61"/>
    </x:row>
    <x:row r="1233">
      <x:c r="A1233" s="61" t="str">
        <x:f>IF(E1233="","",MAX($A$6:A1232)+1)</x:f>
      </x:c>
      <x:c r="B1233" s="61"/>
      <x:c r="C1233" s="61"/>
      <x:c r="D1233" s="62"/>
      <x:c r="E1233" s="61"/>
      <x:c r="F1233" s="61"/>
      <x:c r="G1233" s="63"/>
      <x:c r="H1233" s="63">
        <x:f t="shared" si="87"/>
        <x:v>0</x:v>
      </x:c>
      <x:c r="I1233" s="64"/>
      <x:c r="J1233" s="63">
        <x:f t="shared" si="88"/>
        <x:v>0</x:v>
      </x:c>
      <x:c r="K1233" s="63" t="str">
        <x:f t="shared" si="86"/>
      </x:c>
      <x:c r="L1233" s="63">
        <x:f t="shared" si="89"/>
        <x:v>0</x:v>
      </x:c>
      <x:c r="M1233" s="61"/>
    </x:row>
    <x:row r="1234">
      <x:c r="A1234" s="61" t="str">
        <x:f>IF(E1234="","",MAX($A$6:A1233)+1)</x:f>
      </x:c>
      <x:c r="B1234" s="61"/>
      <x:c r="C1234" s="61"/>
      <x:c r="D1234" s="62"/>
      <x:c r="E1234" s="61"/>
      <x:c r="F1234" s="61"/>
      <x:c r="G1234" s="63"/>
      <x:c r="H1234" s="63">
        <x:f t="shared" si="87"/>
        <x:v>0</x:v>
      </x:c>
      <x:c r="I1234" s="64"/>
      <x:c r="J1234" s="63">
        <x:f t="shared" si="88"/>
        <x:v>0</x:v>
      </x:c>
      <x:c r="K1234" s="63" t="str">
        <x:f t="shared" si="86"/>
      </x:c>
      <x:c r="L1234" s="63">
        <x:f t="shared" si="89"/>
        <x:v>0</x:v>
      </x:c>
      <x:c r="M1234" s="61"/>
    </x:row>
    <x:row r="1235">
      <x:c r="A1235" s="61" t="str">
        <x:f>IF(E1235="","",MAX($A$6:A1234)+1)</x:f>
      </x:c>
      <x:c r="B1235" s="61"/>
      <x:c r="C1235" s="61"/>
      <x:c r="D1235" s="62"/>
      <x:c r="E1235" s="61"/>
      <x:c r="F1235" s="61"/>
      <x:c r="G1235" s="63"/>
      <x:c r="H1235" s="63">
        <x:f t="shared" si="87"/>
        <x:v>0</x:v>
      </x:c>
      <x:c r="I1235" s="64"/>
      <x:c r="J1235" s="63">
        <x:f t="shared" si="88"/>
        <x:v>0</x:v>
      </x:c>
      <x:c r="K1235" s="63" t="str">
        <x:f t="shared" si="86"/>
      </x:c>
      <x:c r="L1235" s="63">
        <x:f t="shared" si="89"/>
        <x:v>0</x:v>
      </x:c>
      <x:c r="M1235" s="61"/>
    </x:row>
    <x:row r="1236">
      <x:c r="A1236" s="61" t="str">
        <x:f>IF(E1236="","",MAX($A$6:A1235)+1)</x:f>
      </x:c>
      <x:c r="B1236" s="61"/>
      <x:c r="C1236" s="61"/>
      <x:c r="D1236" s="62"/>
      <x:c r="E1236" s="61"/>
      <x:c r="F1236" s="61"/>
      <x:c r="G1236" s="63"/>
      <x:c r="H1236" s="63">
        <x:f t="shared" si="87"/>
        <x:v>0</x:v>
      </x:c>
      <x:c r="I1236" s="64"/>
      <x:c r="J1236" s="63">
        <x:f t="shared" si="88"/>
        <x:v>0</x:v>
      </x:c>
      <x:c r="K1236" s="63" t="str">
        <x:f t="shared" si="86"/>
      </x:c>
      <x:c r="L1236" s="63">
        <x:f t="shared" si="89"/>
        <x:v>0</x:v>
      </x:c>
      <x:c r="M1236" s="61"/>
    </x:row>
    <x:row r="1237">
      <x:c r="A1237" s="61" t="str">
        <x:f>IF(E1237="","",MAX($A$6:A1236)+1)</x:f>
      </x:c>
      <x:c r="B1237" s="61"/>
      <x:c r="C1237" s="61"/>
      <x:c r="D1237" s="62"/>
      <x:c r="E1237" s="61"/>
      <x:c r="F1237" s="61"/>
      <x:c r="G1237" s="63"/>
      <x:c r="H1237" s="63">
        <x:f t="shared" si="87"/>
        <x:v>0</x:v>
      </x:c>
      <x:c r="I1237" s="64"/>
      <x:c r="J1237" s="63">
        <x:f t="shared" si="88"/>
        <x:v>0</x:v>
      </x:c>
      <x:c r="K1237" s="63" t="str">
        <x:f t="shared" si="86"/>
      </x:c>
      <x:c r="L1237" s="63">
        <x:f t="shared" si="89"/>
        <x:v>0</x:v>
      </x:c>
      <x:c r="M1237" s="61"/>
    </x:row>
    <x:row r="1238">
      <x:c r="A1238" s="61" t="str">
        <x:f>IF(E1238="","",MAX($A$6:A1237)+1)</x:f>
      </x:c>
      <x:c r="B1238" s="61"/>
      <x:c r="C1238" s="61"/>
      <x:c r="D1238" s="62"/>
      <x:c r="E1238" s="61"/>
      <x:c r="F1238" s="61"/>
      <x:c r="G1238" s="63"/>
      <x:c r="H1238" s="63">
        <x:f t="shared" si="87"/>
        <x:v>0</x:v>
      </x:c>
      <x:c r="I1238" s="64"/>
      <x:c r="J1238" s="63">
        <x:f t="shared" si="88"/>
        <x:v>0</x:v>
      </x:c>
      <x:c r="K1238" s="63" t="str">
        <x:f t="shared" si="86"/>
      </x:c>
      <x:c r="L1238" s="63">
        <x:f t="shared" si="89"/>
        <x:v>0</x:v>
      </x:c>
      <x:c r="M1238" s="61"/>
    </x:row>
    <x:row r="1239">
      <x:c r="A1239" s="61" t="str">
        <x:f>IF(E1239="","",MAX($A$6:A1238)+1)</x:f>
      </x:c>
      <x:c r="B1239" s="61"/>
      <x:c r="C1239" s="61"/>
      <x:c r="D1239" s="62"/>
      <x:c r="E1239" s="61"/>
      <x:c r="F1239" s="61"/>
      <x:c r="G1239" s="63"/>
      <x:c r="H1239" s="63">
        <x:f t="shared" si="87"/>
        <x:v>0</x:v>
      </x:c>
      <x:c r="I1239" s="64"/>
      <x:c r="J1239" s="63">
        <x:f t="shared" si="88"/>
        <x:v>0</x:v>
      </x:c>
      <x:c r="K1239" s="63" t="str">
        <x:f t="shared" si="86"/>
      </x:c>
      <x:c r="L1239" s="63">
        <x:f t="shared" si="89"/>
        <x:v>0</x:v>
      </x:c>
      <x:c r="M1239" s="61"/>
    </x:row>
    <x:row r="1240">
      <x:c r="A1240" s="61" t="str">
        <x:f>IF(E1240="","",MAX($A$6:A1239)+1)</x:f>
      </x:c>
      <x:c r="B1240" s="61"/>
      <x:c r="C1240" s="61"/>
      <x:c r="D1240" s="62"/>
      <x:c r="E1240" s="61"/>
      <x:c r="F1240" s="61"/>
      <x:c r="G1240" s="63"/>
      <x:c r="H1240" s="63">
        <x:f t="shared" si="87"/>
        <x:v>0</x:v>
      </x:c>
      <x:c r="I1240" s="64"/>
      <x:c r="J1240" s="63">
        <x:f t="shared" si="88"/>
        <x:v>0</x:v>
      </x:c>
      <x:c r="K1240" s="63" t="str">
        <x:f t="shared" si="86"/>
      </x:c>
      <x:c r="L1240" s="63">
        <x:f t="shared" si="89"/>
        <x:v>0</x:v>
      </x:c>
      <x:c r="M1240" s="61"/>
    </x:row>
    <x:row r="1241">
      <x:c r="A1241" s="61" t="str">
        <x:f>IF(E1241="","",MAX($A$6:A1240)+1)</x:f>
      </x:c>
      <x:c r="B1241" s="61"/>
      <x:c r="C1241" s="61"/>
      <x:c r="D1241" s="62"/>
      <x:c r="E1241" s="61"/>
      <x:c r="F1241" s="61"/>
      <x:c r="G1241" s="63"/>
      <x:c r="H1241" s="63">
        <x:f t="shared" si="87"/>
        <x:v>0</x:v>
      </x:c>
      <x:c r="I1241" s="64"/>
      <x:c r="J1241" s="63">
        <x:f t="shared" si="88"/>
        <x:v>0</x:v>
      </x:c>
      <x:c r="K1241" s="63" t="str">
        <x:f t="shared" si="86"/>
      </x:c>
      <x:c r="L1241" s="63">
        <x:f t="shared" si="89"/>
        <x:v>0</x:v>
      </x:c>
      <x:c r="M1241" s="61"/>
    </x:row>
    <x:row r="1242">
      <x:c r="A1242" s="61" t="str">
        <x:f>IF(E1242="","",MAX($A$6:A1241)+1)</x:f>
      </x:c>
      <x:c r="B1242" s="61"/>
      <x:c r="C1242" s="61"/>
      <x:c r="D1242" s="62"/>
      <x:c r="E1242" s="61"/>
      <x:c r="F1242" s="61"/>
      <x:c r="G1242" s="63"/>
      <x:c r="H1242" s="63">
        <x:f t="shared" si="87"/>
        <x:v>0</x:v>
      </x:c>
      <x:c r="I1242" s="64"/>
      <x:c r="J1242" s="63">
        <x:f t="shared" si="88"/>
        <x:v>0</x:v>
      </x:c>
      <x:c r="K1242" s="63" t="str">
        <x:f t="shared" si="86"/>
      </x:c>
      <x:c r="L1242" s="63">
        <x:f t="shared" si="89"/>
        <x:v>0</x:v>
      </x:c>
      <x:c r="M1242" s="61"/>
    </x:row>
    <x:row r="1243">
      <x:c r="A1243" s="61" t="str">
        <x:f>IF(E1243="","",MAX($A$6:A1242)+1)</x:f>
      </x:c>
      <x:c r="B1243" s="61"/>
      <x:c r="C1243" s="61"/>
      <x:c r="D1243" s="62"/>
      <x:c r="E1243" s="61"/>
      <x:c r="F1243" s="61"/>
      <x:c r="G1243" s="63"/>
      <x:c r="H1243" s="63">
        <x:f t="shared" si="87"/>
        <x:v>0</x:v>
      </x:c>
      <x:c r="I1243" s="64"/>
      <x:c r="J1243" s="63">
        <x:f t="shared" si="88"/>
        <x:v>0</x:v>
      </x:c>
      <x:c r="K1243" s="63" t="str">
        <x:f t="shared" si="86"/>
      </x:c>
      <x:c r="L1243" s="63">
        <x:f t="shared" si="89"/>
        <x:v>0</x:v>
      </x:c>
      <x:c r="M1243" s="61"/>
    </x:row>
    <x:row r="1244">
      <x:c r="A1244" s="61" t="str">
        <x:f>IF(E1244="","",MAX($A$6:A1243)+1)</x:f>
      </x:c>
      <x:c r="B1244" s="61"/>
      <x:c r="C1244" s="61"/>
      <x:c r="D1244" s="62"/>
      <x:c r="E1244" s="61"/>
      <x:c r="F1244" s="61"/>
      <x:c r="G1244" s="63"/>
      <x:c r="H1244" s="63">
        <x:f t="shared" si="87"/>
        <x:v>0</x:v>
      </x:c>
      <x:c r="I1244" s="64"/>
      <x:c r="J1244" s="63">
        <x:f t="shared" si="88"/>
        <x:v>0</x:v>
      </x:c>
      <x:c r="K1244" s="63" t="str">
        <x:f t="shared" si="86"/>
      </x:c>
      <x:c r="L1244" s="63">
        <x:f t="shared" si="89"/>
        <x:v>0</x:v>
      </x:c>
      <x:c r="M1244" s="61"/>
    </x:row>
    <x:row r="1245">
      <x:c r="A1245" s="61" t="str">
        <x:f>IF(E1245="","",MAX($A$6:A1244)+1)</x:f>
      </x:c>
      <x:c r="B1245" s="61"/>
      <x:c r="C1245" s="61"/>
      <x:c r="D1245" s="62"/>
      <x:c r="E1245" s="61"/>
      <x:c r="F1245" s="61"/>
      <x:c r="G1245" s="63"/>
      <x:c r="H1245" s="63">
        <x:f t="shared" si="87"/>
        <x:v>0</x:v>
      </x:c>
      <x:c r="I1245" s="64"/>
      <x:c r="J1245" s="63">
        <x:f t="shared" si="88"/>
        <x:v>0</x:v>
      </x:c>
      <x:c r="K1245" s="63" t="str">
        <x:f t="shared" si="86"/>
      </x:c>
      <x:c r="L1245" s="63">
        <x:f t="shared" si="89"/>
        <x:v>0</x:v>
      </x:c>
      <x:c r="M1245" s="61"/>
    </x:row>
    <x:row r="1246">
      <x:c r="A1246" s="61" t="str">
        <x:f>IF(E1246="","",MAX($A$6:A1245)+1)</x:f>
      </x:c>
      <x:c r="B1246" s="61"/>
      <x:c r="C1246" s="61"/>
      <x:c r="D1246" s="62"/>
      <x:c r="E1246" s="61"/>
      <x:c r="F1246" s="61"/>
      <x:c r="G1246" s="63"/>
      <x:c r="H1246" s="63">
        <x:f t="shared" si="87"/>
        <x:v>0</x:v>
      </x:c>
      <x:c r="I1246" s="64"/>
      <x:c r="J1246" s="63">
        <x:f t="shared" si="88"/>
        <x:v>0</x:v>
      </x:c>
      <x:c r="K1246" s="63" t="str">
        <x:f t="shared" si="86"/>
      </x:c>
      <x:c r="L1246" s="63">
        <x:f t="shared" si="89"/>
        <x:v>0</x:v>
      </x:c>
      <x:c r="M1246" s="61"/>
    </x:row>
    <x:row r="1247">
      <x:c r="A1247" s="61" t="str">
        <x:f>IF(E1247="","",MAX($A$6:A1246)+1)</x:f>
      </x:c>
      <x:c r="B1247" s="61"/>
      <x:c r="C1247" s="61"/>
      <x:c r="D1247" s="62"/>
      <x:c r="E1247" s="61"/>
      <x:c r="F1247" s="61"/>
      <x:c r="G1247" s="63"/>
      <x:c r="H1247" s="63">
        <x:f t="shared" si="87"/>
        <x:v>0</x:v>
      </x:c>
      <x:c r="I1247" s="64"/>
      <x:c r="J1247" s="63">
        <x:f t="shared" si="88"/>
        <x:v>0</x:v>
      </x:c>
      <x:c r="K1247" s="63" t="str">
        <x:f t="shared" si="86"/>
      </x:c>
      <x:c r="L1247" s="63">
        <x:f t="shared" si="89"/>
        <x:v>0</x:v>
      </x:c>
      <x:c r="M1247" s="61"/>
    </x:row>
    <x:row r="1248">
      <x:c r="A1248" s="61" t="str">
        <x:f>IF(E1248="","",MAX($A$6:A1247)+1)</x:f>
      </x:c>
      <x:c r="B1248" s="61"/>
      <x:c r="C1248" s="61"/>
      <x:c r="D1248" s="62"/>
      <x:c r="E1248" s="61"/>
      <x:c r="F1248" s="61"/>
      <x:c r="G1248" s="63"/>
      <x:c r="H1248" s="63">
        <x:f t="shared" si="87"/>
        <x:v>0</x:v>
      </x:c>
      <x:c r="I1248" s="64"/>
      <x:c r="J1248" s="63">
        <x:f t="shared" si="88"/>
        <x:v>0</x:v>
      </x:c>
      <x:c r="K1248" s="63" t="str">
        <x:f t="shared" si="86"/>
      </x:c>
      <x:c r="L1248" s="63">
        <x:f t="shared" si="89"/>
        <x:v>0</x:v>
      </x:c>
      <x:c r="M1248" s="61"/>
    </x:row>
    <x:row r="1249">
      <x:c r="A1249" s="61" t="str">
        <x:f>IF(E1249="","",MAX($A$6:A1248)+1)</x:f>
      </x:c>
      <x:c r="B1249" s="61"/>
      <x:c r="C1249" s="61"/>
      <x:c r="D1249" s="62"/>
      <x:c r="E1249" s="61"/>
      <x:c r="F1249" s="61"/>
      <x:c r="G1249" s="63"/>
      <x:c r="H1249" s="63">
        <x:f t="shared" si="87"/>
        <x:v>0</x:v>
      </x:c>
      <x:c r="I1249" s="64"/>
      <x:c r="J1249" s="63">
        <x:f t="shared" si="88"/>
        <x:v>0</x:v>
      </x:c>
      <x:c r="K1249" s="63" t="str">
        <x:f t="shared" si="86"/>
      </x:c>
      <x:c r="L1249" s="63">
        <x:f t="shared" si="89"/>
        <x:v>0</x:v>
      </x:c>
      <x:c r="M1249" s="61"/>
    </x:row>
    <x:row r="1250">
      <x:c r="A1250" s="61" t="str">
        <x:f>IF(E1250="","",MAX($A$6:A1249)+1)</x:f>
      </x:c>
      <x:c r="B1250" s="61"/>
      <x:c r="C1250" s="61"/>
      <x:c r="D1250" s="62"/>
      <x:c r="E1250" s="61"/>
      <x:c r="F1250" s="61"/>
      <x:c r="G1250" s="63"/>
      <x:c r="H1250" s="63">
        <x:f t="shared" si="87"/>
        <x:v>0</x:v>
      </x:c>
      <x:c r="I1250" s="64"/>
      <x:c r="J1250" s="63">
        <x:f t="shared" si="88"/>
        <x:v>0</x:v>
      </x:c>
      <x:c r="K1250" s="63" t="str">
        <x:f t="shared" si="86"/>
      </x:c>
      <x:c r="L1250" s="63">
        <x:f t="shared" si="89"/>
        <x:v>0</x:v>
      </x:c>
      <x:c r="M1250" s="61"/>
    </x:row>
    <x:row r="1251">
      <x:c r="A1251" s="61" t="str">
        <x:f>IF(E1251="","",MAX($A$6:A1250)+1)</x:f>
      </x:c>
      <x:c r="B1251" s="61"/>
      <x:c r="C1251" s="61"/>
      <x:c r="D1251" s="62"/>
      <x:c r="E1251" s="61"/>
      <x:c r="F1251" s="61"/>
      <x:c r="G1251" s="63"/>
      <x:c r="H1251" s="63">
        <x:f t="shared" si="87"/>
        <x:v>0</x:v>
      </x:c>
      <x:c r="I1251" s="64"/>
      <x:c r="J1251" s="63">
        <x:f t="shared" si="88"/>
        <x:v>0</x:v>
      </x:c>
      <x:c r="K1251" s="63" t="str">
        <x:f t="shared" si="86"/>
      </x:c>
      <x:c r="L1251" s="63">
        <x:f t="shared" si="89"/>
        <x:v>0</x:v>
      </x:c>
      <x:c r="M1251" s="61"/>
    </x:row>
    <x:row r="1252">
      <x:c r="A1252" s="61" t="str">
        <x:f>IF(E1252="","",MAX($A$6:A1251)+1)</x:f>
      </x:c>
      <x:c r="B1252" s="61"/>
      <x:c r="C1252" s="61"/>
      <x:c r="D1252" s="62"/>
      <x:c r="E1252" s="61"/>
      <x:c r="F1252" s="61"/>
      <x:c r="G1252" s="63"/>
      <x:c r="H1252" s="63">
        <x:f t="shared" si="87"/>
        <x:v>0</x:v>
      </x:c>
      <x:c r="I1252" s="64"/>
      <x:c r="J1252" s="63">
        <x:f t="shared" si="88"/>
        <x:v>0</x:v>
      </x:c>
      <x:c r="K1252" s="63" t="str">
        <x:f t="shared" si="86"/>
      </x:c>
      <x:c r="L1252" s="63">
        <x:f t="shared" si="89"/>
        <x:v>0</x:v>
      </x:c>
      <x:c r="M1252" s="61"/>
    </x:row>
    <x:row r="1253">
      <x:c r="A1253" s="61" t="str">
        <x:f>IF(E1253="","",MAX($A$6:A1252)+1)</x:f>
      </x:c>
      <x:c r="B1253" s="61"/>
      <x:c r="C1253" s="61"/>
      <x:c r="D1253" s="62"/>
      <x:c r="E1253" s="61"/>
      <x:c r="F1253" s="61"/>
      <x:c r="G1253" s="63"/>
      <x:c r="H1253" s="63">
        <x:f t="shared" si="87"/>
        <x:v>0</x:v>
      </x:c>
      <x:c r="I1253" s="64"/>
      <x:c r="J1253" s="63">
        <x:f t="shared" si="88"/>
        <x:v>0</x:v>
      </x:c>
      <x:c r="K1253" s="63" t="str">
        <x:f t="shared" si="86"/>
      </x:c>
      <x:c r="L1253" s="63">
        <x:f t="shared" si="89"/>
        <x:v>0</x:v>
      </x:c>
      <x:c r="M1253" s="61"/>
    </x:row>
    <x:row r="1254">
      <x:c r="A1254" s="61" t="str">
        <x:f>IF(E1254="","",MAX($A$6:A1253)+1)</x:f>
      </x:c>
      <x:c r="B1254" s="61"/>
      <x:c r="C1254" s="61"/>
      <x:c r="D1254" s="62"/>
      <x:c r="E1254" s="61"/>
      <x:c r="F1254" s="61"/>
      <x:c r="G1254" s="63"/>
      <x:c r="H1254" s="63">
        <x:f t="shared" si="87"/>
        <x:v>0</x:v>
      </x:c>
      <x:c r="I1254" s="64"/>
      <x:c r="J1254" s="63">
        <x:f t="shared" si="88"/>
        <x:v>0</x:v>
      </x:c>
      <x:c r="K1254" s="63" t="str">
        <x:f t="shared" si="86"/>
      </x:c>
      <x:c r="L1254" s="63">
        <x:f t="shared" si="89"/>
        <x:v>0</x:v>
      </x:c>
      <x:c r="M1254" s="61"/>
    </x:row>
    <x:row r="1255">
      <x:c r="A1255" s="61" t="str">
        <x:f>IF(E1255="","",MAX($A$6:A1254)+1)</x:f>
      </x:c>
      <x:c r="B1255" s="61"/>
      <x:c r="C1255" s="61"/>
      <x:c r="D1255" s="62"/>
      <x:c r="E1255" s="61"/>
      <x:c r="F1255" s="61"/>
      <x:c r="G1255" s="63"/>
      <x:c r="H1255" s="63">
        <x:f t="shared" si="87"/>
        <x:v>0</x:v>
      </x:c>
      <x:c r="I1255" s="64"/>
      <x:c r="J1255" s="63">
        <x:f t="shared" si="88"/>
        <x:v>0</x:v>
      </x:c>
      <x:c r="K1255" s="63" t="str">
        <x:f t="shared" si="86"/>
      </x:c>
      <x:c r="L1255" s="63">
        <x:f t="shared" si="89"/>
        <x:v>0</x:v>
      </x:c>
      <x:c r="M1255" s="61"/>
    </x:row>
    <x:row r="1256">
      <x:c r="A1256" s="61" t="str">
        <x:f>IF(E1256="","",MAX($A$6:A1255)+1)</x:f>
      </x:c>
      <x:c r="B1256" s="61"/>
      <x:c r="C1256" s="61"/>
      <x:c r="D1256" s="62"/>
      <x:c r="E1256" s="61"/>
      <x:c r="F1256" s="61"/>
      <x:c r="G1256" s="63"/>
      <x:c r="H1256" s="63">
        <x:f t="shared" si="87"/>
        <x:v>0</x:v>
      </x:c>
      <x:c r="I1256" s="64"/>
      <x:c r="J1256" s="63">
        <x:f t="shared" si="88"/>
        <x:v>0</x:v>
      </x:c>
      <x:c r="K1256" s="63" t="str">
        <x:f t="shared" si="86"/>
      </x:c>
      <x:c r="L1256" s="63">
        <x:f t="shared" si="89"/>
        <x:v>0</x:v>
      </x:c>
      <x:c r="M1256" s="61"/>
    </x:row>
    <x:row r="1257">
      <x:c r="A1257" s="61" t="str">
        <x:f>IF(E1257="","",MAX($A$6:A1256)+1)</x:f>
      </x:c>
      <x:c r="B1257" s="61"/>
      <x:c r="C1257" s="61"/>
      <x:c r="D1257" s="62"/>
      <x:c r="E1257" s="61"/>
      <x:c r="F1257" s="61"/>
      <x:c r="G1257" s="63"/>
      <x:c r="H1257" s="63">
        <x:f t="shared" si="87"/>
        <x:v>0</x:v>
      </x:c>
      <x:c r="I1257" s="64"/>
      <x:c r="J1257" s="63">
        <x:f t="shared" si="88"/>
        <x:v>0</x:v>
      </x:c>
      <x:c r="K1257" s="63" t="str">
        <x:f t="shared" si="86"/>
      </x:c>
      <x:c r="L1257" s="63">
        <x:f t="shared" si="89"/>
        <x:v>0</x:v>
      </x:c>
      <x:c r="M1257" s="61"/>
    </x:row>
    <x:row r="1258">
      <x:c r="A1258" s="61" t="str">
        <x:f>IF(E1258="","",MAX($A$6:A1257)+1)</x:f>
      </x:c>
      <x:c r="B1258" s="61"/>
      <x:c r="C1258" s="61"/>
      <x:c r="D1258" s="62"/>
      <x:c r="E1258" s="61"/>
      <x:c r="F1258" s="61"/>
      <x:c r="G1258" s="63"/>
      <x:c r="H1258" s="63">
        <x:f t="shared" si="87"/>
        <x:v>0</x:v>
      </x:c>
      <x:c r="I1258" s="64"/>
      <x:c r="J1258" s="63">
        <x:f t="shared" si="88"/>
        <x:v>0</x:v>
      </x:c>
      <x:c r="K1258" s="63" t="str">
        <x:f t="shared" si="86"/>
      </x:c>
      <x:c r="L1258" s="63">
        <x:f t="shared" si="89"/>
        <x:v>0</x:v>
      </x:c>
      <x:c r="M1258" s="61"/>
    </x:row>
    <x:row r="1259">
      <x:c r="A1259" s="61" t="str">
        <x:f>IF(E1259="","",MAX($A$6:A1258)+1)</x:f>
      </x:c>
      <x:c r="B1259" s="61"/>
      <x:c r="C1259" s="61"/>
      <x:c r="D1259" s="62"/>
      <x:c r="E1259" s="61"/>
      <x:c r="F1259" s="61"/>
      <x:c r="G1259" s="63"/>
      <x:c r="H1259" s="63">
        <x:f t="shared" si="87"/>
        <x:v>0</x:v>
      </x:c>
      <x:c r="I1259" s="64"/>
      <x:c r="J1259" s="63">
        <x:f t="shared" si="88"/>
        <x:v>0</x:v>
      </x:c>
      <x:c r="K1259" s="63" t="str">
        <x:f t="shared" si="86"/>
      </x:c>
      <x:c r="L1259" s="63">
        <x:f t="shared" si="89"/>
        <x:v>0</x:v>
      </x:c>
      <x:c r="M1259" s="61"/>
    </x:row>
    <x:row r="1260">
      <x:c r="A1260" s="61" t="str">
        <x:f>IF(E1260="","",MAX($A$6:A1259)+1)</x:f>
      </x:c>
      <x:c r="B1260" s="61"/>
      <x:c r="C1260" s="61"/>
      <x:c r="D1260" s="62"/>
      <x:c r="E1260" s="61"/>
      <x:c r="F1260" s="61"/>
      <x:c r="G1260" s="63"/>
      <x:c r="H1260" s="63">
        <x:f t="shared" si="87"/>
        <x:v>0</x:v>
      </x:c>
      <x:c r="I1260" s="64"/>
      <x:c r="J1260" s="63">
        <x:f t="shared" si="88"/>
        <x:v>0</x:v>
      </x:c>
      <x:c r="K1260" s="63" t="str">
        <x:f t="shared" si="86"/>
      </x:c>
      <x:c r="L1260" s="63">
        <x:f t="shared" si="89"/>
        <x:v>0</x:v>
      </x:c>
      <x:c r="M1260" s="61"/>
    </x:row>
    <x:row r="1261">
      <x:c r="A1261" s="61" t="str">
        <x:f>IF(E1261="","",MAX($A$6:A1260)+1)</x:f>
      </x:c>
      <x:c r="B1261" s="61"/>
      <x:c r="C1261" s="61"/>
      <x:c r="D1261" s="62"/>
      <x:c r="E1261" s="61"/>
      <x:c r="F1261" s="61"/>
      <x:c r="G1261" s="63"/>
      <x:c r="H1261" s="63">
        <x:f t="shared" si="87"/>
        <x:v>0</x:v>
      </x:c>
      <x:c r="I1261" s="64"/>
      <x:c r="J1261" s="63">
        <x:f t="shared" si="88"/>
        <x:v>0</x:v>
      </x:c>
      <x:c r="K1261" s="63" t="str">
        <x:f t="shared" si="86"/>
      </x:c>
      <x:c r="L1261" s="63">
        <x:f t="shared" si="89"/>
        <x:v>0</x:v>
      </x:c>
      <x:c r="M1261" s="61"/>
    </x:row>
    <x:row r="1262">
      <x:c r="A1262" s="61" t="str">
        <x:f>IF(E1262="","",MAX($A$6:A1261)+1)</x:f>
      </x:c>
      <x:c r="B1262" s="61"/>
      <x:c r="C1262" s="61"/>
      <x:c r="D1262" s="62"/>
      <x:c r="E1262" s="61"/>
      <x:c r="F1262" s="61"/>
      <x:c r="G1262" s="63"/>
      <x:c r="H1262" s="63">
        <x:f t="shared" si="87"/>
        <x:v>0</x:v>
      </x:c>
      <x:c r="I1262" s="64"/>
      <x:c r="J1262" s="63">
        <x:f t="shared" si="88"/>
        <x:v>0</x:v>
      </x:c>
      <x:c r="K1262" s="63" t="str">
        <x:f t="shared" si="86"/>
      </x:c>
      <x:c r="L1262" s="63">
        <x:f t="shared" si="89"/>
        <x:v>0</x:v>
      </x:c>
      <x:c r="M1262" s="61"/>
    </x:row>
    <x:row r="1263">
      <x:c r="A1263" s="61" t="str">
        <x:f>IF(E1263="","",MAX($A$6:A1262)+1)</x:f>
      </x:c>
      <x:c r="B1263" s="61"/>
      <x:c r="C1263" s="61"/>
      <x:c r="D1263" s="62"/>
      <x:c r="E1263" s="61"/>
      <x:c r="F1263" s="61"/>
      <x:c r="G1263" s="63"/>
      <x:c r="H1263" s="63">
        <x:f t="shared" si="87"/>
        <x:v>0</x:v>
      </x:c>
      <x:c r="I1263" s="64"/>
      <x:c r="J1263" s="63">
        <x:f t="shared" si="88"/>
        <x:v>0</x:v>
      </x:c>
      <x:c r="K1263" s="63" t="str">
        <x:f t="shared" si="86"/>
      </x:c>
      <x:c r="L1263" s="63">
        <x:f t="shared" si="89"/>
        <x:v>0</x:v>
      </x:c>
      <x:c r="M1263" s="61"/>
    </x:row>
    <x:row r="1264">
      <x:c r="A1264" s="61" t="str">
        <x:f>IF(E1264="","",MAX($A$6:A1263)+1)</x:f>
      </x:c>
      <x:c r="B1264" s="61"/>
      <x:c r="C1264" s="61"/>
      <x:c r="D1264" s="62"/>
      <x:c r="E1264" s="61"/>
      <x:c r="F1264" s="61"/>
      <x:c r="G1264" s="63"/>
      <x:c r="H1264" s="63">
        <x:f t="shared" si="87"/>
        <x:v>0</x:v>
      </x:c>
      <x:c r="I1264" s="64"/>
      <x:c r="J1264" s="63">
        <x:f t="shared" si="88"/>
        <x:v>0</x:v>
      </x:c>
      <x:c r="K1264" s="63" t="str">
        <x:f t="shared" si="86"/>
      </x:c>
      <x:c r="L1264" s="63">
        <x:f t="shared" si="89"/>
        <x:v>0</x:v>
      </x:c>
      <x:c r="M1264" s="61"/>
    </x:row>
    <x:row r="1265">
      <x:c r="A1265" s="61" t="str">
        <x:f>IF(E1265="","",MAX($A$6:A1264)+1)</x:f>
      </x:c>
      <x:c r="B1265" s="61"/>
      <x:c r="C1265" s="61"/>
      <x:c r="D1265" s="62"/>
      <x:c r="E1265" s="61"/>
      <x:c r="F1265" s="61"/>
      <x:c r="G1265" s="63"/>
      <x:c r="H1265" s="63">
        <x:f t="shared" si="87"/>
        <x:v>0</x:v>
      </x:c>
      <x:c r="I1265" s="64"/>
      <x:c r="J1265" s="63">
        <x:f t="shared" si="88"/>
        <x:v>0</x:v>
      </x:c>
      <x:c r="K1265" s="63" t="str">
        <x:f t="shared" si="86"/>
      </x:c>
      <x:c r="L1265" s="63">
        <x:f t="shared" si="89"/>
        <x:v>0</x:v>
      </x:c>
      <x:c r="M1265" s="61"/>
    </x:row>
    <x:row r="1266">
      <x:c r="A1266" s="61" t="str">
        <x:f>IF(E1266="","",MAX($A$6:A1265)+1)</x:f>
      </x:c>
      <x:c r="B1266" s="61"/>
      <x:c r="C1266" s="61"/>
      <x:c r="D1266" s="62"/>
      <x:c r="E1266" s="61"/>
      <x:c r="F1266" s="61"/>
      <x:c r="G1266" s="63"/>
      <x:c r="H1266" s="63">
        <x:f t="shared" si="87"/>
        <x:v>0</x:v>
      </x:c>
      <x:c r="I1266" s="64"/>
      <x:c r="J1266" s="63">
        <x:f t="shared" si="88"/>
        <x:v>0</x:v>
      </x:c>
      <x:c r="K1266" s="63" t="str">
        <x:f t="shared" si="86"/>
      </x:c>
      <x:c r="L1266" s="63">
        <x:f t="shared" si="89"/>
        <x:v>0</x:v>
      </x:c>
      <x:c r="M1266" s="61"/>
    </x:row>
    <x:row r="1267">
      <x:c r="A1267" s="61" t="str">
        <x:f>IF(E1267="","",MAX($A$6:A1266)+1)</x:f>
      </x:c>
      <x:c r="B1267" s="61"/>
      <x:c r="C1267" s="61"/>
      <x:c r="D1267" s="62"/>
      <x:c r="E1267" s="61"/>
      <x:c r="F1267" s="61"/>
      <x:c r="G1267" s="63"/>
      <x:c r="H1267" s="63">
        <x:f t="shared" si="87"/>
        <x:v>0</x:v>
      </x:c>
      <x:c r="I1267" s="64"/>
      <x:c r="J1267" s="63">
        <x:f t="shared" si="88"/>
        <x:v>0</x:v>
      </x:c>
      <x:c r="K1267" s="63" t="str">
        <x:f t="shared" si="86"/>
      </x:c>
      <x:c r="L1267" s="63">
        <x:f t="shared" si="89"/>
        <x:v>0</x:v>
      </x:c>
      <x:c r="M1267" s="61"/>
    </x:row>
    <x:row r="1268">
      <x:c r="A1268" s="61" t="str">
        <x:f>IF(E1268="","",MAX($A$6:A1267)+1)</x:f>
      </x:c>
      <x:c r="B1268" s="61"/>
      <x:c r="C1268" s="61"/>
      <x:c r="D1268" s="62"/>
      <x:c r="E1268" s="61"/>
      <x:c r="F1268" s="61"/>
      <x:c r="G1268" s="63"/>
      <x:c r="H1268" s="63">
        <x:f t="shared" si="87"/>
        <x:v>0</x:v>
      </x:c>
      <x:c r="I1268" s="64"/>
      <x:c r="J1268" s="63">
        <x:f t="shared" si="88"/>
        <x:v>0</x:v>
      </x:c>
      <x:c r="K1268" s="63" t="str">
        <x:f t="shared" si="86"/>
      </x:c>
      <x:c r="L1268" s="63">
        <x:f t="shared" si="89"/>
        <x:v>0</x:v>
      </x:c>
      <x:c r="M1268" s="61"/>
    </x:row>
    <x:row r="1269">
      <x:c r="A1269" s="61" t="str">
        <x:f>IF(E1269="","",MAX($A$6:A1268)+1)</x:f>
      </x:c>
      <x:c r="B1269" s="61"/>
      <x:c r="C1269" s="61"/>
      <x:c r="D1269" s="62"/>
      <x:c r="E1269" s="61"/>
      <x:c r="F1269" s="61"/>
      <x:c r="G1269" s="63"/>
      <x:c r="H1269" s="63">
        <x:f t="shared" si="87"/>
        <x:v>0</x:v>
      </x:c>
      <x:c r="I1269" s="64"/>
      <x:c r="J1269" s="63">
        <x:f t="shared" si="88"/>
        <x:v>0</x:v>
      </x:c>
      <x:c r="K1269" s="63" t="str">
        <x:f t="shared" si="86"/>
      </x:c>
      <x:c r="L1269" s="63">
        <x:f t="shared" si="89"/>
        <x:v>0</x:v>
      </x:c>
      <x:c r="M1269" s="61"/>
    </x:row>
    <x:row r="1270">
      <x:c r="A1270" s="61" t="str">
        <x:f>IF(E1270="","",MAX($A$6:A1269)+1)</x:f>
      </x:c>
      <x:c r="B1270" s="61"/>
      <x:c r="C1270" s="61"/>
      <x:c r="D1270" s="62"/>
      <x:c r="E1270" s="61"/>
      <x:c r="F1270" s="61"/>
      <x:c r="G1270" s="63"/>
      <x:c r="H1270" s="63">
        <x:f t="shared" si="87"/>
        <x:v>0</x:v>
      </x:c>
      <x:c r="I1270" s="64"/>
      <x:c r="J1270" s="63">
        <x:f t="shared" si="88"/>
        <x:v>0</x:v>
      </x:c>
      <x:c r="K1270" s="63" t="str">
        <x:f t="shared" ref="K1270:K1333" si="90">IFERROR(IF(G1270="","",MAX(1,G1270-J1270)),0)</x:f>
      </x:c>
      <x:c r="L1270" s="63">
        <x:f t="shared" si="89"/>
        <x:v>0</x:v>
      </x:c>
      <x:c r="M1270" s="61"/>
    </x:row>
    <x:row r="1271">
      <x:c r="A1271" s="61" t="str">
        <x:f>IF(E1271="","",MAX($A$6:A1270)+1)</x:f>
      </x:c>
      <x:c r="B1271" s="61"/>
      <x:c r="C1271" s="61"/>
      <x:c r="D1271" s="62"/>
      <x:c r="E1271" s="61"/>
      <x:c r="F1271" s="61"/>
      <x:c r="G1271" s="63"/>
      <x:c r="H1271" s="63">
        <x:f t="shared" si="87"/>
        <x:v>0</x:v>
      </x:c>
      <x:c r="I1271" s="64"/>
      <x:c r="J1271" s="63">
        <x:f t="shared" si="88"/>
        <x:v>0</x:v>
      </x:c>
      <x:c r="K1271" s="63" t="str">
        <x:f t="shared" si="90"/>
      </x:c>
      <x:c r="L1271" s="63">
        <x:f t="shared" si="89"/>
        <x:v>0</x:v>
      </x:c>
      <x:c r="M1271" s="61"/>
    </x:row>
    <x:row r="1272">
      <x:c r="A1272" s="61" t="str">
        <x:f>IF(E1272="","",MAX($A$6:A1271)+1)</x:f>
      </x:c>
      <x:c r="B1272" s="61"/>
      <x:c r="C1272" s="61"/>
      <x:c r="D1272" s="62"/>
      <x:c r="E1272" s="61"/>
      <x:c r="F1272" s="61"/>
      <x:c r="G1272" s="63"/>
      <x:c r="H1272" s="63">
        <x:f t="shared" si="87"/>
        <x:v>0</x:v>
      </x:c>
      <x:c r="I1272" s="64"/>
      <x:c r="J1272" s="63">
        <x:f t="shared" si="88"/>
        <x:v>0</x:v>
      </x:c>
      <x:c r="K1272" s="63" t="str">
        <x:f t="shared" si="90"/>
      </x:c>
      <x:c r="L1272" s="63">
        <x:f t="shared" si="89"/>
        <x:v>0</x:v>
      </x:c>
      <x:c r="M1272" s="61"/>
    </x:row>
    <x:row r="1273">
      <x:c r="A1273" s="61" t="str">
        <x:f>IF(E1273="","",MAX($A$6:A1272)+1)</x:f>
      </x:c>
      <x:c r="B1273" s="61"/>
      <x:c r="C1273" s="61"/>
      <x:c r="D1273" s="62"/>
      <x:c r="E1273" s="61"/>
      <x:c r="F1273" s="61"/>
      <x:c r="G1273" s="63"/>
      <x:c r="H1273" s="63">
        <x:f t="shared" si="87"/>
        <x:v>0</x:v>
      </x:c>
      <x:c r="I1273" s="64"/>
      <x:c r="J1273" s="63">
        <x:f t="shared" si="88"/>
        <x:v>0</x:v>
      </x:c>
      <x:c r="K1273" s="63" t="str">
        <x:f t="shared" si="90"/>
      </x:c>
      <x:c r="L1273" s="63">
        <x:f t="shared" si="89"/>
        <x:v>0</x:v>
      </x:c>
      <x:c r="M1273" s="61"/>
    </x:row>
    <x:row r="1274">
      <x:c r="A1274" s="61" t="str">
        <x:f>IF(E1274="","",MAX($A$6:A1273)+1)</x:f>
      </x:c>
      <x:c r="B1274" s="61"/>
      <x:c r="C1274" s="61"/>
      <x:c r="D1274" s="62"/>
      <x:c r="E1274" s="61"/>
      <x:c r="F1274" s="61"/>
      <x:c r="G1274" s="63"/>
      <x:c r="H1274" s="63">
        <x:f t="shared" si="87"/>
        <x:v>0</x:v>
      </x:c>
      <x:c r="I1274" s="64"/>
      <x:c r="J1274" s="63">
        <x:f t="shared" si="88"/>
        <x:v>0</x:v>
      </x:c>
      <x:c r="K1274" s="63" t="str">
        <x:f t="shared" si="90"/>
      </x:c>
      <x:c r="L1274" s="63">
        <x:f t="shared" si="89"/>
        <x:v>0</x:v>
      </x:c>
      <x:c r="M1274" s="61"/>
    </x:row>
    <x:row r="1275">
      <x:c r="A1275" s="61" t="str">
        <x:f>IF(E1275="","",MAX($A$6:A1274)+1)</x:f>
      </x:c>
      <x:c r="B1275" s="61"/>
      <x:c r="C1275" s="61"/>
      <x:c r="D1275" s="62"/>
      <x:c r="E1275" s="61"/>
      <x:c r="F1275" s="61"/>
      <x:c r="G1275" s="63"/>
      <x:c r="H1275" s="63">
        <x:f t="shared" si="87"/>
        <x:v>0</x:v>
      </x:c>
      <x:c r="I1275" s="64"/>
      <x:c r="J1275" s="63">
        <x:f t="shared" si="88"/>
        <x:v>0</x:v>
      </x:c>
      <x:c r="K1275" s="63" t="str">
        <x:f t="shared" si="90"/>
      </x:c>
      <x:c r="L1275" s="63">
        <x:f t="shared" si="89"/>
        <x:v>0</x:v>
      </x:c>
      <x:c r="M1275" s="61"/>
    </x:row>
    <x:row r="1276">
      <x:c r="A1276" s="61" t="str">
        <x:f>IF(E1276="","",MAX($A$6:A1275)+1)</x:f>
      </x:c>
      <x:c r="B1276" s="61"/>
      <x:c r="C1276" s="61"/>
      <x:c r="D1276" s="62"/>
      <x:c r="E1276" s="61"/>
      <x:c r="F1276" s="61"/>
      <x:c r="G1276" s="63"/>
      <x:c r="H1276" s="63">
        <x:f t="shared" si="87"/>
        <x:v>0</x:v>
      </x:c>
      <x:c r="I1276" s="64"/>
      <x:c r="J1276" s="63">
        <x:f t="shared" si="88"/>
        <x:v>0</x:v>
      </x:c>
      <x:c r="K1276" s="63" t="str">
        <x:f t="shared" si="90"/>
      </x:c>
      <x:c r="L1276" s="63">
        <x:f t="shared" si="89"/>
        <x:v>0</x:v>
      </x:c>
      <x:c r="M1276" s="61"/>
    </x:row>
    <x:row r="1277">
      <x:c r="A1277" s="61" t="str">
        <x:f>IF(E1277="","",MAX($A$6:A1276)+1)</x:f>
      </x:c>
      <x:c r="B1277" s="61"/>
      <x:c r="C1277" s="61"/>
      <x:c r="D1277" s="62"/>
      <x:c r="E1277" s="61"/>
      <x:c r="F1277" s="61"/>
      <x:c r="G1277" s="63"/>
      <x:c r="H1277" s="63">
        <x:f t="shared" si="87"/>
        <x:v>0</x:v>
      </x:c>
      <x:c r="I1277" s="64"/>
      <x:c r="J1277" s="63">
        <x:f t="shared" si="88"/>
        <x:v>0</x:v>
      </x:c>
      <x:c r="K1277" s="63" t="str">
        <x:f t="shared" si="90"/>
      </x:c>
      <x:c r="L1277" s="63">
        <x:f t="shared" si="89"/>
        <x:v>0</x:v>
      </x:c>
      <x:c r="M1277" s="61"/>
    </x:row>
    <x:row r="1278">
      <x:c r="A1278" s="61" t="str">
        <x:f>IF(E1278="","",MAX($A$6:A1277)+1)</x:f>
      </x:c>
      <x:c r="B1278" s="61"/>
      <x:c r="C1278" s="61"/>
      <x:c r="D1278" s="62"/>
      <x:c r="E1278" s="61"/>
      <x:c r="F1278" s="61"/>
      <x:c r="G1278" s="63"/>
      <x:c r="H1278" s="63">
        <x:f t="shared" si="87"/>
        <x:v>0</x:v>
      </x:c>
      <x:c r="I1278" s="64"/>
      <x:c r="J1278" s="63">
        <x:f t="shared" si="88"/>
        <x:v>0</x:v>
      </x:c>
      <x:c r="K1278" s="63" t="str">
        <x:f t="shared" si="90"/>
      </x:c>
      <x:c r="L1278" s="63">
        <x:f t="shared" si="89"/>
        <x:v>0</x:v>
      </x:c>
      <x:c r="M1278" s="61"/>
    </x:row>
    <x:row r="1279">
      <x:c r="A1279" s="61" t="str">
        <x:f>IF(E1279="","",MAX($A$6:A1278)+1)</x:f>
      </x:c>
      <x:c r="B1279" s="61"/>
      <x:c r="C1279" s="61"/>
      <x:c r="D1279" s="62"/>
      <x:c r="E1279" s="61"/>
      <x:c r="F1279" s="61"/>
      <x:c r="G1279" s="63"/>
      <x:c r="H1279" s="63">
        <x:f t="shared" si="87"/>
        <x:v>0</x:v>
      </x:c>
      <x:c r="I1279" s="64"/>
      <x:c r="J1279" s="63">
        <x:f t="shared" si="88"/>
        <x:v>0</x:v>
      </x:c>
      <x:c r="K1279" s="63" t="str">
        <x:f t="shared" si="90"/>
      </x:c>
      <x:c r="L1279" s="63">
        <x:f t="shared" si="89"/>
        <x:v>0</x:v>
      </x:c>
      <x:c r="M1279" s="61"/>
    </x:row>
    <x:row r="1280">
      <x:c r="A1280" s="61" t="str">
        <x:f>IF(E1280="","",MAX($A$6:A1279)+1)</x:f>
      </x:c>
      <x:c r="B1280" s="61"/>
      <x:c r="C1280" s="61"/>
      <x:c r="D1280" s="62"/>
      <x:c r="E1280" s="61"/>
      <x:c r="F1280" s="61"/>
      <x:c r="G1280" s="63"/>
      <x:c r="H1280" s="63">
        <x:f t="shared" si="87"/>
        <x:v>0</x:v>
      </x:c>
      <x:c r="I1280" s="64"/>
      <x:c r="J1280" s="63">
        <x:f t="shared" si="88"/>
        <x:v>0</x:v>
      </x:c>
      <x:c r="K1280" s="63" t="str">
        <x:f t="shared" si="90"/>
      </x:c>
      <x:c r="L1280" s="63">
        <x:f t="shared" si="89"/>
        <x:v>0</x:v>
      </x:c>
      <x:c r="M1280" s="61"/>
    </x:row>
    <x:row r="1281">
      <x:c r="A1281" s="61" t="str">
        <x:f>IF(E1281="","",MAX($A$6:A1280)+1)</x:f>
      </x:c>
      <x:c r="B1281" s="61"/>
      <x:c r="C1281" s="61"/>
      <x:c r="D1281" s="62"/>
      <x:c r="E1281" s="61"/>
      <x:c r="F1281" s="61"/>
      <x:c r="G1281" s="63"/>
      <x:c r="H1281" s="63">
        <x:f t="shared" si="87"/>
        <x:v>0</x:v>
      </x:c>
      <x:c r="I1281" s="64"/>
      <x:c r="J1281" s="63">
        <x:f t="shared" si="88"/>
        <x:v>0</x:v>
      </x:c>
      <x:c r="K1281" s="63" t="str">
        <x:f t="shared" si="90"/>
      </x:c>
      <x:c r="L1281" s="63">
        <x:f t="shared" si="89"/>
        <x:v>0</x:v>
      </x:c>
      <x:c r="M1281" s="61"/>
    </x:row>
    <x:row r="1282">
      <x:c r="A1282" s="61" t="str">
        <x:f>IF(E1282="","",MAX($A$6:A1281)+1)</x:f>
      </x:c>
      <x:c r="B1282" s="61"/>
      <x:c r="C1282" s="61"/>
      <x:c r="D1282" s="62"/>
      <x:c r="E1282" s="61"/>
      <x:c r="F1282" s="61"/>
      <x:c r="G1282" s="63"/>
      <x:c r="H1282" s="63">
        <x:f t="shared" si="87"/>
        <x:v>0</x:v>
      </x:c>
      <x:c r="I1282" s="64"/>
      <x:c r="J1282" s="63">
        <x:f t="shared" si="88"/>
        <x:v>0</x:v>
      </x:c>
      <x:c r="K1282" s="63" t="str">
        <x:f t="shared" si="90"/>
      </x:c>
      <x:c r="L1282" s="63">
        <x:f t="shared" si="89"/>
        <x:v>0</x:v>
      </x:c>
      <x:c r="M1282" s="61"/>
    </x:row>
    <x:row r="1283">
      <x:c r="A1283" s="61" t="str">
        <x:f>IF(E1283="","",MAX($A$6:A1282)+1)</x:f>
      </x:c>
      <x:c r="B1283" s="61"/>
      <x:c r="C1283" s="61"/>
      <x:c r="D1283" s="62"/>
      <x:c r="E1283" s="61"/>
      <x:c r="F1283" s="61"/>
      <x:c r="G1283" s="63"/>
      <x:c r="H1283" s="63">
        <x:f t="shared" si="87"/>
        <x:v>0</x:v>
      </x:c>
      <x:c r="I1283" s="64"/>
      <x:c r="J1283" s="63">
        <x:f t="shared" si="88"/>
        <x:v>0</x:v>
      </x:c>
      <x:c r="K1283" s="63" t="str">
        <x:f t="shared" si="90"/>
      </x:c>
      <x:c r="L1283" s="63">
        <x:f t="shared" si="89"/>
        <x:v>0</x:v>
      </x:c>
      <x:c r="M1283" s="61"/>
    </x:row>
    <x:row r="1284">
      <x:c r="A1284" s="61" t="str">
        <x:f>IF(E1284="","",MAX($A$6:A1283)+1)</x:f>
      </x:c>
      <x:c r="B1284" s="61"/>
      <x:c r="C1284" s="61"/>
      <x:c r="D1284" s="62"/>
      <x:c r="E1284" s="61"/>
      <x:c r="F1284" s="61"/>
      <x:c r="G1284" s="63"/>
      <x:c r="H1284" s="63">
        <x:f t="shared" si="87"/>
        <x:v>0</x:v>
      </x:c>
      <x:c r="I1284" s="64"/>
      <x:c r="J1284" s="63">
        <x:f t="shared" si="88"/>
        <x:v>0</x:v>
      </x:c>
      <x:c r="K1284" s="63" t="str">
        <x:f t="shared" si="90"/>
      </x:c>
      <x:c r="L1284" s="63">
        <x:f t="shared" si="89"/>
        <x:v>0</x:v>
      </x:c>
      <x:c r="M1284" s="61"/>
    </x:row>
    <x:row r="1285">
      <x:c r="A1285" s="61" t="str">
        <x:f>IF(E1285="","",MAX($A$6:A1284)+1)</x:f>
      </x:c>
      <x:c r="B1285" s="61"/>
      <x:c r="C1285" s="61"/>
      <x:c r="D1285" s="62"/>
      <x:c r="E1285" s="61"/>
      <x:c r="F1285" s="61"/>
      <x:c r="G1285" s="63"/>
      <x:c r="H1285" s="63">
        <x:f t="shared" si="87"/>
        <x:v>0</x:v>
      </x:c>
      <x:c r="I1285" s="64"/>
      <x:c r="J1285" s="63">
        <x:f t="shared" si="88"/>
        <x:v>0</x:v>
      </x:c>
      <x:c r="K1285" s="63" t="str">
        <x:f t="shared" si="90"/>
      </x:c>
      <x:c r="L1285" s="63">
        <x:f t="shared" si="89"/>
        <x:v>0</x:v>
      </x:c>
      <x:c r="M1285" s="61"/>
    </x:row>
    <x:row r="1286">
      <x:c r="A1286" s="61" t="str">
        <x:f>IF(E1286="","",MAX($A$6:A1285)+1)</x:f>
      </x:c>
      <x:c r="B1286" s="61"/>
      <x:c r="C1286" s="61"/>
      <x:c r="D1286" s="62"/>
      <x:c r="E1286" s="61"/>
      <x:c r="F1286" s="61"/>
      <x:c r="G1286" s="63"/>
      <x:c r="H1286" s="63" t="n">
        <x:f t="shared" ref="H1286:H1349" si="91">IFERROR(IF(OR($F$1="",D1286=""),0,MAX(0,$F$1-D1286)),0)</x:f>
        <x:v>0</x:v>
      </x:c>
      <x:c r="I1286" s="64"/>
      <x:c r="J1286" s="63" t="n">
        <x:f t="shared" ref="J1286:J1349" si="92">IFERROR(IF(OR(G1286="",I1286="",D1286="",$F$1=""),0,IF($F$1&lt;D1286,0,MIN(MAX(G1286-1,0),MAX(0,(G1286*I1286/365)*H1286)))),0)</x:f>
        <x:v>0</x:v>
      </x:c>
      <x:c r="K1286" s="63" t="str">
        <x:f t="shared" si="90"/>
      </x:c>
      <x:c r="L1286" s="63" t="n">
        <x:f t="shared" ref="L1286:L1349" si="93">IFERROR(IF(OR(G1286="",I1286="",D1286="",$F$1=""),0,IF($F$1&lt;D1286,0,IF(K1286&lt;=1,0,MIN(G1286*I1286/12,K1286-1)))),0)</x:f>
        <x:v>0</x:v>
      </x:c>
      <x:c r="M1286" s="61"/>
    </x:row>
    <x:row r="1287">
      <x:c r="A1287" s="61" t="str">
        <x:f>IF(E1287="","",MAX($A$6:A1286)+1)</x:f>
      </x:c>
      <x:c r="B1287" s="61"/>
      <x:c r="C1287" s="61"/>
      <x:c r="D1287" s="62"/>
      <x:c r="E1287" s="61"/>
      <x:c r="F1287" s="61"/>
      <x:c r="G1287" s="63"/>
      <x:c r="H1287" s="63">
        <x:f t="shared" si="91"/>
        <x:v>0</x:v>
      </x:c>
      <x:c r="I1287" s="64"/>
      <x:c r="J1287" s="63">
        <x:f t="shared" si="92"/>
        <x:v>0</x:v>
      </x:c>
      <x:c r="K1287" s="63" t="str">
        <x:f t="shared" si="90"/>
      </x:c>
      <x:c r="L1287" s="63">
        <x:f t="shared" si="93"/>
        <x:v>0</x:v>
      </x:c>
      <x:c r="M1287" s="61"/>
    </x:row>
    <x:row r="1288">
      <x:c r="A1288" s="61" t="str">
        <x:f>IF(E1288="","",MAX($A$6:A1287)+1)</x:f>
      </x:c>
      <x:c r="B1288" s="61"/>
      <x:c r="C1288" s="61"/>
      <x:c r="D1288" s="62"/>
      <x:c r="E1288" s="61"/>
      <x:c r="F1288" s="61"/>
      <x:c r="G1288" s="63"/>
      <x:c r="H1288" s="63">
        <x:f t="shared" si="91"/>
        <x:v>0</x:v>
      </x:c>
      <x:c r="I1288" s="64"/>
      <x:c r="J1288" s="63">
        <x:f t="shared" si="92"/>
        <x:v>0</x:v>
      </x:c>
      <x:c r="K1288" s="63" t="str">
        <x:f t="shared" si="90"/>
      </x:c>
      <x:c r="L1288" s="63">
        <x:f t="shared" si="93"/>
        <x:v>0</x:v>
      </x:c>
      <x:c r="M1288" s="61"/>
    </x:row>
    <x:row r="1289">
      <x:c r="A1289" s="61" t="str">
        <x:f>IF(E1289="","",MAX($A$6:A1288)+1)</x:f>
      </x:c>
      <x:c r="B1289" s="61"/>
      <x:c r="C1289" s="61"/>
      <x:c r="D1289" s="62"/>
      <x:c r="E1289" s="61"/>
      <x:c r="F1289" s="61"/>
      <x:c r="G1289" s="63"/>
      <x:c r="H1289" s="63">
        <x:f t="shared" si="91"/>
        <x:v>0</x:v>
      </x:c>
      <x:c r="I1289" s="64"/>
      <x:c r="J1289" s="63">
        <x:f t="shared" si="92"/>
        <x:v>0</x:v>
      </x:c>
      <x:c r="K1289" s="63" t="str">
        <x:f t="shared" si="90"/>
      </x:c>
      <x:c r="L1289" s="63">
        <x:f t="shared" si="93"/>
        <x:v>0</x:v>
      </x:c>
      <x:c r="M1289" s="61"/>
    </x:row>
    <x:row r="1290">
      <x:c r="A1290" s="61" t="str">
        <x:f>IF(E1290="","",MAX($A$6:A1289)+1)</x:f>
      </x:c>
      <x:c r="B1290" s="61"/>
      <x:c r="C1290" s="61"/>
      <x:c r="D1290" s="62"/>
      <x:c r="E1290" s="61"/>
      <x:c r="F1290" s="61"/>
      <x:c r="G1290" s="63"/>
      <x:c r="H1290" s="63">
        <x:f t="shared" si="91"/>
        <x:v>0</x:v>
      </x:c>
      <x:c r="I1290" s="64"/>
      <x:c r="J1290" s="63">
        <x:f t="shared" si="92"/>
        <x:v>0</x:v>
      </x:c>
      <x:c r="K1290" s="63" t="str">
        <x:f t="shared" si="90"/>
      </x:c>
      <x:c r="L1290" s="63">
        <x:f t="shared" si="93"/>
        <x:v>0</x:v>
      </x:c>
      <x:c r="M1290" s="61"/>
    </x:row>
    <x:row r="1291">
      <x:c r="A1291" s="61" t="str">
        <x:f>IF(E1291="","",MAX($A$6:A1290)+1)</x:f>
      </x:c>
      <x:c r="B1291" s="61"/>
      <x:c r="C1291" s="61"/>
      <x:c r="D1291" s="62"/>
      <x:c r="E1291" s="61"/>
      <x:c r="F1291" s="61"/>
      <x:c r="G1291" s="63"/>
      <x:c r="H1291" s="63">
        <x:f t="shared" si="91"/>
        <x:v>0</x:v>
      </x:c>
      <x:c r="I1291" s="64"/>
      <x:c r="J1291" s="63">
        <x:f t="shared" si="92"/>
        <x:v>0</x:v>
      </x:c>
      <x:c r="K1291" s="63" t="str">
        <x:f t="shared" si="90"/>
      </x:c>
      <x:c r="L1291" s="63">
        <x:f t="shared" si="93"/>
        <x:v>0</x:v>
      </x:c>
      <x:c r="M1291" s="61"/>
    </x:row>
    <x:row r="1292">
      <x:c r="A1292" s="61" t="str">
        <x:f>IF(E1292="","",MAX($A$6:A1291)+1)</x:f>
      </x:c>
      <x:c r="B1292" s="61"/>
      <x:c r="C1292" s="61"/>
      <x:c r="D1292" s="62"/>
      <x:c r="E1292" s="61"/>
      <x:c r="F1292" s="61"/>
      <x:c r="G1292" s="63"/>
      <x:c r="H1292" s="63">
        <x:f t="shared" si="91"/>
        <x:v>0</x:v>
      </x:c>
      <x:c r="I1292" s="64"/>
      <x:c r="J1292" s="63">
        <x:f t="shared" si="92"/>
        <x:v>0</x:v>
      </x:c>
      <x:c r="K1292" s="63" t="str">
        <x:f t="shared" si="90"/>
      </x:c>
      <x:c r="L1292" s="63">
        <x:f t="shared" si="93"/>
        <x:v>0</x:v>
      </x:c>
      <x:c r="M1292" s="61"/>
    </x:row>
    <x:row r="1293">
      <x:c r="A1293" s="61" t="str">
        <x:f>IF(E1293="","",MAX($A$6:A1292)+1)</x:f>
      </x:c>
      <x:c r="B1293" s="61"/>
      <x:c r="C1293" s="61"/>
      <x:c r="D1293" s="62"/>
      <x:c r="E1293" s="61"/>
      <x:c r="F1293" s="61"/>
      <x:c r="G1293" s="63"/>
      <x:c r="H1293" s="63">
        <x:f t="shared" si="91"/>
        <x:v>0</x:v>
      </x:c>
      <x:c r="I1293" s="64"/>
      <x:c r="J1293" s="63">
        <x:f t="shared" si="92"/>
        <x:v>0</x:v>
      </x:c>
      <x:c r="K1293" s="63" t="str">
        <x:f t="shared" si="90"/>
      </x:c>
      <x:c r="L1293" s="63">
        <x:f t="shared" si="93"/>
        <x:v>0</x:v>
      </x:c>
      <x:c r="M1293" s="61"/>
    </x:row>
    <x:row r="1294">
      <x:c r="A1294" s="61" t="str">
        <x:f>IF(E1294="","",MAX($A$6:A1293)+1)</x:f>
      </x:c>
      <x:c r="B1294" s="61"/>
      <x:c r="C1294" s="61"/>
      <x:c r="D1294" s="62"/>
      <x:c r="E1294" s="61"/>
      <x:c r="F1294" s="61"/>
      <x:c r="G1294" s="63"/>
      <x:c r="H1294" s="63">
        <x:f t="shared" si="91"/>
        <x:v>0</x:v>
      </x:c>
      <x:c r="I1294" s="64"/>
      <x:c r="J1294" s="63">
        <x:f t="shared" si="92"/>
        <x:v>0</x:v>
      </x:c>
      <x:c r="K1294" s="63" t="str">
        <x:f t="shared" si="90"/>
      </x:c>
      <x:c r="L1294" s="63">
        <x:f t="shared" si="93"/>
        <x:v>0</x:v>
      </x:c>
      <x:c r="M1294" s="61"/>
    </x:row>
    <x:row r="1295">
      <x:c r="A1295" s="61" t="str">
        <x:f>IF(E1295="","",MAX($A$6:A1294)+1)</x:f>
      </x:c>
      <x:c r="B1295" s="61"/>
      <x:c r="C1295" s="61"/>
      <x:c r="D1295" s="62"/>
      <x:c r="E1295" s="61"/>
      <x:c r="F1295" s="61"/>
      <x:c r="G1295" s="63"/>
      <x:c r="H1295" s="63">
        <x:f t="shared" si="91"/>
        <x:v>0</x:v>
      </x:c>
      <x:c r="I1295" s="64"/>
      <x:c r="J1295" s="63">
        <x:f t="shared" si="92"/>
        <x:v>0</x:v>
      </x:c>
      <x:c r="K1295" s="63" t="str">
        <x:f t="shared" si="90"/>
      </x:c>
      <x:c r="L1295" s="63">
        <x:f t="shared" si="93"/>
        <x:v>0</x:v>
      </x:c>
      <x:c r="M1295" s="61"/>
    </x:row>
    <x:row r="1296">
      <x:c r="A1296" s="61" t="str">
        <x:f>IF(E1296="","",MAX($A$6:A1295)+1)</x:f>
      </x:c>
      <x:c r="B1296" s="61"/>
      <x:c r="C1296" s="61"/>
      <x:c r="D1296" s="62"/>
      <x:c r="E1296" s="61"/>
      <x:c r="F1296" s="61"/>
      <x:c r="G1296" s="63"/>
      <x:c r="H1296" s="63">
        <x:f t="shared" si="91"/>
        <x:v>0</x:v>
      </x:c>
      <x:c r="I1296" s="64"/>
      <x:c r="J1296" s="63">
        <x:f t="shared" si="92"/>
        <x:v>0</x:v>
      </x:c>
      <x:c r="K1296" s="63" t="str">
        <x:f t="shared" si="90"/>
      </x:c>
      <x:c r="L1296" s="63">
        <x:f t="shared" si="93"/>
        <x:v>0</x:v>
      </x:c>
      <x:c r="M1296" s="61"/>
    </x:row>
    <x:row r="1297">
      <x:c r="A1297" s="61" t="str">
        <x:f>IF(E1297="","",MAX($A$6:A1296)+1)</x:f>
      </x:c>
      <x:c r="B1297" s="61"/>
      <x:c r="C1297" s="61"/>
      <x:c r="D1297" s="62"/>
      <x:c r="E1297" s="61"/>
      <x:c r="F1297" s="61"/>
      <x:c r="G1297" s="63"/>
      <x:c r="H1297" s="63">
        <x:f t="shared" si="91"/>
        <x:v>0</x:v>
      </x:c>
      <x:c r="I1297" s="64"/>
      <x:c r="J1297" s="63">
        <x:f t="shared" si="92"/>
        <x:v>0</x:v>
      </x:c>
      <x:c r="K1297" s="63" t="str">
        <x:f t="shared" si="90"/>
      </x:c>
      <x:c r="L1297" s="63">
        <x:f t="shared" si="93"/>
        <x:v>0</x:v>
      </x:c>
      <x:c r="M1297" s="61"/>
    </x:row>
    <x:row r="1298">
      <x:c r="A1298" s="61" t="str">
        <x:f>IF(E1298="","",MAX($A$6:A1297)+1)</x:f>
      </x:c>
      <x:c r="B1298" s="61"/>
      <x:c r="C1298" s="61"/>
      <x:c r="D1298" s="62"/>
      <x:c r="E1298" s="61"/>
      <x:c r="F1298" s="61"/>
      <x:c r="G1298" s="63"/>
      <x:c r="H1298" s="63">
        <x:f t="shared" si="91"/>
        <x:v>0</x:v>
      </x:c>
      <x:c r="I1298" s="64"/>
      <x:c r="J1298" s="63">
        <x:f t="shared" si="92"/>
        <x:v>0</x:v>
      </x:c>
      <x:c r="K1298" s="63" t="str">
        <x:f t="shared" si="90"/>
      </x:c>
      <x:c r="L1298" s="63">
        <x:f t="shared" si="93"/>
        <x:v>0</x:v>
      </x:c>
      <x:c r="M1298" s="61"/>
    </x:row>
    <x:row r="1299">
      <x:c r="A1299" s="61" t="str">
        <x:f>IF(E1299="","",MAX($A$6:A1298)+1)</x:f>
      </x:c>
      <x:c r="B1299" s="61"/>
      <x:c r="C1299" s="61"/>
      <x:c r="D1299" s="62"/>
      <x:c r="E1299" s="61"/>
      <x:c r="F1299" s="61"/>
      <x:c r="G1299" s="63"/>
      <x:c r="H1299" s="63">
        <x:f t="shared" si="91"/>
        <x:v>0</x:v>
      </x:c>
      <x:c r="I1299" s="64"/>
      <x:c r="J1299" s="63">
        <x:f t="shared" si="92"/>
        <x:v>0</x:v>
      </x:c>
      <x:c r="K1299" s="63" t="str">
        <x:f t="shared" si="90"/>
      </x:c>
      <x:c r="L1299" s="63">
        <x:f t="shared" si="93"/>
        <x:v>0</x:v>
      </x:c>
      <x:c r="M1299" s="61"/>
    </x:row>
    <x:row r="1300">
      <x:c r="A1300" s="61" t="str">
        <x:f>IF(E1300="","",MAX($A$6:A1299)+1)</x:f>
      </x:c>
      <x:c r="B1300" s="61"/>
      <x:c r="C1300" s="61"/>
      <x:c r="D1300" s="62"/>
      <x:c r="E1300" s="61"/>
      <x:c r="F1300" s="61"/>
      <x:c r="G1300" s="63"/>
      <x:c r="H1300" s="63">
        <x:f t="shared" si="91"/>
        <x:v>0</x:v>
      </x:c>
      <x:c r="I1300" s="64"/>
      <x:c r="J1300" s="63">
        <x:f t="shared" si="92"/>
        <x:v>0</x:v>
      </x:c>
      <x:c r="K1300" s="63" t="str">
        <x:f t="shared" si="90"/>
      </x:c>
      <x:c r="L1300" s="63">
        <x:f t="shared" si="93"/>
        <x:v>0</x:v>
      </x:c>
      <x:c r="M1300" s="61"/>
    </x:row>
    <x:row r="1301">
      <x:c r="A1301" s="61" t="str">
        <x:f>IF(E1301="","",MAX($A$6:A1300)+1)</x:f>
      </x:c>
      <x:c r="B1301" s="61"/>
      <x:c r="C1301" s="61"/>
      <x:c r="D1301" s="62"/>
      <x:c r="E1301" s="61"/>
      <x:c r="F1301" s="61"/>
      <x:c r="G1301" s="63"/>
      <x:c r="H1301" s="63">
        <x:f t="shared" si="91"/>
        <x:v>0</x:v>
      </x:c>
      <x:c r="I1301" s="64"/>
      <x:c r="J1301" s="63">
        <x:f t="shared" si="92"/>
        <x:v>0</x:v>
      </x:c>
      <x:c r="K1301" s="63" t="str">
        <x:f t="shared" si="90"/>
      </x:c>
      <x:c r="L1301" s="63">
        <x:f t="shared" si="93"/>
        <x:v>0</x:v>
      </x:c>
      <x:c r="M1301" s="61"/>
    </x:row>
    <x:row r="1302">
      <x:c r="A1302" s="61" t="str">
        <x:f>IF(E1302="","",MAX($A$6:A1301)+1)</x:f>
      </x:c>
      <x:c r="B1302" s="61"/>
      <x:c r="C1302" s="61"/>
      <x:c r="D1302" s="62"/>
      <x:c r="E1302" s="61"/>
      <x:c r="F1302" s="61"/>
      <x:c r="G1302" s="63"/>
      <x:c r="H1302" s="63">
        <x:f t="shared" si="91"/>
        <x:v>0</x:v>
      </x:c>
      <x:c r="I1302" s="64"/>
      <x:c r="J1302" s="63">
        <x:f t="shared" si="92"/>
        <x:v>0</x:v>
      </x:c>
      <x:c r="K1302" s="63" t="str">
        <x:f t="shared" si="90"/>
      </x:c>
      <x:c r="L1302" s="63">
        <x:f t="shared" si="93"/>
        <x:v>0</x:v>
      </x:c>
      <x:c r="M1302" s="61"/>
    </x:row>
    <x:row r="1303">
      <x:c r="A1303" s="61" t="str">
        <x:f>IF(E1303="","",MAX($A$6:A1302)+1)</x:f>
      </x:c>
      <x:c r="B1303" s="61"/>
      <x:c r="C1303" s="61"/>
      <x:c r="D1303" s="62"/>
      <x:c r="E1303" s="61"/>
      <x:c r="F1303" s="61"/>
      <x:c r="G1303" s="63"/>
      <x:c r="H1303" s="63">
        <x:f t="shared" si="91"/>
        <x:v>0</x:v>
      </x:c>
      <x:c r="I1303" s="64"/>
      <x:c r="J1303" s="63">
        <x:f t="shared" si="92"/>
        <x:v>0</x:v>
      </x:c>
      <x:c r="K1303" s="63" t="str">
        <x:f t="shared" si="90"/>
      </x:c>
      <x:c r="L1303" s="63">
        <x:f t="shared" si="93"/>
        <x:v>0</x:v>
      </x:c>
      <x:c r="M1303" s="61"/>
    </x:row>
    <x:row r="1304">
      <x:c r="A1304" s="61" t="str">
        <x:f>IF(E1304="","",MAX($A$6:A1303)+1)</x:f>
      </x:c>
      <x:c r="B1304" s="61"/>
      <x:c r="C1304" s="61"/>
      <x:c r="D1304" s="62"/>
      <x:c r="E1304" s="61"/>
      <x:c r="F1304" s="61"/>
      <x:c r="G1304" s="63"/>
      <x:c r="H1304" s="63">
        <x:f t="shared" si="91"/>
        <x:v>0</x:v>
      </x:c>
      <x:c r="I1304" s="64"/>
      <x:c r="J1304" s="63">
        <x:f t="shared" si="92"/>
        <x:v>0</x:v>
      </x:c>
      <x:c r="K1304" s="63" t="str">
        <x:f t="shared" si="90"/>
      </x:c>
      <x:c r="L1304" s="63">
        <x:f t="shared" si="93"/>
        <x:v>0</x:v>
      </x:c>
      <x:c r="M1304" s="61"/>
    </x:row>
    <x:row r="1305">
      <x:c r="A1305" s="61" t="str">
        <x:f>IF(E1305="","",MAX($A$6:A1304)+1)</x:f>
      </x:c>
      <x:c r="B1305" s="61"/>
      <x:c r="C1305" s="61"/>
      <x:c r="D1305" s="62"/>
      <x:c r="E1305" s="61"/>
      <x:c r="F1305" s="61"/>
      <x:c r="G1305" s="63"/>
      <x:c r="H1305" s="63">
        <x:f t="shared" si="91"/>
        <x:v>0</x:v>
      </x:c>
      <x:c r="I1305" s="64"/>
      <x:c r="J1305" s="63">
        <x:f t="shared" si="92"/>
        <x:v>0</x:v>
      </x:c>
      <x:c r="K1305" s="63" t="str">
        <x:f t="shared" si="90"/>
      </x:c>
      <x:c r="L1305" s="63">
        <x:f t="shared" si="93"/>
        <x:v>0</x:v>
      </x:c>
      <x:c r="M1305" s="61"/>
    </x:row>
    <x:row r="1306">
      <x:c r="A1306" s="61" t="str">
        <x:f>IF(E1306="","",MAX($A$6:A1305)+1)</x:f>
      </x:c>
      <x:c r="B1306" s="61"/>
      <x:c r="C1306" s="61"/>
      <x:c r="D1306" s="62"/>
      <x:c r="E1306" s="61"/>
      <x:c r="F1306" s="61"/>
      <x:c r="G1306" s="63"/>
      <x:c r="H1306" s="63">
        <x:f t="shared" si="91"/>
        <x:v>0</x:v>
      </x:c>
      <x:c r="I1306" s="64"/>
      <x:c r="J1306" s="63">
        <x:f t="shared" si="92"/>
        <x:v>0</x:v>
      </x:c>
      <x:c r="K1306" s="63" t="str">
        <x:f t="shared" si="90"/>
      </x:c>
      <x:c r="L1306" s="63">
        <x:f t="shared" si="93"/>
        <x:v>0</x:v>
      </x:c>
      <x:c r="M1306" s="61"/>
    </x:row>
    <x:row r="1307">
      <x:c r="A1307" s="61" t="str">
        <x:f>IF(E1307="","",MAX($A$6:A1306)+1)</x:f>
      </x:c>
      <x:c r="B1307" s="61"/>
      <x:c r="C1307" s="61"/>
      <x:c r="D1307" s="62"/>
      <x:c r="E1307" s="61"/>
      <x:c r="F1307" s="61"/>
      <x:c r="G1307" s="63"/>
      <x:c r="H1307" s="63">
        <x:f t="shared" si="91"/>
        <x:v>0</x:v>
      </x:c>
      <x:c r="I1307" s="64"/>
      <x:c r="J1307" s="63">
        <x:f t="shared" si="92"/>
        <x:v>0</x:v>
      </x:c>
      <x:c r="K1307" s="63" t="str">
        <x:f t="shared" si="90"/>
      </x:c>
      <x:c r="L1307" s="63">
        <x:f t="shared" si="93"/>
        <x:v>0</x:v>
      </x:c>
      <x:c r="M1307" s="61"/>
    </x:row>
    <x:row r="1308">
      <x:c r="A1308" s="61" t="str">
        <x:f>IF(E1308="","",MAX($A$6:A1307)+1)</x:f>
      </x:c>
      <x:c r="B1308" s="61"/>
      <x:c r="C1308" s="61"/>
      <x:c r="D1308" s="62"/>
      <x:c r="E1308" s="61"/>
      <x:c r="F1308" s="61"/>
      <x:c r="G1308" s="63"/>
      <x:c r="H1308" s="63">
        <x:f t="shared" si="91"/>
        <x:v>0</x:v>
      </x:c>
      <x:c r="I1308" s="64"/>
      <x:c r="J1308" s="63">
        <x:f t="shared" si="92"/>
        <x:v>0</x:v>
      </x:c>
      <x:c r="K1308" s="63" t="str">
        <x:f t="shared" si="90"/>
      </x:c>
      <x:c r="L1308" s="63">
        <x:f t="shared" si="93"/>
        <x:v>0</x:v>
      </x:c>
      <x:c r="M1308" s="61"/>
    </x:row>
    <x:row r="1309">
      <x:c r="A1309" s="61" t="str">
        <x:f>IF(E1309="","",MAX($A$6:A1308)+1)</x:f>
      </x:c>
      <x:c r="B1309" s="61"/>
      <x:c r="C1309" s="61"/>
      <x:c r="D1309" s="62"/>
      <x:c r="E1309" s="61"/>
      <x:c r="F1309" s="61"/>
      <x:c r="G1309" s="63"/>
      <x:c r="H1309" s="63">
        <x:f t="shared" si="91"/>
        <x:v>0</x:v>
      </x:c>
      <x:c r="I1309" s="64"/>
      <x:c r="J1309" s="63">
        <x:f t="shared" si="92"/>
        <x:v>0</x:v>
      </x:c>
      <x:c r="K1309" s="63" t="str">
        <x:f t="shared" si="90"/>
      </x:c>
      <x:c r="L1309" s="63">
        <x:f t="shared" si="93"/>
        <x:v>0</x:v>
      </x:c>
      <x:c r="M1309" s="61"/>
    </x:row>
    <x:row r="1310">
      <x:c r="A1310" s="61" t="str">
        <x:f>IF(E1310="","",MAX($A$6:A1309)+1)</x:f>
      </x:c>
      <x:c r="B1310" s="61"/>
      <x:c r="C1310" s="61"/>
      <x:c r="D1310" s="62"/>
      <x:c r="E1310" s="61"/>
      <x:c r="F1310" s="61"/>
      <x:c r="G1310" s="63"/>
      <x:c r="H1310" s="63">
        <x:f t="shared" si="91"/>
        <x:v>0</x:v>
      </x:c>
      <x:c r="I1310" s="64"/>
      <x:c r="J1310" s="63">
        <x:f t="shared" si="92"/>
        <x:v>0</x:v>
      </x:c>
      <x:c r="K1310" s="63" t="str">
        <x:f t="shared" si="90"/>
      </x:c>
      <x:c r="L1310" s="63">
        <x:f t="shared" si="93"/>
        <x:v>0</x:v>
      </x:c>
      <x:c r="M1310" s="61"/>
    </x:row>
    <x:row r="1311">
      <x:c r="A1311" s="61" t="str">
        <x:f>IF(E1311="","",MAX($A$6:A1310)+1)</x:f>
      </x:c>
      <x:c r="B1311" s="61"/>
      <x:c r="C1311" s="61"/>
      <x:c r="D1311" s="62"/>
      <x:c r="E1311" s="61"/>
      <x:c r="F1311" s="61"/>
      <x:c r="G1311" s="63"/>
      <x:c r="H1311" s="63">
        <x:f t="shared" si="91"/>
        <x:v>0</x:v>
      </x:c>
      <x:c r="I1311" s="64"/>
      <x:c r="J1311" s="63">
        <x:f t="shared" si="92"/>
        <x:v>0</x:v>
      </x:c>
      <x:c r="K1311" s="63" t="str">
        <x:f t="shared" si="90"/>
      </x:c>
      <x:c r="L1311" s="63">
        <x:f t="shared" si="93"/>
        <x:v>0</x:v>
      </x:c>
      <x:c r="M1311" s="61"/>
    </x:row>
    <x:row r="1312">
      <x:c r="A1312" s="61" t="str">
        <x:f>IF(E1312="","",MAX($A$6:A1311)+1)</x:f>
      </x:c>
      <x:c r="B1312" s="61"/>
      <x:c r="C1312" s="61"/>
      <x:c r="D1312" s="62"/>
      <x:c r="E1312" s="61"/>
      <x:c r="F1312" s="61"/>
      <x:c r="G1312" s="63"/>
      <x:c r="H1312" s="63">
        <x:f t="shared" si="91"/>
        <x:v>0</x:v>
      </x:c>
      <x:c r="I1312" s="64"/>
      <x:c r="J1312" s="63">
        <x:f t="shared" si="92"/>
        <x:v>0</x:v>
      </x:c>
      <x:c r="K1312" s="63" t="str">
        <x:f t="shared" si="90"/>
      </x:c>
      <x:c r="L1312" s="63">
        <x:f t="shared" si="93"/>
        <x:v>0</x:v>
      </x:c>
      <x:c r="M1312" s="61"/>
    </x:row>
    <x:row r="1313">
      <x:c r="A1313" s="61" t="str">
        <x:f>IF(E1313="","",MAX($A$6:A1312)+1)</x:f>
      </x:c>
      <x:c r="B1313" s="61"/>
      <x:c r="C1313" s="61"/>
      <x:c r="D1313" s="62"/>
      <x:c r="E1313" s="61"/>
      <x:c r="F1313" s="61"/>
      <x:c r="G1313" s="63"/>
      <x:c r="H1313" s="63">
        <x:f t="shared" si="91"/>
        <x:v>0</x:v>
      </x:c>
      <x:c r="I1313" s="64"/>
      <x:c r="J1313" s="63">
        <x:f t="shared" si="92"/>
        <x:v>0</x:v>
      </x:c>
      <x:c r="K1313" s="63" t="str">
        <x:f t="shared" si="90"/>
      </x:c>
      <x:c r="L1313" s="63">
        <x:f t="shared" si="93"/>
        <x:v>0</x:v>
      </x:c>
      <x:c r="M1313" s="61"/>
    </x:row>
    <x:row r="1314">
      <x:c r="A1314" s="61" t="str">
        <x:f>IF(E1314="","",MAX($A$6:A1313)+1)</x:f>
      </x:c>
      <x:c r="B1314" s="61"/>
      <x:c r="C1314" s="61"/>
      <x:c r="D1314" s="62"/>
      <x:c r="E1314" s="61"/>
      <x:c r="F1314" s="61"/>
      <x:c r="G1314" s="63"/>
      <x:c r="H1314" s="63">
        <x:f t="shared" si="91"/>
        <x:v>0</x:v>
      </x:c>
      <x:c r="I1314" s="64"/>
      <x:c r="J1314" s="63">
        <x:f t="shared" si="92"/>
        <x:v>0</x:v>
      </x:c>
      <x:c r="K1314" s="63" t="str">
        <x:f t="shared" si="90"/>
      </x:c>
      <x:c r="L1314" s="63">
        <x:f t="shared" si="93"/>
        <x:v>0</x:v>
      </x:c>
      <x:c r="M1314" s="61"/>
    </x:row>
    <x:row r="1315">
      <x:c r="A1315" s="61" t="str">
        <x:f>IF(E1315="","",MAX($A$6:A1314)+1)</x:f>
      </x:c>
      <x:c r="B1315" s="61"/>
      <x:c r="C1315" s="61"/>
      <x:c r="D1315" s="62"/>
      <x:c r="E1315" s="61"/>
      <x:c r="F1315" s="61"/>
      <x:c r="G1315" s="63"/>
      <x:c r="H1315" s="63">
        <x:f t="shared" si="91"/>
        <x:v>0</x:v>
      </x:c>
      <x:c r="I1315" s="64"/>
      <x:c r="J1315" s="63">
        <x:f t="shared" si="92"/>
        <x:v>0</x:v>
      </x:c>
      <x:c r="K1315" s="63" t="str">
        <x:f t="shared" si="90"/>
      </x:c>
      <x:c r="L1315" s="63">
        <x:f t="shared" si="93"/>
        <x:v>0</x:v>
      </x:c>
      <x:c r="M1315" s="61"/>
    </x:row>
    <x:row r="1316">
      <x:c r="A1316" s="61" t="str">
        <x:f>IF(E1316="","",MAX($A$6:A1315)+1)</x:f>
      </x:c>
      <x:c r="B1316" s="61"/>
      <x:c r="C1316" s="61"/>
      <x:c r="D1316" s="62"/>
      <x:c r="E1316" s="61"/>
      <x:c r="F1316" s="61"/>
      <x:c r="G1316" s="63"/>
      <x:c r="H1316" s="63">
        <x:f t="shared" si="91"/>
        <x:v>0</x:v>
      </x:c>
      <x:c r="I1316" s="64"/>
      <x:c r="J1316" s="63">
        <x:f t="shared" si="92"/>
        <x:v>0</x:v>
      </x:c>
      <x:c r="K1316" s="63" t="str">
        <x:f t="shared" si="90"/>
      </x:c>
      <x:c r="L1316" s="63">
        <x:f t="shared" si="93"/>
        <x:v>0</x:v>
      </x:c>
      <x:c r="M1316" s="61"/>
    </x:row>
    <x:row r="1317">
      <x:c r="A1317" s="61" t="str">
        <x:f>IF(E1317="","",MAX($A$6:A1316)+1)</x:f>
      </x:c>
      <x:c r="B1317" s="61"/>
      <x:c r="C1317" s="61"/>
      <x:c r="D1317" s="62"/>
      <x:c r="E1317" s="61"/>
      <x:c r="F1317" s="61"/>
      <x:c r="G1317" s="63"/>
      <x:c r="H1317" s="63">
        <x:f t="shared" si="91"/>
        <x:v>0</x:v>
      </x:c>
      <x:c r="I1317" s="64"/>
      <x:c r="J1317" s="63">
        <x:f t="shared" si="92"/>
        <x:v>0</x:v>
      </x:c>
      <x:c r="K1317" s="63" t="str">
        <x:f t="shared" si="90"/>
      </x:c>
      <x:c r="L1317" s="63">
        <x:f t="shared" si="93"/>
        <x:v>0</x:v>
      </x:c>
      <x:c r="M1317" s="61"/>
    </x:row>
    <x:row r="1318">
      <x:c r="A1318" s="61" t="str">
        <x:f>IF(E1318="","",MAX($A$6:A1317)+1)</x:f>
      </x:c>
      <x:c r="B1318" s="61"/>
      <x:c r="C1318" s="61"/>
      <x:c r="D1318" s="62"/>
      <x:c r="E1318" s="61"/>
      <x:c r="F1318" s="61"/>
      <x:c r="G1318" s="63"/>
      <x:c r="H1318" s="63">
        <x:f t="shared" si="91"/>
        <x:v>0</x:v>
      </x:c>
      <x:c r="I1318" s="64"/>
      <x:c r="J1318" s="63">
        <x:f t="shared" si="92"/>
        <x:v>0</x:v>
      </x:c>
      <x:c r="K1318" s="63" t="str">
        <x:f t="shared" si="90"/>
      </x:c>
      <x:c r="L1318" s="63">
        <x:f t="shared" si="93"/>
        <x:v>0</x:v>
      </x:c>
      <x:c r="M1318" s="61"/>
    </x:row>
    <x:row r="1319">
      <x:c r="A1319" s="61" t="str">
        <x:f>IF(E1319="","",MAX($A$6:A1318)+1)</x:f>
      </x:c>
      <x:c r="B1319" s="61"/>
      <x:c r="C1319" s="61"/>
      <x:c r="D1319" s="62"/>
      <x:c r="E1319" s="61"/>
      <x:c r="F1319" s="61"/>
      <x:c r="G1319" s="63"/>
      <x:c r="H1319" s="63">
        <x:f t="shared" si="91"/>
        <x:v>0</x:v>
      </x:c>
      <x:c r="I1319" s="64"/>
      <x:c r="J1319" s="63">
        <x:f t="shared" si="92"/>
        <x:v>0</x:v>
      </x:c>
      <x:c r="K1319" s="63" t="str">
        <x:f t="shared" si="90"/>
      </x:c>
      <x:c r="L1319" s="63">
        <x:f t="shared" si="93"/>
        <x:v>0</x:v>
      </x:c>
      <x:c r="M1319" s="61"/>
    </x:row>
    <x:row r="1320">
      <x:c r="A1320" s="61" t="str">
        <x:f>IF(E1320="","",MAX($A$6:A1319)+1)</x:f>
      </x:c>
      <x:c r="B1320" s="61"/>
      <x:c r="C1320" s="61"/>
      <x:c r="D1320" s="62"/>
      <x:c r="E1320" s="61"/>
      <x:c r="F1320" s="61"/>
      <x:c r="G1320" s="63"/>
      <x:c r="H1320" s="63">
        <x:f t="shared" si="91"/>
        <x:v>0</x:v>
      </x:c>
      <x:c r="I1320" s="64"/>
      <x:c r="J1320" s="63">
        <x:f t="shared" si="92"/>
        <x:v>0</x:v>
      </x:c>
      <x:c r="K1320" s="63" t="str">
        <x:f t="shared" si="90"/>
      </x:c>
      <x:c r="L1320" s="63">
        <x:f t="shared" si="93"/>
        <x:v>0</x:v>
      </x:c>
      <x:c r="M1320" s="61"/>
    </x:row>
    <x:row r="1321">
      <x:c r="A1321" s="61" t="str">
        <x:f>IF(E1321="","",MAX($A$6:A1320)+1)</x:f>
      </x:c>
      <x:c r="B1321" s="61"/>
      <x:c r="C1321" s="61"/>
      <x:c r="D1321" s="62"/>
      <x:c r="E1321" s="61"/>
      <x:c r="F1321" s="61"/>
      <x:c r="G1321" s="63"/>
      <x:c r="H1321" s="63">
        <x:f t="shared" si="91"/>
        <x:v>0</x:v>
      </x:c>
      <x:c r="I1321" s="64"/>
      <x:c r="J1321" s="63">
        <x:f t="shared" si="92"/>
        <x:v>0</x:v>
      </x:c>
      <x:c r="K1321" s="63" t="str">
        <x:f t="shared" si="90"/>
      </x:c>
      <x:c r="L1321" s="63">
        <x:f t="shared" si="93"/>
        <x:v>0</x:v>
      </x:c>
      <x:c r="M1321" s="61"/>
    </x:row>
    <x:row r="1322">
      <x:c r="A1322" s="61" t="str">
        <x:f>IF(E1322="","",MAX($A$6:A1321)+1)</x:f>
      </x:c>
      <x:c r="B1322" s="61"/>
      <x:c r="C1322" s="61"/>
      <x:c r="D1322" s="62"/>
      <x:c r="E1322" s="61"/>
      <x:c r="F1322" s="61"/>
      <x:c r="G1322" s="63"/>
      <x:c r="H1322" s="63">
        <x:f t="shared" si="91"/>
        <x:v>0</x:v>
      </x:c>
      <x:c r="I1322" s="64"/>
      <x:c r="J1322" s="63">
        <x:f t="shared" si="92"/>
        <x:v>0</x:v>
      </x:c>
      <x:c r="K1322" s="63" t="str">
        <x:f t="shared" si="90"/>
      </x:c>
      <x:c r="L1322" s="63">
        <x:f t="shared" si="93"/>
        <x:v>0</x:v>
      </x:c>
      <x:c r="M1322" s="61"/>
    </x:row>
    <x:row r="1323">
      <x:c r="A1323" s="61" t="str">
        <x:f>IF(E1323="","",MAX($A$6:A1322)+1)</x:f>
      </x:c>
      <x:c r="B1323" s="61"/>
      <x:c r="C1323" s="61"/>
      <x:c r="D1323" s="62"/>
      <x:c r="E1323" s="61"/>
      <x:c r="F1323" s="61"/>
      <x:c r="G1323" s="63"/>
      <x:c r="H1323" s="63">
        <x:f t="shared" si="91"/>
        <x:v>0</x:v>
      </x:c>
      <x:c r="I1323" s="64"/>
      <x:c r="J1323" s="63">
        <x:f t="shared" si="92"/>
        <x:v>0</x:v>
      </x:c>
      <x:c r="K1323" s="63" t="str">
        <x:f t="shared" si="90"/>
      </x:c>
      <x:c r="L1323" s="63">
        <x:f t="shared" si="93"/>
        <x:v>0</x:v>
      </x:c>
      <x:c r="M1323" s="61"/>
    </x:row>
    <x:row r="1324">
      <x:c r="A1324" s="61" t="str">
        <x:f>IF(E1324="","",MAX($A$6:A1323)+1)</x:f>
      </x:c>
      <x:c r="B1324" s="61"/>
      <x:c r="C1324" s="61"/>
      <x:c r="D1324" s="62"/>
      <x:c r="E1324" s="61"/>
      <x:c r="F1324" s="61"/>
      <x:c r="G1324" s="63"/>
      <x:c r="H1324" s="63">
        <x:f t="shared" si="91"/>
        <x:v>0</x:v>
      </x:c>
      <x:c r="I1324" s="64"/>
      <x:c r="J1324" s="63">
        <x:f t="shared" si="92"/>
        <x:v>0</x:v>
      </x:c>
      <x:c r="K1324" s="63" t="str">
        <x:f t="shared" si="90"/>
      </x:c>
      <x:c r="L1324" s="63">
        <x:f t="shared" si="93"/>
        <x:v>0</x:v>
      </x:c>
      <x:c r="M1324" s="61"/>
    </x:row>
    <x:row r="1325">
      <x:c r="A1325" s="61" t="str">
        <x:f>IF(E1325="","",MAX($A$6:A1324)+1)</x:f>
      </x:c>
      <x:c r="B1325" s="61"/>
      <x:c r="C1325" s="61"/>
      <x:c r="D1325" s="62"/>
      <x:c r="E1325" s="61"/>
      <x:c r="F1325" s="61"/>
      <x:c r="G1325" s="63"/>
      <x:c r="H1325" s="63">
        <x:f t="shared" si="91"/>
        <x:v>0</x:v>
      </x:c>
      <x:c r="I1325" s="64"/>
      <x:c r="J1325" s="63">
        <x:f t="shared" si="92"/>
        <x:v>0</x:v>
      </x:c>
      <x:c r="K1325" s="63" t="str">
        <x:f t="shared" si="90"/>
      </x:c>
      <x:c r="L1325" s="63">
        <x:f t="shared" si="93"/>
        <x:v>0</x:v>
      </x:c>
      <x:c r="M1325" s="61"/>
    </x:row>
    <x:row r="1326">
      <x:c r="A1326" s="61" t="str">
        <x:f>IF(E1326="","",MAX($A$6:A1325)+1)</x:f>
      </x:c>
      <x:c r="B1326" s="61"/>
      <x:c r="C1326" s="61"/>
      <x:c r="D1326" s="62"/>
      <x:c r="E1326" s="61"/>
      <x:c r="F1326" s="61"/>
      <x:c r="G1326" s="63"/>
      <x:c r="H1326" s="63">
        <x:f t="shared" si="91"/>
        <x:v>0</x:v>
      </x:c>
      <x:c r="I1326" s="64"/>
      <x:c r="J1326" s="63">
        <x:f t="shared" si="92"/>
        <x:v>0</x:v>
      </x:c>
      <x:c r="K1326" s="63" t="str">
        <x:f t="shared" si="90"/>
      </x:c>
      <x:c r="L1326" s="63">
        <x:f t="shared" si="93"/>
        <x:v>0</x:v>
      </x:c>
      <x:c r="M1326" s="61"/>
    </x:row>
    <x:row r="1327">
      <x:c r="A1327" s="61" t="str">
        <x:f>IF(E1327="","",MAX($A$6:A1326)+1)</x:f>
      </x:c>
      <x:c r="B1327" s="61"/>
      <x:c r="C1327" s="61"/>
      <x:c r="D1327" s="62"/>
      <x:c r="E1327" s="61"/>
      <x:c r="F1327" s="61"/>
      <x:c r="G1327" s="63"/>
      <x:c r="H1327" s="63">
        <x:f t="shared" si="91"/>
        <x:v>0</x:v>
      </x:c>
      <x:c r="I1327" s="64"/>
      <x:c r="J1327" s="63">
        <x:f t="shared" si="92"/>
        <x:v>0</x:v>
      </x:c>
      <x:c r="K1327" s="63" t="str">
        <x:f t="shared" si="90"/>
      </x:c>
      <x:c r="L1327" s="63">
        <x:f t="shared" si="93"/>
        <x:v>0</x:v>
      </x:c>
      <x:c r="M1327" s="61"/>
    </x:row>
    <x:row r="1328">
      <x:c r="A1328" s="61" t="str">
        <x:f>IF(E1328="","",MAX($A$6:A1327)+1)</x:f>
      </x:c>
      <x:c r="B1328" s="61"/>
      <x:c r="C1328" s="61"/>
      <x:c r="D1328" s="62"/>
      <x:c r="E1328" s="61"/>
      <x:c r="F1328" s="61"/>
      <x:c r="G1328" s="63"/>
      <x:c r="H1328" s="63">
        <x:f t="shared" si="91"/>
        <x:v>0</x:v>
      </x:c>
      <x:c r="I1328" s="64"/>
      <x:c r="J1328" s="63">
        <x:f t="shared" si="92"/>
        <x:v>0</x:v>
      </x:c>
      <x:c r="K1328" s="63" t="str">
        <x:f t="shared" si="90"/>
      </x:c>
      <x:c r="L1328" s="63">
        <x:f t="shared" si="93"/>
        <x:v>0</x:v>
      </x:c>
      <x:c r="M1328" s="61"/>
    </x:row>
    <x:row r="1329">
      <x:c r="A1329" s="61" t="str">
        <x:f>IF(E1329="","",MAX($A$6:A1328)+1)</x:f>
      </x:c>
      <x:c r="B1329" s="61"/>
      <x:c r="C1329" s="61"/>
      <x:c r="D1329" s="62"/>
      <x:c r="E1329" s="61"/>
      <x:c r="F1329" s="61"/>
      <x:c r="G1329" s="63"/>
      <x:c r="H1329" s="63">
        <x:f t="shared" si="91"/>
        <x:v>0</x:v>
      </x:c>
      <x:c r="I1329" s="64"/>
      <x:c r="J1329" s="63">
        <x:f t="shared" si="92"/>
        <x:v>0</x:v>
      </x:c>
      <x:c r="K1329" s="63" t="str">
        <x:f t="shared" si="90"/>
      </x:c>
      <x:c r="L1329" s="63">
        <x:f t="shared" si="93"/>
        <x:v>0</x:v>
      </x:c>
      <x:c r="M1329" s="61"/>
    </x:row>
    <x:row r="1330">
      <x:c r="A1330" s="61" t="str">
        <x:f>IF(E1330="","",MAX($A$6:A1329)+1)</x:f>
      </x:c>
      <x:c r="B1330" s="61"/>
      <x:c r="C1330" s="61"/>
      <x:c r="D1330" s="62"/>
      <x:c r="E1330" s="61"/>
      <x:c r="F1330" s="61"/>
      <x:c r="G1330" s="63"/>
      <x:c r="H1330" s="63">
        <x:f t="shared" si="91"/>
        <x:v>0</x:v>
      </x:c>
      <x:c r="I1330" s="64"/>
      <x:c r="J1330" s="63">
        <x:f t="shared" si="92"/>
        <x:v>0</x:v>
      </x:c>
      <x:c r="K1330" s="63" t="str">
        <x:f t="shared" si="90"/>
      </x:c>
      <x:c r="L1330" s="63">
        <x:f t="shared" si="93"/>
        <x:v>0</x:v>
      </x:c>
      <x:c r="M1330" s="61"/>
    </x:row>
    <x:row r="1331">
      <x:c r="A1331" s="61" t="str">
        <x:f>IF(E1331="","",MAX($A$6:A1330)+1)</x:f>
      </x:c>
      <x:c r="B1331" s="61"/>
      <x:c r="C1331" s="61"/>
      <x:c r="D1331" s="62"/>
      <x:c r="E1331" s="61"/>
      <x:c r="F1331" s="61"/>
      <x:c r="G1331" s="63"/>
      <x:c r="H1331" s="63">
        <x:f t="shared" si="91"/>
        <x:v>0</x:v>
      </x:c>
      <x:c r="I1331" s="64"/>
      <x:c r="J1331" s="63">
        <x:f t="shared" si="92"/>
        <x:v>0</x:v>
      </x:c>
      <x:c r="K1331" s="63" t="str">
        <x:f t="shared" si="90"/>
      </x:c>
      <x:c r="L1331" s="63">
        <x:f t="shared" si="93"/>
        <x:v>0</x:v>
      </x:c>
      <x:c r="M1331" s="61"/>
    </x:row>
    <x:row r="1332">
      <x:c r="A1332" s="61" t="str">
        <x:f>IF(E1332="","",MAX($A$6:A1331)+1)</x:f>
      </x:c>
      <x:c r="B1332" s="61"/>
      <x:c r="C1332" s="61"/>
      <x:c r="D1332" s="62"/>
      <x:c r="E1332" s="61"/>
      <x:c r="F1332" s="61"/>
      <x:c r="G1332" s="63"/>
      <x:c r="H1332" s="63">
        <x:f t="shared" si="91"/>
        <x:v>0</x:v>
      </x:c>
      <x:c r="I1332" s="64"/>
      <x:c r="J1332" s="63">
        <x:f t="shared" si="92"/>
        <x:v>0</x:v>
      </x:c>
      <x:c r="K1332" s="63" t="str">
        <x:f t="shared" si="90"/>
      </x:c>
      <x:c r="L1332" s="63">
        <x:f t="shared" si="93"/>
        <x:v>0</x:v>
      </x:c>
      <x:c r="M1332" s="61"/>
    </x:row>
    <x:row r="1333">
      <x:c r="A1333" s="61" t="str">
        <x:f>IF(E1333="","",MAX($A$6:A1332)+1)</x:f>
      </x:c>
      <x:c r="B1333" s="61"/>
      <x:c r="C1333" s="61"/>
      <x:c r="D1333" s="62"/>
      <x:c r="E1333" s="61"/>
      <x:c r="F1333" s="61"/>
      <x:c r="G1333" s="63"/>
      <x:c r="H1333" s="63">
        <x:f t="shared" si="91"/>
        <x:v>0</x:v>
      </x:c>
      <x:c r="I1333" s="64"/>
      <x:c r="J1333" s="63">
        <x:f t="shared" si="92"/>
        <x:v>0</x:v>
      </x:c>
      <x:c r="K1333" s="63" t="str">
        <x:f t="shared" si="90"/>
      </x:c>
      <x:c r="L1333" s="63">
        <x:f t="shared" si="93"/>
        <x:v>0</x:v>
      </x:c>
      <x:c r="M1333" s="61"/>
    </x:row>
    <x:row r="1334">
      <x:c r="A1334" s="61" t="str">
        <x:f>IF(E1334="","",MAX($A$6:A1333)+1)</x:f>
      </x:c>
      <x:c r="B1334" s="61"/>
      <x:c r="C1334" s="61"/>
      <x:c r="D1334" s="62"/>
      <x:c r="E1334" s="61"/>
      <x:c r="F1334" s="61"/>
      <x:c r="G1334" s="63"/>
      <x:c r="H1334" s="63">
        <x:f t="shared" si="91"/>
        <x:v>0</x:v>
      </x:c>
      <x:c r="I1334" s="64"/>
      <x:c r="J1334" s="63">
        <x:f t="shared" si="92"/>
        <x:v>0</x:v>
      </x:c>
      <x:c r="K1334" s="63" t="str">
        <x:f t="shared" ref="K1334:K1397" si="94">IFERROR(IF(G1334="","",MAX(1,G1334-J1334)),0)</x:f>
      </x:c>
      <x:c r="L1334" s="63">
        <x:f t="shared" si="93"/>
        <x:v>0</x:v>
      </x:c>
      <x:c r="M1334" s="61"/>
    </x:row>
    <x:row r="1335">
      <x:c r="A1335" s="61" t="str">
        <x:f>IF(E1335="","",MAX($A$6:A1334)+1)</x:f>
      </x:c>
      <x:c r="B1335" s="61"/>
      <x:c r="C1335" s="61"/>
      <x:c r="D1335" s="62"/>
      <x:c r="E1335" s="61"/>
      <x:c r="F1335" s="61"/>
      <x:c r="G1335" s="63"/>
      <x:c r="H1335" s="63">
        <x:f t="shared" si="91"/>
        <x:v>0</x:v>
      </x:c>
      <x:c r="I1335" s="64"/>
      <x:c r="J1335" s="63">
        <x:f t="shared" si="92"/>
        <x:v>0</x:v>
      </x:c>
      <x:c r="K1335" s="63" t="str">
        <x:f t="shared" si="94"/>
      </x:c>
      <x:c r="L1335" s="63">
        <x:f t="shared" si="93"/>
        <x:v>0</x:v>
      </x:c>
      <x:c r="M1335" s="61"/>
    </x:row>
    <x:row r="1336">
      <x:c r="A1336" s="61" t="str">
        <x:f>IF(E1336="","",MAX($A$6:A1335)+1)</x:f>
      </x:c>
      <x:c r="B1336" s="61"/>
      <x:c r="C1336" s="61"/>
      <x:c r="D1336" s="62"/>
      <x:c r="E1336" s="61"/>
      <x:c r="F1336" s="61"/>
      <x:c r="G1336" s="63"/>
      <x:c r="H1336" s="63">
        <x:f t="shared" si="91"/>
        <x:v>0</x:v>
      </x:c>
      <x:c r="I1336" s="64"/>
      <x:c r="J1336" s="63">
        <x:f t="shared" si="92"/>
        <x:v>0</x:v>
      </x:c>
      <x:c r="K1336" s="63" t="str">
        <x:f t="shared" si="94"/>
      </x:c>
      <x:c r="L1336" s="63">
        <x:f t="shared" si="93"/>
        <x:v>0</x:v>
      </x:c>
      <x:c r="M1336" s="61"/>
    </x:row>
    <x:row r="1337">
      <x:c r="A1337" s="61" t="str">
        <x:f>IF(E1337="","",MAX($A$6:A1336)+1)</x:f>
      </x:c>
      <x:c r="B1337" s="61"/>
      <x:c r="C1337" s="61"/>
      <x:c r="D1337" s="62"/>
      <x:c r="E1337" s="61"/>
      <x:c r="F1337" s="61"/>
      <x:c r="G1337" s="63"/>
      <x:c r="H1337" s="63">
        <x:f t="shared" si="91"/>
        <x:v>0</x:v>
      </x:c>
      <x:c r="I1337" s="64"/>
      <x:c r="J1337" s="63">
        <x:f t="shared" si="92"/>
        <x:v>0</x:v>
      </x:c>
      <x:c r="K1337" s="63" t="str">
        <x:f t="shared" si="94"/>
      </x:c>
      <x:c r="L1337" s="63">
        <x:f t="shared" si="93"/>
        <x:v>0</x:v>
      </x:c>
      <x:c r="M1337" s="61"/>
    </x:row>
    <x:row r="1338">
      <x:c r="A1338" s="61" t="str">
        <x:f>IF(E1338="","",MAX($A$6:A1337)+1)</x:f>
      </x:c>
      <x:c r="B1338" s="61"/>
      <x:c r="C1338" s="61"/>
      <x:c r="D1338" s="62"/>
      <x:c r="E1338" s="61"/>
      <x:c r="F1338" s="61"/>
      <x:c r="G1338" s="63"/>
      <x:c r="H1338" s="63">
        <x:f t="shared" si="91"/>
        <x:v>0</x:v>
      </x:c>
      <x:c r="I1338" s="64"/>
      <x:c r="J1338" s="63">
        <x:f t="shared" si="92"/>
        <x:v>0</x:v>
      </x:c>
      <x:c r="K1338" s="63" t="str">
        <x:f t="shared" si="94"/>
      </x:c>
      <x:c r="L1338" s="63">
        <x:f t="shared" si="93"/>
        <x:v>0</x:v>
      </x:c>
      <x:c r="M1338" s="61"/>
    </x:row>
    <x:row r="1339">
      <x:c r="A1339" s="61" t="str">
        <x:f>IF(E1339="","",MAX($A$6:A1338)+1)</x:f>
      </x:c>
      <x:c r="B1339" s="61"/>
      <x:c r="C1339" s="61"/>
      <x:c r="D1339" s="62"/>
      <x:c r="E1339" s="61"/>
      <x:c r="F1339" s="61"/>
      <x:c r="G1339" s="63"/>
      <x:c r="H1339" s="63">
        <x:f t="shared" si="91"/>
        <x:v>0</x:v>
      </x:c>
      <x:c r="I1339" s="64"/>
      <x:c r="J1339" s="63">
        <x:f t="shared" si="92"/>
        <x:v>0</x:v>
      </x:c>
      <x:c r="K1339" s="63" t="str">
        <x:f t="shared" si="94"/>
      </x:c>
      <x:c r="L1339" s="63">
        <x:f t="shared" si="93"/>
        <x:v>0</x:v>
      </x:c>
      <x:c r="M1339" s="61"/>
    </x:row>
    <x:row r="1340">
      <x:c r="A1340" s="61" t="str">
        <x:f>IF(E1340="","",MAX($A$6:A1339)+1)</x:f>
      </x:c>
      <x:c r="B1340" s="61"/>
      <x:c r="C1340" s="61"/>
      <x:c r="D1340" s="62"/>
      <x:c r="E1340" s="61"/>
      <x:c r="F1340" s="61"/>
      <x:c r="G1340" s="63"/>
      <x:c r="H1340" s="63">
        <x:f t="shared" si="91"/>
        <x:v>0</x:v>
      </x:c>
      <x:c r="I1340" s="64"/>
      <x:c r="J1340" s="63">
        <x:f t="shared" si="92"/>
        <x:v>0</x:v>
      </x:c>
      <x:c r="K1340" s="63" t="str">
        <x:f t="shared" si="94"/>
      </x:c>
      <x:c r="L1340" s="63">
        <x:f t="shared" si="93"/>
        <x:v>0</x:v>
      </x:c>
      <x:c r="M1340" s="61"/>
    </x:row>
    <x:row r="1341">
      <x:c r="A1341" s="61" t="str">
        <x:f>IF(E1341="","",MAX($A$6:A1340)+1)</x:f>
      </x:c>
      <x:c r="B1341" s="61"/>
      <x:c r="C1341" s="61"/>
      <x:c r="D1341" s="62"/>
      <x:c r="E1341" s="61"/>
      <x:c r="F1341" s="61"/>
      <x:c r="G1341" s="63"/>
      <x:c r="H1341" s="63">
        <x:f t="shared" si="91"/>
        <x:v>0</x:v>
      </x:c>
      <x:c r="I1341" s="64"/>
      <x:c r="J1341" s="63">
        <x:f t="shared" si="92"/>
        <x:v>0</x:v>
      </x:c>
      <x:c r="K1341" s="63" t="str">
        <x:f t="shared" si="94"/>
      </x:c>
      <x:c r="L1341" s="63">
        <x:f t="shared" si="93"/>
        <x:v>0</x:v>
      </x:c>
      <x:c r="M1341" s="61"/>
    </x:row>
    <x:row r="1342">
      <x:c r="A1342" s="61" t="str">
        <x:f>IF(E1342="","",MAX($A$6:A1341)+1)</x:f>
      </x:c>
      <x:c r="B1342" s="61"/>
      <x:c r="C1342" s="61"/>
      <x:c r="D1342" s="62"/>
      <x:c r="E1342" s="61"/>
      <x:c r="F1342" s="61"/>
      <x:c r="G1342" s="63"/>
      <x:c r="H1342" s="63">
        <x:f t="shared" si="91"/>
        <x:v>0</x:v>
      </x:c>
      <x:c r="I1342" s="64"/>
      <x:c r="J1342" s="63">
        <x:f t="shared" si="92"/>
        <x:v>0</x:v>
      </x:c>
      <x:c r="K1342" s="63" t="str">
        <x:f t="shared" si="94"/>
      </x:c>
      <x:c r="L1342" s="63">
        <x:f t="shared" si="93"/>
        <x:v>0</x:v>
      </x:c>
      <x:c r="M1342" s="61"/>
    </x:row>
    <x:row r="1343">
      <x:c r="A1343" s="61" t="str">
        <x:f>IF(E1343="","",MAX($A$6:A1342)+1)</x:f>
      </x:c>
      <x:c r="B1343" s="61"/>
      <x:c r="C1343" s="61"/>
      <x:c r="D1343" s="62"/>
      <x:c r="E1343" s="61"/>
      <x:c r="F1343" s="61"/>
      <x:c r="G1343" s="63"/>
      <x:c r="H1343" s="63">
        <x:f t="shared" si="91"/>
        <x:v>0</x:v>
      </x:c>
      <x:c r="I1343" s="64"/>
      <x:c r="J1343" s="63">
        <x:f t="shared" si="92"/>
        <x:v>0</x:v>
      </x:c>
      <x:c r="K1343" s="63" t="str">
        <x:f t="shared" si="94"/>
      </x:c>
      <x:c r="L1343" s="63">
        <x:f t="shared" si="93"/>
        <x:v>0</x:v>
      </x:c>
      <x:c r="M1343" s="61"/>
    </x:row>
    <x:row r="1344">
      <x:c r="A1344" s="61" t="str">
        <x:f>IF(E1344="","",MAX($A$6:A1343)+1)</x:f>
      </x:c>
      <x:c r="B1344" s="61"/>
      <x:c r="C1344" s="61"/>
      <x:c r="D1344" s="62"/>
      <x:c r="E1344" s="61"/>
      <x:c r="F1344" s="61"/>
      <x:c r="G1344" s="63"/>
      <x:c r="H1344" s="63">
        <x:f t="shared" si="91"/>
        <x:v>0</x:v>
      </x:c>
      <x:c r="I1344" s="64"/>
      <x:c r="J1344" s="63">
        <x:f t="shared" si="92"/>
        <x:v>0</x:v>
      </x:c>
      <x:c r="K1344" s="63" t="str">
        <x:f t="shared" si="94"/>
      </x:c>
      <x:c r="L1344" s="63">
        <x:f t="shared" si="93"/>
        <x:v>0</x:v>
      </x:c>
      <x:c r="M1344" s="61"/>
    </x:row>
    <x:row r="1345">
      <x:c r="A1345" s="61" t="str">
        <x:f>IF(E1345="","",MAX($A$6:A1344)+1)</x:f>
      </x:c>
      <x:c r="B1345" s="61"/>
      <x:c r="C1345" s="61"/>
      <x:c r="D1345" s="62"/>
      <x:c r="E1345" s="61"/>
      <x:c r="F1345" s="61"/>
      <x:c r="G1345" s="63"/>
      <x:c r="H1345" s="63">
        <x:f t="shared" si="91"/>
        <x:v>0</x:v>
      </x:c>
      <x:c r="I1345" s="64"/>
      <x:c r="J1345" s="63">
        <x:f t="shared" si="92"/>
        <x:v>0</x:v>
      </x:c>
      <x:c r="K1345" s="63" t="str">
        <x:f t="shared" si="94"/>
      </x:c>
      <x:c r="L1345" s="63">
        <x:f t="shared" si="93"/>
        <x:v>0</x:v>
      </x:c>
      <x:c r="M1345" s="61"/>
    </x:row>
    <x:row r="1346">
      <x:c r="A1346" s="61" t="str">
        <x:f>IF(E1346="","",MAX($A$6:A1345)+1)</x:f>
      </x:c>
      <x:c r="B1346" s="61"/>
      <x:c r="C1346" s="61"/>
      <x:c r="D1346" s="62"/>
      <x:c r="E1346" s="61"/>
      <x:c r="F1346" s="61"/>
      <x:c r="G1346" s="63"/>
      <x:c r="H1346" s="63">
        <x:f t="shared" si="91"/>
        <x:v>0</x:v>
      </x:c>
      <x:c r="I1346" s="64"/>
      <x:c r="J1346" s="63">
        <x:f t="shared" si="92"/>
        <x:v>0</x:v>
      </x:c>
      <x:c r="K1346" s="63" t="str">
        <x:f t="shared" si="94"/>
      </x:c>
      <x:c r="L1346" s="63">
        <x:f t="shared" si="93"/>
        <x:v>0</x:v>
      </x:c>
      <x:c r="M1346" s="61"/>
    </x:row>
    <x:row r="1347">
      <x:c r="A1347" s="61" t="str">
        <x:f>IF(E1347="","",MAX($A$6:A1346)+1)</x:f>
      </x:c>
      <x:c r="B1347" s="61"/>
      <x:c r="C1347" s="61"/>
      <x:c r="D1347" s="62"/>
      <x:c r="E1347" s="61"/>
      <x:c r="F1347" s="61"/>
      <x:c r="G1347" s="63"/>
      <x:c r="H1347" s="63">
        <x:f t="shared" si="91"/>
        <x:v>0</x:v>
      </x:c>
      <x:c r="I1347" s="64"/>
      <x:c r="J1347" s="63">
        <x:f t="shared" si="92"/>
        <x:v>0</x:v>
      </x:c>
      <x:c r="K1347" s="63" t="str">
        <x:f t="shared" si="94"/>
      </x:c>
      <x:c r="L1347" s="63">
        <x:f t="shared" si="93"/>
        <x:v>0</x:v>
      </x:c>
      <x:c r="M1347" s="61"/>
    </x:row>
    <x:row r="1348">
      <x:c r="A1348" s="61" t="str">
        <x:f>IF(E1348="","",MAX($A$6:A1347)+1)</x:f>
      </x:c>
      <x:c r="B1348" s="61"/>
      <x:c r="C1348" s="61"/>
      <x:c r="D1348" s="62"/>
      <x:c r="E1348" s="61"/>
      <x:c r="F1348" s="61"/>
      <x:c r="G1348" s="63"/>
      <x:c r="H1348" s="63">
        <x:f t="shared" si="91"/>
        <x:v>0</x:v>
      </x:c>
      <x:c r="I1348" s="64"/>
      <x:c r="J1348" s="63">
        <x:f t="shared" si="92"/>
        <x:v>0</x:v>
      </x:c>
      <x:c r="K1348" s="63" t="str">
        <x:f t="shared" si="94"/>
      </x:c>
      <x:c r="L1348" s="63">
        <x:f t="shared" si="93"/>
        <x:v>0</x:v>
      </x:c>
      <x:c r="M1348" s="61"/>
    </x:row>
    <x:row r="1349">
      <x:c r="A1349" s="61" t="str">
        <x:f>IF(E1349="","",MAX($A$6:A1348)+1)</x:f>
      </x:c>
      <x:c r="B1349" s="61"/>
      <x:c r="C1349" s="61"/>
      <x:c r="D1349" s="62"/>
      <x:c r="E1349" s="61"/>
      <x:c r="F1349" s="61"/>
      <x:c r="G1349" s="63"/>
      <x:c r="H1349" s="63">
        <x:f t="shared" si="91"/>
        <x:v>0</x:v>
      </x:c>
      <x:c r="I1349" s="64"/>
      <x:c r="J1349" s="63">
        <x:f t="shared" si="92"/>
        <x:v>0</x:v>
      </x:c>
      <x:c r="K1349" s="63" t="str">
        <x:f t="shared" si="94"/>
      </x:c>
      <x:c r="L1349" s="63">
        <x:f t="shared" si="93"/>
        <x:v>0</x:v>
      </x:c>
      <x:c r="M1349" s="61"/>
    </x:row>
    <x:row r="1350">
      <x:c r="A1350" s="61" t="str">
        <x:f>IF(E1350="","",MAX($A$6:A1349)+1)</x:f>
      </x:c>
      <x:c r="B1350" s="61"/>
      <x:c r="C1350" s="61"/>
      <x:c r="D1350" s="62"/>
      <x:c r="E1350" s="61"/>
      <x:c r="F1350" s="61"/>
      <x:c r="G1350" s="63"/>
      <x:c r="H1350" s="63" t="n">
        <x:f t="shared" ref="H1350:H1413" si="95">IFERROR(IF(OR($F$1="",D1350=""),0,MAX(0,$F$1-D1350)),0)</x:f>
        <x:v>0</x:v>
      </x:c>
      <x:c r="I1350" s="64"/>
      <x:c r="J1350" s="63" t="n">
        <x:f t="shared" ref="J1350:J1413" si="96">IFERROR(IF(OR(G1350="",I1350="",D1350="",$F$1=""),0,IF($F$1&lt;D1350,0,MIN(MAX(G1350-1,0),MAX(0,(G1350*I1350/365)*H1350)))),0)</x:f>
        <x:v>0</x:v>
      </x:c>
      <x:c r="K1350" s="63" t="str">
        <x:f t="shared" si="94"/>
      </x:c>
      <x:c r="L1350" s="63" t="n">
        <x:f t="shared" ref="L1350:L1413" si="97">IFERROR(IF(OR(G1350="",I1350="",D1350="",$F$1=""),0,IF($F$1&lt;D1350,0,IF(K1350&lt;=1,0,MIN(G1350*I1350/12,K1350-1)))),0)</x:f>
        <x:v>0</x:v>
      </x:c>
      <x:c r="M1350" s="61"/>
    </x:row>
    <x:row r="1351">
      <x:c r="A1351" s="61" t="str">
        <x:f>IF(E1351="","",MAX($A$6:A1350)+1)</x:f>
      </x:c>
      <x:c r="B1351" s="61"/>
      <x:c r="C1351" s="61"/>
      <x:c r="D1351" s="62"/>
      <x:c r="E1351" s="61"/>
      <x:c r="F1351" s="61"/>
      <x:c r="G1351" s="63"/>
      <x:c r="H1351" s="63">
        <x:f t="shared" si="95"/>
        <x:v>0</x:v>
      </x:c>
      <x:c r="I1351" s="64"/>
      <x:c r="J1351" s="63">
        <x:f t="shared" si="96"/>
        <x:v>0</x:v>
      </x:c>
      <x:c r="K1351" s="63" t="str">
        <x:f t="shared" si="94"/>
      </x:c>
      <x:c r="L1351" s="63">
        <x:f t="shared" si="97"/>
        <x:v>0</x:v>
      </x:c>
      <x:c r="M1351" s="61"/>
    </x:row>
    <x:row r="1352">
      <x:c r="A1352" s="61" t="str">
        <x:f>IF(E1352="","",MAX($A$6:A1351)+1)</x:f>
      </x:c>
      <x:c r="B1352" s="61"/>
      <x:c r="C1352" s="61"/>
      <x:c r="D1352" s="62"/>
      <x:c r="E1352" s="61"/>
      <x:c r="F1352" s="61"/>
      <x:c r="G1352" s="63"/>
      <x:c r="H1352" s="63">
        <x:f t="shared" si="95"/>
        <x:v>0</x:v>
      </x:c>
      <x:c r="I1352" s="64"/>
      <x:c r="J1352" s="63">
        <x:f t="shared" si="96"/>
        <x:v>0</x:v>
      </x:c>
      <x:c r="K1352" s="63" t="str">
        <x:f t="shared" si="94"/>
      </x:c>
      <x:c r="L1352" s="63">
        <x:f t="shared" si="97"/>
        <x:v>0</x:v>
      </x:c>
      <x:c r="M1352" s="61"/>
    </x:row>
    <x:row r="1353">
      <x:c r="A1353" s="61" t="str">
        <x:f>IF(E1353="","",MAX($A$6:A1352)+1)</x:f>
      </x:c>
      <x:c r="B1353" s="61"/>
      <x:c r="C1353" s="61"/>
      <x:c r="D1353" s="62"/>
      <x:c r="E1353" s="61"/>
      <x:c r="F1353" s="61"/>
      <x:c r="G1353" s="63"/>
      <x:c r="H1353" s="63">
        <x:f t="shared" si="95"/>
        <x:v>0</x:v>
      </x:c>
      <x:c r="I1353" s="64"/>
      <x:c r="J1353" s="63">
        <x:f t="shared" si="96"/>
        <x:v>0</x:v>
      </x:c>
      <x:c r="K1353" s="63" t="str">
        <x:f t="shared" si="94"/>
      </x:c>
      <x:c r="L1353" s="63">
        <x:f t="shared" si="97"/>
        <x:v>0</x:v>
      </x:c>
      <x:c r="M1353" s="61"/>
    </x:row>
    <x:row r="1354">
      <x:c r="A1354" s="61" t="str">
        <x:f>IF(E1354="","",MAX($A$6:A1353)+1)</x:f>
      </x:c>
      <x:c r="B1354" s="61"/>
      <x:c r="C1354" s="61"/>
      <x:c r="D1354" s="62"/>
      <x:c r="E1354" s="61"/>
      <x:c r="F1354" s="61"/>
      <x:c r="G1354" s="63"/>
      <x:c r="H1354" s="63">
        <x:f t="shared" si="95"/>
        <x:v>0</x:v>
      </x:c>
      <x:c r="I1354" s="64"/>
      <x:c r="J1354" s="63">
        <x:f t="shared" si="96"/>
        <x:v>0</x:v>
      </x:c>
      <x:c r="K1354" s="63" t="str">
        <x:f t="shared" si="94"/>
      </x:c>
      <x:c r="L1354" s="63">
        <x:f t="shared" si="97"/>
        <x:v>0</x:v>
      </x:c>
      <x:c r="M1354" s="61"/>
    </x:row>
    <x:row r="1355">
      <x:c r="A1355" s="61" t="str">
        <x:f>IF(E1355="","",MAX($A$6:A1354)+1)</x:f>
      </x:c>
      <x:c r="B1355" s="61"/>
      <x:c r="C1355" s="61"/>
      <x:c r="D1355" s="62"/>
      <x:c r="E1355" s="61"/>
      <x:c r="F1355" s="61"/>
      <x:c r="G1355" s="63"/>
      <x:c r="H1355" s="63">
        <x:f t="shared" si="95"/>
        <x:v>0</x:v>
      </x:c>
      <x:c r="I1355" s="64"/>
      <x:c r="J1355" s="63">
        <x:f t="shared" si="96"/>
        <x:v>0</x:v>
      </x:c>
      <x:c r="K1355" s="63" t="str">
        <x:f t="shared" si="94"/>
      </x:c>
      <x:c r="L1355" s="63">
        <x:f t="shared" si="97"/>
        <x:v>0</x:v>
      </x:c>
      <x:c r="M1355" s="61"/>
    </x:row>
    <x:row r="1356">
      <x:c r="A1356" s="61" t="str">
        <x:f>IF(E1356="","",MAX($A$6:A1355)+1)</x:f>
      </x:c>
      <x:c r="B1356" s="61"/>
      <x:c r="C1356" s="61"/>
      <x:c r="D1356" s="62"/>
      <x:c r="E1356" s="61"/>
      <x:c r="F1356" s="61"/>
      <x:c r="G1356" s="63"/>
      <x:c r="H1356" s="63">
        <x:f t="shared" si="95"/>
        <x:v>0</x:v>
      </x:c>
      <x:c r="I1356" s="64"/>
      <x:c r="J1356" s="63">
        <x:f t="shared" si="96"/>
        <x:v>0</x:v>
      </x:c>
      <x:c r="K1356" s="63" t="str">
        <x:f t="shared" si="94"/>
      </x:c>
      <x:c r="L1356" s="63">
        <x:f t="shared" si="97"/>
        <x:v>0</x:v>
      </x:c>
      <x:c r="M1356" s="61"/>
    </x:row>
    <x:row r="1357">
      <x:c r="A1357" s="61" t="str">
        <x:f>IF(E1357="","",MAX($A$6:A1356)+1)</x:f>
      </x:c>
      <x:c r="B1357" s="61"/>
      <x:c r="C1357" s="61"/>
      <x:c r="D1357" s="62"/>
      <x:c r="E1357" s="61"/>
      <x:c r="F1357" s="61"/>
      <x:c r="G1357" s="63"/>
      <x:c r="H1357" s="63">
        <x:f t="shared" si="95"/>
        <x:v>0</x:v>
      </x:c>
      <x:c r="I1357" s="64"/>
      <x:c r="J1357" s="63">
        <x:f t="shared" si="96"/>
        <x:v>0</x:v>
      </x:c>
      <x:c r="K1357" s="63" t="str">
        <x:f t="shared" si="94"/>
      </x:c>
      <x:c r="L1357" s="63">
        <x:f t="shared" si="97"/>
        <x:v>0</x:v>
      </x:c>
      <x:c r="M1357" s="61"/>
    </x:row>
    <x:row r="1358">
      <x:c r="A1358" s="61" t="str">
        <x:f>IF(E1358="","",MAX($A$6:A1357)+1)</x:f>
      </x:c>
      <x:c r="B1358" s="61"/>
      <x:c r="C1358" s="61"/>
      <x:c r="D1358" s="62"/>
      <x:c r="E1358" s="61"/>
      <x:c r="F1358" s="61"/>
      <x:c r="G1358" s="63"/>
      <x:c r="H1358" s="63">
        <x:f t="shared" si="95"/>
        <x:v>0</x:v>
      </x:c>
      <x:c r="I1358" s="64"/>
      <x:c r="J1358" s="63">
        <x:f t="shared" si="96"/>
        <x:v>0</x:v>
      </x:c>
      <x:c r="K1358" s="63" t="str">
        <x:f t="shared" si="94"/>
      </x:c>
      <x:c r="L1358" s="63">
        <x:f t="shared" si="97"/>
        <x:v>0</x:v>
      </x:c>
      <x:c r="M1358" s="61"/>
    </x:row>
    <x:row r="1359">
      <x:c r="A1359" s="61" t="str">
        <x:f>IF(E1359="","",MAX($A$6:A1358)+1)</x:f>
      </x:c>
      <x:c r="B1359" s="61"/>
      <x:c r="C1359" s="61"/>
      <x:c r="D1359" s="62"/>
      <x:c r="E1359" s="61"/>
      <x:c r="F1359" s="61"/>
      <x:c r="G1359" s="63"/>
      <x:c r="H1359" s="63">
        <x:f t="shared" si="95"/>
        <x:v>0</x:v>
      </x:c>
      <x:c r="I1359" s="64"/>
      <x:c r="J1359" s="63">
        <x:f t="shared" si="96"/>
        <x:v>0</x:v>
      </x:c>
      <x:c r="K1359" s="63" t="str">
        <x:f t="shared" si="94"/>
      </x:c>
      <x:c r="L1359" s="63">
        <x:f t="shared" si="97"/>
        <x:v>0</x:v>
      </x:c>
      <x:c r="M1359" s="61"/>
    </x:row>
    <x:row r="1360">
      <x:c r="A1360" s="61" t="str">
        <x:f>IF(E1360="","",MAX($A$6:A1359)+1)</x:f>
      </x:c>
      <x:c r="B1360" s="61"/>
      <x:c r="C1360" s="61"/>
      <x:c r="D1360" s="62"/>
      <x:c r="E1360" s="61"/>
      <x:c r="F1360" s="61"/>
      <x:c r="G1360" s="63"/>
      <x:c r="H1360" s="63">
        <x:f t="shared" si="95"/>
        <x:v>0</x:v>
      </x:c>
      <x:c r="I1360" s="64"/>
      <x:c r="J1360" s="63">
        <x:f t="shared" si="96"/>
        <x:v>0</x:v>
      </x:c>
      <x:c r="K1360" s="63" t="str">
        <x:f t="shared" si="94"/>
      </x:c>
      <x:c r="L1360" s="63">
        <x:f t="shared" si="97"/>
        <x:v>0</x:v>
      </x:c>
      <x:c r="M1360" s="61"/>
    </x:row>
    <x:row r="1361">
      <x:c r="A1361" s="61" t="str">
        <x:f>IF(E1361="","",MAX($A$6:A1360)+1)</x:f>
      </x:c>
      <x:c r="B1361" s="61"/>
      <x:c r="C1361" s="61"/>
      <x:c r="D1361" s="62"/>
      <x:c r="E1361" s="61"/>
      <x:c r="F1361" s="61"/>
      <x:c r="G1361" s="63"/>
      <x:c r="H1361" s="63">
        <x:f t="shared" si="95"/>
        <x:v>0</x:v>
      </x:c>
      <x:c r="I1361" s="64"/>
      <x:c r="J1361" s="63">
        <x:f t="shared" si="96"/>
        <x:v>0</x:v>
      </x:c>
      <x:c r="K1361" s="63" t="str">
        <x:f t="shared" si="94"/>
      </x:c>
      <x:c r="L1361" s="63">
        <x:f t="shared" si="97"/>
        <x:v>0</x:v>
      </x:c>
      <x:c r="M1361" s="61"/>
    </x:row>
    <x:row r="1362">
      <x:c r="A1362" s="61" t="str">
        <x:f>IF(E1362="","",MAX($A$6:A1361)+1)</x:f>
      </x:c>
      <x:c r="B1362" s="61"/>
      <x:c r="C1362" s="61"/>
      <x:c r="D1362" s="62"/>
      <x:c r="E1362" s="61"/>
      <x:c r="F1362" s="61"/>
      <x:c r="G1362" s="63"/>
      <x:c r="H1362" s="63">
        <x:f t="shared" si="95"/>
        <x:v>0</x:v>
      </x:c>
      <x:c r="I1362" s="64"/>
      <x:c r="J1362" s="63">
        <x:f t="shared" si="96"/>
        <x:v>0</x:v>
      </x:c>
      <x:c r="K1362" s="63" t="str">
        <x:f t="shared" si="94"/>
      </x:c>
      <x:c r="L1362" s="63">
        <x:f t="shared" si="97"/>
        <x:v>0</x:v>
      </x:c>
      <x:c r="M1362" s="61"/>
    </x:row>
    <x:row r="1363">
      <x:c r="A1363" s="61" t="str">
        <x:f>IF(E1363="","",MAX($A$6:A1362)+1)</x:f>
      </x:c>
      <x:c r="B1363" s="61"/>
      <x:c r="C1363" s="61"/>
      <x:c r="D1363" s="62"/>
      <x:c r="E1363" s="61"/>
      <x:c r="F1363" s="61"/>
      <x:c r="G1363" s="63"/>
      <x:c r="H1363" s="63">
        <x:f t="shared" si="95"/>
        <x:v>0</x:v>
      </x:c>
      <x:c r="I1363" s="64"/>
      <x:c r="J1363" s="63">
        <x:f t="shared" si="96"/>
        <x:v>0</x:v>
      </x:c>
      <x:c r="K1363" s="63" t="str">
        <x:f t="shared" si="94"/>
      </x:c>
      <x:c r="L1363" s="63">
        <x:f t="shared" si="97"/>
        <x:v>0</x:v>
      </x:c>
      <x:c r="M1363" s="61"/>
    </x:row>
    <x:row r="1364">
      <x:c r="A1364" s="61" t="str">
        <x:f>IF(E1364="","",MAX($A$6:A1363)+1)</x:f>
      </x:c>
      <x:c r="B1364" s="61"/>
      <x:c r="C1364" s="61"/>
      <x:c r="D1364" s="62"/>
      <x:c r="E1364" s="61"/>
      <x:c r="F1364" s="61"/>
      <x:c r="G1364" s="63"/>
      <x:c r="H1364" s="63">
        <x:f t="shared" si="95"/>
        <x:v>0</x:v>
      </x:c>
      <x:c r="I1364" s="64"/>
      <x:c r="J1364" s="63">
        <x:f t="shared" si="96"/>
        <x:v>0</x:v>
      </x:c>
      <x:c r="K1364" s="63" t="str">
        <x:f t="shared" si="94"/>
      </x:c>
      <x:c r="L1364" s="63">
        <x:f t="shared" si="97"/>
        <x:v>0</x:v>
      </x:c>
      <x:c r="M1364" s="61"/>
    </x:row>
    <x:row r="1365">
      <x:c r="A1365" s="61" t="str">
        <x:f>IF(E1365="","",MAX($A$6:A1364)+1)</x:f>
      </x:c>
      <x:c r="B1365" s="61"/>
      <x:c r="C1365" s="61"/>
      <x:c r="D1365" s="62"/>
      <x:c r="E1365" s="61"/>
      <x:c r="F1365" s="61"/>
      <x:c r="G1365" s="63"/>
      <x:c r="H1365" s="63">
        <x:f t="shared" si="95"/>
        <x:v>0</x:v>
      </x:c>
      <x:c r="I1365" s="64"/>
      <x:c r="J1365" s="63">
        <x:f t="shared" si="96"/>
        <x:v>0</x:v>
      </x:c>
      <x:c r="K1365" s="63" t="str">
        <x:f t="shared" si="94"/>
      </x:c>
      <x:c r="L1365" s="63">
        <x:f t="shared" si="97"/>
        <x:v>0</x:v>
      </x:c>
      <x:c r="M1365" s="61"/>
    </x:row>
    <x:row r="1366">
      <x:c r="A1366" s="61" t="str">
        <x:f>IF(E1366="","",MAX($A$6:A1365)+1)</x:f>
      </x:c>
      <x:c r="B1366" s="61"/>
      <x:c r="C1366" s="61"/>
      <x:c r="D1366" s="62"/>
      <x:c r="E1366" s="61"/>
      <x:c r="F1366" s="61"/>
      <x:c r="G1366" s="63"/>
      <x:c r="H1366" s="63">
        <x:f t="shared" si="95"/>
        <x:v>0</x:v>
      </x:c>
      <x:c r="I1366" s="64"/>
      <x:c r="J1366" s="63">
        <x:f t="shared" si="96"/>
        <x:v>0</x:v>
      </x:c>
      <x:c r="K1366" s="63" t="str">
        <x:f t="shared" si="94"/>
      </x:c>
      <x:c r="L1366" s="63">
        <x:f t="shared" si="97"/>
        <x:v>0</x:v>
      </x:c>
      <x:c r="M1366" s="61"/>
    </x:row>
    <x:row r="1367">
      <x:c r="A1367" s="61" t="str">
        <x:f>IF(E1367="","",MAX($A$6:A1366)+1)</x:f>
      </x:c>
      <x:c r="B1367" s="61"/>
      <x:c r="C1367" s="61"/>
      <x:c r="D1367" s="62"/>
      <x:c r="E1367" s="61"/>
      <x:c r="F1367" s="61"/>
      <x:c r="G1367" s="63"/>
      <x:c r="H1367" s="63">
        <x:f t="shared" si="95"/>
        <x:v>0</x:v>
      </x:c>
      <x:c r="I1367" s="64"/>
      <x:c r="J1367" s="63">
        <x:f t="shared" si="96"/>
        <x:v>0</x:v>
      </x:c>
      <x:c r="K1367" s="63" t="str">
        <x:f t="shared" si="94"/>
      </x:c>
      <x:c r="L1367" s="63">
        <x:f t="shared" si="97"/>
        <x:v>0</x:v>
      </x:c>
      <x:c r="M1367" s="61"/>
    </x:row>
    <x:row r="1368">
      <x:c r="A1368" s="61" t="str">
        <x:f>IF(E1368="","",MAX($A$6:A1367)+1)</x:f>
      </x:c>
      <x:c r="B1368" s="61"/>
      <x:c r="C1368" s="61"/>
      <x:c r="D1368" s="62"/>
      <x:c r="E1368" s="61"/>
      <x:c r="F1368" s="61"/>
      <x:c r="G1368" s="63"/>
      <x:c r="H1368" s="63">
        <x:f t="shared" si="95"/>
        <x:v>0</x:v>
      </x:c>
      <x:c r="I1368" s="64"/>
      <x:c r="J1368" s="63">
        <x:f t="shared" si="96"/>
        <x:v>0</x:v>
      </x:c>
      <x:c r="K1368" s="63" t="str">
        <x:f t="shared" si="94"/>
      </x:c>
      <x:c r="L1368" s="63">
        <x:f t="shared" si="97"/>
        <x:v>0</x:v>
      </x:c>
      <x:c r="M1368" s="61"/>
    </x:row>
    <x:row r="1369">
      <x:c r="A1369" s="61" t="str">
        <x:f>IF(E1369="","",MAX($A$6:A1368)+1)</x:f>
      </x:c>
      <x:c r="B1369" s="61"/>
      <x:c r="C1369" s="61"/>
      <x:c r="D1369" s="62"/>
      <x:c r="E1369" s="61"/>
      <x:c r="F1369" s="61"/>
      <x:c r="G1369" s="63"/>
      <x:c r="H1369" s="63">
        <x:f t="shared" si="95"/>
        <x:v>0</x:v>
      </x:c>
      <x:c r="I1369" s="64"/>
      <x:c r="J1369" s="63">
        <x:f t="shared" si="96"/>
        <x:v>0</x:v>
      </x:c>
      <x:c r="K1369" s="63" t="str">
        <x:f t="shared" si="94"/>
      </x:c>
      <x:c r="L1369" s="63">
        <x:f t="shared" si="97"/>
        <x:v>0</x:v>
      </x:c>
      <x:c r="M1369" s="61"/>
    </x:row>
    <x:row r="1370">
      <x:c r="A1370" s="61" t="str">
        <x:f>IF(E1370="","",MAX($A$6:A1369)+1)</x:f>
      </x:c>
      <x:c r="B1370" s="61"/>
      <x:c r="C1370" s="61"/>
      <x:c r="D1370" s="62"/>
      <x:c r="E1370" s="61"/>
      <x:c r="F1370" s="61"/>
      <x:c r="G1370" s="63"/>
      <x:c r="H1370" s="63">
        <x:f t="shared" si="95"/>
        <x:v>0</x:v>
      </x:c>
      <x:c r="I1370" s="64"/>
      <x:c r="J1370" s="63">
        <x:f t="shared" si="96"/>
        <x:v>0</x:v>
      </x:c>
      <x:c r="K1370" s="63" t="str">
        <x:f t="shared" si="94"/>
      </x:c>
      <x:c r="L1370" s="63">
        <x:f t="shared" si="97"/>
        <x:v>0</x:v>
      </x:c>
      <x:c r="M1370" s="61"/>
    </x:row>
    <x:row r="1371">
      <x:c r="A1371" s="61" t="str">
        <x:f>IF(E1371="","",MAX($A$6:A1370)+1)</x:f>
      </x:c>
      <x:c r="B1371" s="61"/>
      <x:c r="C1371" s="61"/>
      <x:c r="D1371" s="62"/>
      <x:c r="E1371" s="61"/>
      <x:c r="F1371" s="61"/>
      <x:c r="G1371" s="63"/>
      <x:c r="H1371" s="63">
        <x:f t="shared" si="95"/>
        <x:v>0</x:v>
      </x:c>
      <x:c r="I1371" s="64"/>
      <x:c r="J1371" s="63">
        <x:f t="shared" si="96"/>
        <x:v>0</x:v>
      </x:c>
      <x:c r="K1371" s="63" t="str">
        <x:f t="shared" si="94"/>
      </x:c>
      <x:c r="L1371" s="63">
        <x:f t="shared" si="97"/>
        <x:v>0</x:v>
      </x:c>
      <x:c r="M1371" s="61"/>
    </x:row>
    <x:row r="1372">
      <x:c r="A1372" s="61" t="str">
        <x:f>IF(E1372="","",MAX($A$6:A1371)+1)</x:f>
      </x:c>
      <x:c r="B1372" s="61"/>
      <x:c r="C1372" s="61"/>
      <x:c r="D1372" s="62"/>
      <x:c r="E1372" s="61"/>
      <x:c r="F1372" s="61"/>
      <x:c r="G1372" s="63"/>
      <x:c r="H1372" s="63">
        <x:f t="shared" si="95"/>
        <x:v>0</x:v>
      </x:c>
      <x:c r="I1372" s="64"/>
      <x:c r="J1372" s="63">
        <x:f t="shared" si="96"/>
        <x:v>0</x:v>
      </x:c>
      <x:c r="K1372" s="63" t="str">
        <x:f t="shared" si="94"/>
      </x:c>
      <x:c r="L1372" s="63">
        <x:f t="shared" si="97"/>
        <x:v>0</x:v>
      </x:c>
      <x:c r="M1372" s="61"/>
    </x:row>
    <x:row r="1373">
      <x:c r="A1373" s="61" t="str">
        <x:f>IF(E1373="","",MAX($A$6:A1372)+1)</x:f>
      </x:c>
      <x:c r="B1373" s="61"/>
      <x:c r="C1373" s="61"/>
      <x:c r="D1373" s="62"/>
      <x:c r="E1373" s="61"/>
      <x:c r="F1373" s="61"/>
      <x:c r="G1373" s="63"/>
      <x:c r="H1373" s="63">
        <x:f t="shared" si="95"/>
        <x:v>0</x:v>
      </x:c>
      <x:c r="I1373" s="64"/>
      <x:c r="J1373" s="63">
        <x:f t="shared" si="96"/>
        <x:v>0</x:v>
      </x:c>
      <x:c r="K1373" s="63" t="str">
        <x:f t="shared" si="94"/>
      </x:c>
      <x:c r="L1373" s="63">
        <x:f t="shared" si="97"/>
        <x:v>0</x:v>
      </x:c>
      <x:c r="M1373" s="61"/>
    </x:row>
    <x:row r="1374">
      <x:c r="A1374" s="61" t="str">
        <x:f>IF(E1374="","",MAX($A$6:A1373)+1)</x:f>
      </x:c>
      <x:c r="B1374" s="61"/>
      <x:c r="C1374" s="61"/>
      <x:c r="D1374" s="62"/>
      <x:c r="E1374" s="61"/>
      <x:c r="F1374" s="61"/>
      <x:c r="G1374" s="63"/>
      <x:c r="H1374" s="63">
        <x:f t="shared" si="95"/>
        <x:v>0</x:v>
      </x:c>
      <x:c r="I1374" s="64"/>
      <x:c r="J1374" s="63">
        <x:f t="shared" si="96"/>
        <x:v>0</x:v>
      </x:c>
      <x:c r="K1374" s="63" t="str">
        <x:f t="shared" si="94"/>
      </x:c>
      <x:c r="L1374" s="63">
        <x:f t="shared" si="97"/>
        <x:v>0</x:v>
      </x:c>
      <x:c r="M1374" s="61"/>
    </x:row>
    <x:row r="1375">
      <x:c r="A1375" s="61" t="str">
        <x:f>IF(E1375="","",MAX($A$6:A1374)+1)</x:f>
      </x:c>
      <x:c r="B1375" s="61"/>
      <x:c r="C1375" s="61"/>
      <x:c r="D1375" s="62"/>
      <x:c r="E1375" s="61"/>
      <x:c r="F1375" s="61"/>
      <x:c r="G1375" s="63"/>
      <x:c r="H1375" s="63">
        <x:f t="shared" si="95"/>
        <x:v>0</x:v>
      </x:c>
      <x:c r="I1375" s="64"/>
      <x:c r="J1375" s="63">
        <x:f t="shared" si="96"/>
        <x:v>0</x:v>
      </x:c>
      <x:c r="K1375" s="63" t="str">
        <x:f t="shared" si="94"/>
      </x:c>
      <x:c r="L1375" s="63">
        <x:f t="shared" si="97"/>
        <x:v>0</x:v>
      </x:c>
      <x:c r="M1375" s="61"/>
    </x:row>
    <x:row r="1376">
      <x:c r="A1376" s="61" t="str">
        <x:f>IF(E1376="","",MAX($A$6:A1375)+1)</x:f>
      </x:c>
      <x:c r="B1376" s="61"/>
      <x:c r="C1376" s="61"/>
      <x:c r="D1376" s="62"/>
      <x:c r="E1376" s="61"/>
      <x:c r="F1376" s="61"/>
      <x:c r="G1376" s="63"/>
      <x:c r="H1376" s="63">
        <x:f t="shared" si="95"/>
        <x:v>0</x:v>
      </x:c>
      <x:c r="I1376" s="64"/>
      <x:c r="J1376" s="63">
        <x:f t="shared" si="96"/>
        <x:v>0</x:v>
      </x:c>
      <x:c r="K1376" s="63" t="str">
        <x:f t="shared" si="94"/>
      </x:c>
      <x:c r="L1376" s="63">
        <x:f t="shared" si="97"/>
        <x:v>0</x:v>
      </x:c>
      <x:c r="M1376" s="61"/>
    </x:row>
    <x:row r="1377">
      <x:c r="A1377" s="61" t="str">
        <x:f>IF(E1377="","",MAX($A$6:A1376)+1)</x:f>
      </x:c>
      <x:c r="B1377" s="61"/>
      <x:c r="C1377" s="61"/>
      <x:c r="D1377" s="62"/>
      <x:c r="E1377" s="61"/>
      <x:c r="F1377" s="61"/>
      <x:c r="G1377" s="63"/>
      <x:c r="H1377" s="63">
        <x:f t="shared" si="95"/>
        <x:v>0</x:v>
      </x:c>
      <x:c r="I1377" s="64"/>
      <x:c r="J1377" s="63">
        <x:f t="shared" si="96"/>
        <x:v>0</x:v>
      </x:c>
      <x:c r="K1377" s="63" t="str">
        <x:f t="shared" si="94"/>
      </x:c>
      <x:c r="L1377" s="63">
        <x:f t="shared" si="97"/>
        <x:v>0</x:v>
      </x:c>
      <x:c r="M1377" s="61"/>
    </x:row>
    <x:row r="1378">
      <x:c r="A1378" s="61" t="str">
        <x:f>IF(E1378="","",MAX($A$6:A1377)+1)</x:f>
      </x:c>
      <x:c r="B1378" s="61"/>
      <x:c r="C1378" s="61"/>
      <x:c r="D1378" s="62"/>
      <x:c r="E1378" s="61"/>
      <x:c r="F1378" s="61"/>
      <x:c r="G1378" s="63"/>
      <x:c r="H1378" s="63">
        <x:f t="shared" si="95"/>
        <x:v>0</x:v>
      </x:c>
      <x:c r="I1378" s="64"/>
      <x:c r="J1378" s="63">
        <x:f t="shared" si="96"/>
        <x:v>0</x:v>
      </x:c>
      <x:c r="K1378" s="63" t="str">
        <x:f t="shared" si="94"/>
      </x:c>
      <x:c r="L1378" s="63">
        <x:f t="shared" si="97"/>
        <x:v>0</x:v>
      </x:c>
      <x:c r="M1378" s="61"/>
    </x:row>
    <x:row r="1379">
      <x:c r="A1379" s="61" t="str">
        <x:f>IF(E1379="","",MAX($A$6:A1378)+1)</x:f>
      </x:c>
      <x:c r="B1379" s="61"/>
      <x:c r="C1379" s="61"/>
      <x:c r="D1379" s="62"/>
      <x:c r="E1379" s="61"/>
      <x:c r="F1379" s="61"/>
      <x:c r="G1379" s="63"/>
      <x:c r="H1379" s="63">
        <x:f t="shared" si="95"/>
        <x:v>0</x:v>
      </x:c>
      <x:c r="I1379" s="64"/>
      <x:c r="J1379" s="63">
        <x:f t="shared" si="96"/>
        <x:v>0</x:v>
      </x:c>
      <x:c r="K1379" s="63" t="str">
        <x:f t="shared" si="94"/>
      </x:c>
      <x:c r="L1379" s="63">
        <x:f t="shared" si="97"/>
        <x:v>0</x:v>
      </x:c>
      <x:c r="M1379" s="61"/>
    </x:row>
    <x:row r="1380">
      <x:c r="A1380" s="61" t="str">
        <x:f>IF(E1380="","",MAX($A$6:A1379)+1)</x:f>
      </x:c>
      <x:c r="B1380" s="61"/>
      <x:c r="C1380" s="61"/>
      <x:c r="D1380" s="62"/>
      <x:c r="E1380" s="61"/>
      <x:c r="F1380" s="61"/>
      <x:c r="G1380" s="63"/>
      <x:c r="H1380" s="63">
        <x:f t="shared" si="95"/>
        <x:v>0</x:v>
      </x:c>
      <x:c r="I1380" s="64"/>
      <x:c r="J1380" s="63">
        <x:f t="shared" si="96"/>
        <x:v>0</x:v>
      </x:c>
      <x:c r="K1380" s="63" t="str">
        <x:f t="shared" si="94"/>
      </x:c>
      <x:c r="L1380" s="63">
        <x:f t="shared" si="97"/>
        <x:v>0</x:v>
      </x:c>
      <x:c r="M1380" s="61"/>
    </x:row>
    <x:row r="1381">
      <x:c r="A1381" s="61" t="str">
        <x:f>IF(E1381="","",MAX($A$6:A1380)+1)</x:f>
      </x:c>
      <x:c r="B1381" s="61"/>
      <x:c r="C1381" s="61"/>
      <x:c r="D1381" s="62"/>
      <x:c r="E1381" s="61"/>
      <x:c r="F1381" s="61"/>
      <x:c r="G1381" s="63"/>
      <x:c r="H1381" s="63">
        <x:f t="shared" si="95"/>
        <x:v>0</x:v>
      </x:c>
      <x:c r="I1381" s="64"/>
      <x:c r="J1381" s="63">
        <x:f t="shared" si="96"/>
        <x:v>0</x:v>
      </x:c>
      <x:c r="K1381" s="63" t="str">
        <x:f t="shared" si="94"/>
      </x:c>
      <x:c r="L1381" s="63">
        <x:f t="shared" si="97"/>
        <x:v>0</x:v>
      </x:c>
      <x:c r="M1381" s="61"/>
    </x:row>
    <x:row r="1382">
      <x:c r="A1382" s="61" t="str">
        <x:f>IF(E1382="","",MAX($A$6:A1381)+1)</x:f>
      </x:c>
      <x:c r="B1382" s="61"/>
      <x:c r="C1382" s="61"/>
      <x:c r="D1382" s="62"/>
      <x:c r="E1382" s="61"/>
      <x:c r="F1382" s="61"/>
      <x:c r="G1382" s="63"/>
      <x:c r="H1382" s="63">
        <x:f t="shared" si="95"/>
        <x:v>0</x:v>
      </x:c>
      <x:c r="I1382" s="64"/>
      <x:c r="J1382" s="63">
        <x:f t="shared" si="96"/>
        <x:v>0</x:v>
      </x:c>
      <x:c r="K1382" s="63" t="str">
        <x:f t="shared" si="94"/>
      </x:c>
      <x:c r="L1382" s="63">
        <x:f t="shared" si="97"/>
        <x:v>0</x:v>
      </x:c>
      <x:c r="M1382" s="61"/>
    </x:row>
    <x:row r="1383">
      <x:c r="A1383" s="61" t="str">
        <x:f>IF(E1383="","",MAX($A$6:A1382)+1)</x:f>
      </x:c>
      <x:c r="B1383" s="61"/>
      <x:c r="C1383" s="61"/>
      <x:c r="D1383" s="62"/>
      <x:c r="E1383" s="61"/>
      <x:c r="F1383" s="61"/>
      <x:c r="G1383" s="63"/>
      <x:c r="H1383" s="63">
        <x:f t="shared" si="95"/>
        <x:v>0</x:v>
      </x:c>
      <x:c r="I1383" s="64"/>
      <x:c r="J1383" s="63">
        <x:f t="shared" si="96"/>
        <x:v>0</x:v>
      </x:c>
      <x:c r="K1383" s="63" t="str">
        <x:f t="shared" si="94"/>
      </x:c>
      <x:c r="L1383" s="63">
        <x:f t="shared" si="97"/>
        <x:v>0</x:v>
      </x:c>
      <x:c r="M1383" s="61"/>
    </x:row>
    <x:row r="1384">
      <x:c r="A1384" s="61" t="str">
        <x:f>IF(E1384="","",MAX($A$6:A1383)+1)</x:f>
      </x:c>
      <x:c r="B1384" s="61"/>
      <x:c r="C1384" s="61"/>
      <x:c r="D1384" s="62"/>
      <x:c r="E1384" s="61"/>
      <x:c r="F1384" s="61"/>
      <x:c r="G1384" s="63"/>
      <x:c r="H1384" s="63">
        <x:f t="shared" si="95"/>
        <x:v>0</x:v>
      </x:c>
      <x:c r="I1384" s="64"/>
      <x:c r="J1384" s="63">
        <x:f t="shared" si="96"/>
        <x:v>0</x:v>
      </x:c>
      <x:c r="K1384" s="63" t="str">
        <x:f t="shared" si="94"/>
      </x:c>
      <x:c r="L1384" s="63">
        <x:f t="shared" si="97"/>
        <x:v>0</x:v>
      </x:c>
      <x:c r="M1384" s="61"/>
    </x:row>
    <x:row r="1385">
      <x:c r="A1385" s="61" t="str">
        <x:f>IF(E1385="","",MAX($A$6:A1384)+1)</x:f>
      </x:c>
      <x:c r="B1385" s="61"/>
      <x:c r="C1385" s="61"/>
      <x:c r="D1385" s="62"/>
      <x:c r="E1385" s="61"/>
      <x:c r="F1385" s="61"/>
      <x:c r="G1385" s="63"/>
      <x:c r="H1385" s="63">
        <x:f t="shared" si="95"/>
        <x:v>0</x:v>
      </x:c>
      <x:c r="I1385" s="64"/>
      <x:c r="J1385" s="63">
        <x:f t="shared" si="96"/>
        <x:v>0</x:v>
      </x:c>
      <x:c r="K1385" s="63" t="str">
        <x:f t="shared" si="94"/>
      </x:c>
      <x:c r="L1385" s="63">
        <x:f t="shared" si="97"/>
        <x:v>0</x:v>
      </x:c>
      <x:c r="M1385" s="61"/>
    </x:row>
    <x:row r="1386">
      <x:c r="A1386" s="61" t="str">
        <x:f>IF(E1386="","",MAX($A$6:A1385)+1)</x:f>
      </x:c>
      <x:c r="B1386" s="61"/>
      <x:c r="C1386" s="61"/>
      <x:c r="D1386" s="62"/>
      <x:c r="E1386" s="61"/>
      <x:c r="F1386" s="61"/>
      <x:c r="G1386" s="63"/>
      <x:c r="H1386" s="63">
        <x:f t="shared" si="95"/>
        <x:v>0</x:v>
      </x:c>
      <x:c r="I1386" s="64"/>
      <x:c r="J1386" s="63">
        <x:f t="shared" si="96"/>
        <x:v>0</x:v>
      </x:c>
      <x:c r="K1386" s="63" t="str">
        <x:f t="shared" si="94"/>
      </x:c>
      <x:c r="L1386" s="63">
        <x:f t="shared" si="97"/>
        <x:v>0</x:v>
      </x:c>
      <x:c r="M1386" s="61"/>
    </x:row>
    <x:row r="1387">
      <x:c r="A1387" s="61" t="str">
        <x:f>IF(E1387="","",MAX($A$6:A1386)+1)</x:f>
      </x:c>
      <x:c r="B1387" s="61"/>
      <x:c r="C1387" s="61"/>
      <x:c r="D1387" s="62"/>
      <x:c r="E1387" s="61"/>
      <x:c r="F1387" s="61"/>
      <x:c r="G1387" s="63"/>
      <x:c r="H1387" s="63">
        <x:f t="shared" si="95"/>
        <x:v>0</x:v>
      </x:c>
      <x:c r="I1387" s="64"/>
      <x:c r="J1387" s="63">
        <x:f t="shared" si="96"/>
        <x:v>0</x:v>
      </x:c>
      <x:c r="K1387" s="63" t="str">
        <x:f t="shared" si="94"/>
      </x:c>
      <x:c r="L1387" s="63">
        <x:f t="shared" si="97"/>
        <x:v>0</x:v>
      </x:c>
      <x:c r="M1387" s="61"/>
    </x:row>
    <x:row r="1388">
      <x:c r="A1388" s="61" t="str">
        <x:f>IF(E1388="","",MAX($A$6:A1387)+1)</x:f>
      </x:c>
      <x:c r="B1388" s="61"/>
      <x:c r="C1388" s="61"/>
      <x:c r="D1388" s="62"/>
      <x:c r="E1388" s="61"/>
      <x:c r="F1388" s="61"/>
      <x:c r="G1388" s="63"/>
      <x:c r="H1388" s="63">
        <x:f t="shared" si="95"/>
        <x:v>0</x:v>
      </x:c>
      <x:c r="I1388" s="64"/>
      <x:c r="J1388" s="63">
        <x:f t="shared" si="96"/>
        <x:v>0</x:v>
      </x:c>
      <x:c r="K1388" s="63" t="str">
        <x:f t="shared" si="94"/>
      </x:c>
      <x:c r="L1388" s="63">
        <x:f t="shared" si="97"/>
        <x:v>0</x:v>
      </x:c>
      <x:c r="M1388" s="61"/>
    </x:row>
    <x:row r="1389">
      <x:c r="A1389" s="61" t="str">
        <x:f>IF(E1389="","",MAX($A$6:A1388)+1)</x:f>
      </x:c>
      <x:c r="B1389" s="61"/>
      <x:c r="C1389" s="61"/>
      <x:c r="D1389" s="62"/>
      <x:c r="E1389" s="61"/>
      <x:c r="F1389" s="61"/>
      <x:c r="G1389" s="63"/>
      <x:c r="H1389" s="63">
        <x:f t="shared" si="95"/>
        <x:v>0</x:v>
      </x:c>
      <x:c r="I1389" s="64"/>
      <x:c r="J1389" s="63">
        <x:f t="shared" si="96"/>
        <x:v>0</x:v>
      </x:c>
      <x:c r="K1389" s="63" t="str">
        <x:f t="shared" si="94"/>
      </x:c>
      <x:c r="L1389" s="63">
        <x:f t="shared" si="97"/>
        <x:v>0</x:v>
      </x:c>
      <x:c r="M1389" s="61"/>
    </x:row>
    <x:row r="1390">
      <x:c r="A1390" s="61" t="str">
        <x:f>IF(E1390="","",MAX($A$6:A1389)+1)</x:f>
      </x:c>
      <x:c r="B1390" s="61"/>
      <x:c r="C1390" s="61"/>
      <x:c r="D1390" s="62"/>
      <x:c r="E1390" s="61"/>
      <x:c r="F1390" s="61"/>
      <x:c r="G1390" s="63"/>
      <x:c r="H1390" s="63">
        <x:f t="shared" si="95"/>
        <x:v>0</x:v>
      </x:c>
      <x:c r="I1390" s="64"/>
      <x:c r="J1390" s="63">
        <x:f t="shared" si="96"/>
        <x:v>0</x:v>
      </x:c>
      <x:c r="K1390" s="63" t="str">
        <x:f t="shared" si="94"/>
      </x:c>
      <x:c r="L1390" s="63">
        <x:f t="shared" si="97"/>
        <x:v>0</x:v>
      </x:c>
      <x:c r="M1390" s="61"/>
    </x:row>
    <x:row r="1391">
      <x:c r="A1391" s="61" t="str">
        <x:f>IF(E1391="","",MAX($A$6:A1390)+1)</x:f>
      </x:c>
      <x:c r="B1391" s="61"/>
      <x:c r="C1391" s="61"/>
      <x:c r="D1391" s="62"/>
      <x:c r="E1391" s="61"/>
      <x:c r="F1391" s="61"/>
      <x:c r="G1391" s="63"/>
      <x:c r="H1391" s="63">
        <x:f t="shared" si="95"/>
        <x:v>0</x:v>
      </x:c>
      <x:c r="I1391" s="64"/>
      <x:c r="J1391" s="63">
        <x:f t="shared" si="96"/>
        <x:v>0</x:v>
      </x:c>
      <x:c r="K1391" s="63" t="str">
        <x:f t="shared" si="94"/>
      </x:c>
      <x:c r="L1391" s="63">
        <x:f t="shared" si="97"/>
        <x:v>0</x:v>
      </x:c>
      <x:c r="M1391" s="61"/>
    </x:row>
    <x:row r="1392">
      <x:c r="A1392" s="61" t="str">
        <x:f>IF(E1392="","",MAX($A$6:A1391)+1)</x:f>
      </x:c>
      <x:c r="B1392" s="61"/>
      <x:c r="C1392" s="61"/>
      <x:c r="D1392" s="62"/>
      <x:c r="E1392" s="61"/>
      <x:c r="F1392" s="61"/>
      <x:c r="G1392" s="63"/>
      <x:c r="H1392" s="63">
        <x:f t="shared" si="95"/>
        <x:v>0</x:v>
      </x:c>
      <x:c r="I1392" s="64"/>
      <x:c r="J1392" s="63">
        <x:f t="shared" si="96"/>
        <x:v>0</x:v>
      </x:c>
      <x:c r="K1392" s="63" t="str">
        <x:f t="shared" si="94"/>
      </x:c>
      <x:c r="L1392" s="63">
        <x:f t="shared" si="97"/>
        <x:v>0</x:v>
      </x:c>
      <x:c r="M1392" s="61"/>
    </x:row>
    <x:row r="1393">
      <x:c r="A1393" s="61" t="str">
        <x:f>IF(E1393="","",MAX($A$6:A1392)+1)</x:f>
      </x:c>
      <x:c r="B1393" s="61"/>
      <x:c r="C1393" s="61"/>
      <x:c r="D1393" s="62"/>
      <x:c r="E1393" s="61"/>
      <x:c r="F1393" s="61"/>
      <x:c r="G1393" s="63"/>
      <x:c r="H1393" s="63">
        <x:f t="shared" si="95"/>
        <x:v>0</x:v>
      </x:c>
      <x:c r="I1393" s="64"/>
      <x:c r="J1393" s="63">
        <x:f t="shared" si="96"/>
        <x:v>0</x:v>
      </x:c>
      <x:c r="K1393" s="63" t="str">
        <x:f t="shared" si="94"/>
      </x:c>
      <x:c r="L1393" s="63">
        <x:f t="shared" si="97"/>
        <x:v>0</x:v>
      </x:c>
      <x:c r="M1393" s="61"/>
    </x:row>
    <x:row r="1394">
      <x:c r="A1394" s="61" t="str">
        <x:f>IF(E1394="","",MAX($A$6:A1393)+1)</x:f>
      </x:c>
      <x:c r="B1394" s="61"/>
      <x:c r="C1394" s="61"/>
      <x:c r="D1394" s="62"/>
      <x:c r="E1394" s="61"/>
      <x:c r="F1394" s="61"/>
      <x:c r="G1394" s="63"/>
      <x:c r="H1394" s="63">
        <x:f t="shared" si="95"/>
        <x:v>0</x:v>
      </x:c>
      <x:c r="I1394" s="64"/>
      <x:c r="J1394" s="63">
        <x:f t="shared" si="96"/>
        <x:v>0</x:v>
      </x:c>
      <x:c r="K1394" s="63" t="str">
        <x:f t="shared" si="94"/>
      </x:c>
      <x:c r="L1394" s="63">
        <x:f t="shared" si="97"/>
        <x:v>0</x:v>
      </x:c>
      <x:c r="M1394" s="61"/>
    </x:row>
    <x:row r="1395">
      <x:c r="A1395" s="61" t="str">
        <x:f>IF(E1395="","",MAX($A$6:A1394)+1)</x:f>
      </x:c>
      <x:c r="B1395" s="61"/>
      <x:c r="C1395" s="61"/>
      <x:c r="D1395" s="62"/>
      <x:c r="E1395" s="61"/>
      <x:c r="F1395" s="61"/>
      <x:c r="G1395" s="63"/>
      <x:c r="H1395" s="63">
        <x:f t="shared" si="95"/>
        <x:v>0</x:v>
      </x:c>
      <x:c r="I1395" s="64"/>
      <x:c r="J1395" s="63">
        <x:f t="shared" si="96"/>
        <x:v>0</x:v>
      </x:c>
      <x:c r="K1395" s="63" t="str">
        <x:f t="shared" si="94"/>
      </x:c>
      <x:c r="L1395" s="63">
        <x:f t="shared" si="97"/>
        <x:v>0</x:v>
      </x:c>
      <x:c r="M1395" s="61"/>
    </x:row>
    <x:row r="1396">
      <x:c r="A1396" s="61" t="str">
        <x:f>IF(E1396="","",MAX($A$6:A1395)+1)</x:f>
      </x:c>
      <x:c r="B1396" s="61"/>
      <x:c r="C1396" s="61"/>
      <x:c r="D1396" s="62"/>
      <x:c r="E1396" s="61"/>
      <x:c r="F1396" s="61"/>
      <x:c r="G1396" s="63"/>
      <x:c r="H1396" s="63">
        <x:f t="shared" si="95"/>
        <x:v>0</x:v>
      </x:c>
      <x:c r="I1396" s="64"/>
      <x:c r="J1396" s="63">
        <x:f t="shared" si="96"/>
        <x:v>0</x:v>
      </x:c>
      <x:c r="K1396" s="63" t="str">
        <x:f t="shared" si="94"/>
      </x:c>
      <x:c r="L1396" s="63">
        <x:f t="shared" si="97"/>
        <x:v>0</x:v>
      </x:c>
      <x:c r="M1396" s="61"/>
    </x:row>
    <x:row r="1397">
      <x:c r="A1397" s="61" t="str">
        <x:f>IF(E1397="","",MAX($A$6:A1396)+1)</x:f>
      </x:c>
      <x:c r="B1397" s="61"/>
      <x:c r="C1397" s="61"/>
      <x:c r="D1397" s="62"/>
      <x:c r="E1397" s="61"/>
      <x:c r="F1397" s="61"/>
      <x:c r="G1397" s="63"/>
      <x:c r="H1397" s="63">
        <x:f t="shared" si="95"/>
        <x:v>0</x:v>
      </x:c>
      <x:c r="I1397" s="64"/>
      <x:c r="J1397" s="63">
        <x:f t="shared" si="96"/>
        <x:v>0</x:v>
      </x:c>
      <x:c r="K1397" s="63" t="str">
        <x:f t="shared" si="94"/>
      </x:c>
      <x:c r="L1397" s="63">
        <x:f t="shared" si="97"/>
        <x:v>0</x:v>
      </x:c>
      <x:c r="M1397" s="61"/>
    </x:row>
    <x:row r="1398">
      <x:c r="A1398" s="61" t="str">
        <x:f>IF(E1398="","",MAX($A$6:A1397)+1)</x:f>
      </x:c>
      <x:c r="B1398" s="61"/>
      <x:c r="C1398" s="61"/>
      <x:c r="D1398" s="62"/>
      <x:c r="E1398" s="61"/>
      <x:c r="F1398" s="61"/>
      <x:c r="G1398" s="63"/>
      <x:c r="H1398" s="63">
        <x:f t="shared" si="95"/>
        <x:v>0</x:v>
      </x:c>
      <x:c r="I1398" s="64"/>
      <x:c r="J1398" s="63">
        <x:f t="shared" si="96"/>
        <x:v>0</x:v>
      </x:c>
      <x:c r="K1398" s="63" t="str">
        <x:f t="shared" ref="K1398:K1461" si="98">IFERROR(IF(G1398="","",MAX(1,G1398-J1398)),0)</x:f>
      </x:c>
      <x:c r="L1398" s="63">
        <x:f t="shared" si="97"/>
        <x:v>0</x:v>
      </x:c>
      <x:c r="M1398" s="61"/>
    </x:row>
    <x:row r="1399">
      <x:c r="A1399" s="61" t="str">
        <x:f>IF(E1399="","",MAX($A$6:A1398)+1)</x:f>
      </x:c>
      <x:c r="B1399" s="61"/>
      <x:c r="C1399" s="61"/>
      <x:c r="D1399" s="62"/>
      <x:c r="E1399" s="61"/>
      <x:c r="F1399" s="61"/>
      <x:c r="G1399" s="63"/>
      <x:c r="H1399" s="63">
        <x:f t="shared" si="95"/>
        <x:v>0</x:v>
      </x:c>
      <x:c r="I1399" s="64"/>
      <x:c r="J1399" s="63">
        <x:f t="shared" si="96"/>
        <x:v>0</x:v>
      </x:c>
      <x:c r="K1399" s="63" t="str">
        <x:f t="shared" si="98"/>
      </x:c>
      <x:c r="L1399" s="63">
        <x:f t="shared" si="97"/>
        <x:v>0</x:v>
      </x:c>
      <x:c r="M1399" s="61"/>
    </x:row>
    <x:row r="1400">
      <x:c r="A1400" s="61" t="str">
        <x:f>IF(E1400="","",MAX($A$6:A1399)+1)</x:f>
      </x:c>
      <x:c r="B1400" s="61"/>
      <x:c r="C1400" s="61"/>
      <x:c r="D1400" s="62"/>
      <x:c r="E1400" s="61"/>
      <x:c r="F1400" s="61"/>
      <x:c r="G1400" s="63"/>
      <x:c r="H1400" s="63">
        <x:f t="shared" si="95"/>
        <x:v>0</x:v>
      </x:c>
      <x:c r="I1400" s="64"/>
      <x:c r="J1400" s="63">
        <x:f t="shared" si="96"/>
        <x:v>0</x:v>
      </x:c>
      <x:c r="K1400" s="63" t="str">
        <x:f t="shared" si="98"/>
      </x:c>
      <x:c r="L1400" s="63">
        <x:f t="shared" si="97"/>
        <x:v>0</x:v>
      </x:c>
      <x:c r="M1400" s="61"/>
    </x:row>
    <x:row r="1401">
      <x:c r="A1401" s="61" t="str">
        <x:f>IF(E1401="","",MAX($A$6:A1400)+1)</x:f>
      </x:c>
      <x:c r="B1401" s="61"/>
      <x:c r="C1401" s="61"/>
      <x:c r="D1401" s="62"/>
      <x:c r="E1401" s="61"/>
      <x:c r="F1401" s="61"/>
      <x:c r="G1401" s="63"/>
      <x:c r="H1401" s="63">
        <x:f t="shared" si="95"/>
        <x:v>0</x:v>
      </x:c>
      <x:c r="I1401" s="64"/>
      <x:c r="J1401" s="63">
        <x:f t="shared" si="96"/>
        <x:v>0</x:v>
      </x:c>
      <x:c r="K1401" s="63" t="str">
        <x:f t="shared" si="98"/>
      </x:c>
      <x:c r="L1401" s="63">
        <x:f t="shared" si="97"/>
        <x:v>0</x:v>
      </x:c>
      <x:c r="M1401" s="61"/>
    </x:row>
    <x:row r="1402">
      <x:c r="A1402" s="61" t="str">
        <x:f>IF(E1402="","",MAX($A$6:A1401)+1)</x:f>
      </x:c>
      <x:c r="B1402" s="61"/>
      <x:c r="C1402" s="61"/>
      <x:c r="D1402" s="62"/>
      <x:c r="E1402" s="61"/>
      <x:c r="F1402" s="61"/>
      <x:c r="G1402" s="63"/>
      <x:c r="H1402" s="63">
        <x:f t="shared" si="95"/>
        <x:v>0</x:v>
      </x:c>
      <x:c r="I1402" s="64"/>
      <x:c r="J1402" s="63">
        <x:f t="shared" si="96"/>
        <x:v>0</x:v>
      </x:c>
      <x:c r="K1402" s="63" t="str">
        <x:f t="shared" si="98"/>
      </x:c>
      <x:c r="L1402" s="63">
        <x:f t="shared" si="97"/>
        <x:v>0</x:v>
      </x:c>
      <x:c r="M1402" s="61"/>
    </x:row>
    <x:row r="1403">
      <x:c r="A1403" s="61" t="str">
        <x:f>IF(E1403="","",MAX($A$6:A1402)+1)</x:f>
      </x:c>
      <x:c r="B1403" s="61"/>
      <x:c r="C1403" s="61"/>
      <x:c r="D1403" s="62"/>
      <x:c r="E1403" s="61"/>
      <x:c r="F1403" s="61"/>
      <x:c r="G1403" s="63"/>
      <x:c r="H1403" s="63">
        <x:f t="shared" si="95"/>
        <x:v>0</x:v>
      </x:c>
      <x:c r="I1403" s="64"/>
      <x:c r="J1403" s="63">
        <x:f t="shared" si="96"/>
        <x:v>0</x:v>
      </x:c>
      <x:c r="K1403" s="63" t="str">
        <x:f t="shared" si="98"/>
      </x:c>
      <x:c r="L1403" s="63">
        <x:f t="shared" si="97"/>
        <x:v>0</x:v>
      </x:c>
      <x:c r="M1403" s="61"/>
    </x:row>
    <x:row r="1404">
      <x:c r="A1404" s="61" t="str">
        <x:f>IF(E1404="","",MAX($A$6:A1403)+1)</x:f>
      </x:c>
      <x:c r="B1404" s="61"/>
      <x:c r="C1404" s="61"/>
      <x:c r="D1404" s="62"/>
      <x:c r="E1404" s="61"/>
      <x:c r="F1404" s="61"/>
      <x:c r="G1404" s="63"/>
      <x:c r="H1404" s="63">
        <x:f t="shared" si="95"/>
        <x:v>0</x:v>
      </x:c>
      <x:c r="I1404" s="64"/>
      <x:c r="J1404" s="63">
        <x:f t="shared" si="96"/>
        <x:v>0</x:v>
      </x:c>
      <x:c r="K1404" s="63" t="str">
        <x:f t="shared" si="98"/>
      </x:c>
      <x:c r="L1404" s="63">
        <x:f t="shared" si="97"/>
        <x:v>0</x:v>
      </x:c>
      <x:c r="M1404" s="61"/>
    </x:row>
    <x:row r="1405">
      <x:c r="A1405" s="61" t="str">
        <x:f>IF(E1405="","",MAX($A$6:A1404)+1)</x:f>
      </x:c>
      <x:c r="B1405" s="61"/>
      <x:c r="C1405" s="61"/>
      <x:c r="D1405" s="62"/>
      <x:c r="E1405" s="61"/>
      <x:c r="F1405" s="61"/>
      <x:c r="G1405" s="63"/>
      <x:c r="H1405" s="63">
        <x:f t="shared" si="95"/>
        <x:v>0</x:v>
      </x:c>
      <x:c r="I1405" s="64"/>
      <x:c r="J1405" s="63">
        <x:f t="shared" si="96"/>
        <x:v>0</x:v>
      </x:c>
      <x:c r="K1405" s="63" t="str">
        <x:f t="shared" si="98"/>
      </x:c>
      <x:c r="L1405" s="63">
        <x:f t="shared" si="97"/>
        <x:v>0</x:v>
      </x:c>
      <x:c r="M1405" s="61"/>
    </x:row>
    <x:row r="1406">
      <x:c r="A1406" s="61" t="str">
        <x:f>IF(E1406="","",MAX($A$6:A1405)+1)</x:f>
      </x:c>
      <x:c r="B1406" s="61"/>
      <x:c r="C1406" s="61"/>
      <x:c r="D1406" s="62"/>
      <x:c r="E1406" s="61"/>
      <x:c r="F1406" s="61"/>
      <x:c r="G1406" s="63"/>
      <x:c r="H1406" s="63">
        <x:f t="shared" si="95"/>
        <x:v>0</x:v>
      </x:c>
      <x:c r="I1406" s="64"/>
      <x:c r="J1406" s="63">
        <x:f t="shared" si="96"/>
        <x:v>0</x:v>
      </x:c>
      <x:c r="K1406" s="63" t="str">
        <x:f t="shared" si="98"/>
      </x:c>
      <x:c r="L1406" s="63">
        <x:f t="shared" si="97"/>
        <x:v>0</x:v>
      </x:c>
      <x:c r="M1406" s="61"/>
    </x:row>
    <x:row r="1407">
      <x:c r="A1407" s="61" t="str">
        <x:f>IF(E1407="","",MAX($A$6:A1406)+1)</x:f>
      </x:c>
      <x:c r="B1407" s="61"/>
      <x:c r="C1407" s="61"/>
      <x:c r="D1407" s="62"/>
      <x:c r="E1407" s="61"/>
      <x:c r="F1407" s="61"/>
      <x:c r="G1407" s="63"/>
      <x:c r="H1407" s="63">
        <x:f t="shared" si="95"/>
        <x:v>0</x:v>
      </x:c>
      <x:c r="I1407" s="64"/>
      <x:c r="J1407" s="63">
        <x:f t="shared" si="96"/>
        <x:v>0</x:v>
      </x:c>
      <x:c r="K1407" s="63" t="str">
        <x:f t="shared" si="98"/>
      </x:c>
      <x:c r="L1407" s="63">
        <x:f t="shared" si="97"/>
        <x:v>0</x:v>
      </x:c>
      <x:c r="M1407" s="61"/>
    </x:row>
    <x:row r="1408">
      <x:c r="A1408" s="61" t="str">
        <x:f>IF(E1408="","",MAX($A$6:A1407)+1)</x:f>
      </x:c>
      <x:c r="B1408" s="61"/>
      <x:c r="C1408" s="61"/>
      <x:c r="D1408" s="62"/>
      <x:c r="E1408" s="61"/>
      <x:c r="F1408" s="61"/>
      <x:c r="G1408" s="63"/>
      <x:c r="H1408" s="63">
        <x:f t="shared" si="95"/>
        <x:v>0</x:v>
      </x:c>
      <x:c r="I1408" s="64"/>
      <x:c r="J1408" s="63">
        <x:f t="shared" si="96"/>
        <x:v>0</x:v>
      </x:c>
      <x:c r="K1408" s="63" t="str">
        <x:f t="shared" si="98"/>
      </x:c>
      <x:c r="L1408" s="63">
        <x:f t="shared" si="97"/>
        <x:v>0</x:v>
      </x:c>
      <x:c r="M1408" s="61"/>
    </x:row>
    <x:row r="1409">
      <x:c r="A1409" s="61" t="str">
        <x:f>IF(E1409="","",MAX($A$6:A1408)+1)</x:f>
      </x:c>
      <x:c r="B1409" s="61"/>
      <x:c r="C1409" s="61"/>
      <x:c r="D1409" s="62"/>
      <x:c r="E1409" s="61"/>
      <x:c r="F1409" s="61"/>
      <x:c r="G1409" s="63"/>
      <x:c r="H1409" s="63">
        <x:f t="shared" si="95"/>
        <x:v>0</x:v>
      </x:c>
      <x:c r="I1409" s="64"/>
      <x:c r="J1409" s="63">
        <x:f t="shared" si="96"/>
        <x:v>0</x:v>
      </x:c>
      <x:c r="K1409" s="63" t="str">
        <x:f t="shared" si="98"/>
      </x:c>
      <x:c r="L1409" s="63">
        <x:f t="shared" si="97"/>
        <x:v>0</x:v>
      </x:c>
      <x:c r="M1409" s="61"/>
    </x:row>
    <x:row r="1410">
      <x:c r="A1410" s="61" t="str">
        <x:f>IF(E1410="","",MAX($A$6:A1409)+1)</x:f>
      </x:c>
      <x:c r="B1410" s="61"/>
      <x:c r="C1410" s="61"/>
      <x:c r="D1410" s="62"/>
      <x:c r="E1410" s="61"/>
      <x:c r="F1410" s="61"/>
      <x:c r="G1410" s="63"/>
      <x:c r="H1410" s="63">
        <x:f t="shared" si="95"/>
        <x:v>0</x:v>
      </x:c>
      <x:c r="I1410" s="64"/>
      <x:c r="J1410" s="63">
        <x:f t="shared" si="96"/>
        <x:v>0</x:v>
      </x:c>
      <x:c r="K1410" s="63" t="str">
        <x:f t="shared" si="98"/>
      </x:c>
      <x:c r="L1410" s="63">
        <x:f t="shared" si="97"/>
        <x:v>0</x:v>
      </x:c>
      <x:c r="M1410" s="61"/>
    </x:row>
    <x:row r="1411">
      <x:c r="A1411" s="61" t="str">
        <x:f>IF(E1411="","",MAX($A$6:A1410)+1)</x:f>
      </x:c>
      <x:c r="B1411" s="61"/>
      <x:c r="C1411" s="61"/>
      <x:c r="D1411" s="62"/>
      <x:c r="E1411" s="61"/>
      <x:c r="F1411" s="61"/>
      <x:c r="G1411" s="63"/>
      <x:c r="H1411" s="63">
        <x:f t="shared" si="95"/>
        <x:v>0</x:v>
      </x:c>
      <x:c r="I1411" s="64"/>
      <x:c r="J1411" s="63">
        <x:f t="shared" si="96"/>
        <x:v>0</x:v>
      </x:c>
      <x:c r="K1411" s="63" t="str">
        <x:f t="shared" si="98"/>
      </x:c>
      <x:c r="L1411" s="63">
        <x:f t="shared" si="97"/>
        <x:v>0</x:v>
      </x:c>
      <x:c r="M1411" s="61"/>
    </x:row>
    <x:row r="1412">
      <x:c r="A1412" s="61" t="str">
        <x:f>IF(E1412="","",MAX($A$6:A1411)+1)</x:f>
      </x:c>
      <x:c r="B1412" s="61"/>
      <x:c r="C1412" s="61"/>
      <x:c r="D1412" s="62"/>
      <x:c r="E1412" s="61"/>
      <x:c r="F1412" s="61"/>
      <x:c r="G1412" s="63"/>
      <x:c r="H1412" s="63">
        <x:f t="shared" si="95"/>
        <x:v>0</x:v>
      </x:c>
      <x:c r="I1412" s="64"/>
      <x:c r="J1412" s="63">
        <x:f t="shared" si="96"/>
        <x:v>0</x:v>
      </x:c>
      <x:c r="K1412" s="63" t="str">
        <x:f t="shared" si="98"/>
      </x:c>
      <x:c r="L1412" s="63">
        <x:f t="shared" si="97"/>
        <x:v>0</x:v>
      </x:c>
      <x:c r="M1412" s="61"/>
    </x:row>
    <x:row r="1413">
      <x:c r="A1413" s="61" t="str">
        <x:f>IF(E1413="","",MAX($A$6:A1412)+1)</x:f>
      </x:c>
      <x:c r="B1413" s="61"/>
      <x:c r="C1413" s="61"/>
      <x:c r="D1413" s="62"/>
      <x:c r="E1413" s="61"/>
      <x:c r="F1413" s="61"/>
      <x:c r="G1413" s="63"/>
      <x:c r="H1413" s="63">
        <x:f t="shared" si="95"/>
        <x:v>0</x:v>
      </x:c>
      <x:c r="I1413" s="64"/>
      <x:c r="J1413" s="63">
        <x:f t="shared" si="96"/>
        <x:v>0</x:v>
      </x:c>
      <x:c r="K1413" s="63" t="str">
        <x:f t="shared" si="98"/>
      </x:c>
      <x:c r="L1413" s="63">
        <x:f t="shared" si="97"/>
        <x:v>0</x:v>
      </x:c>
      <x:c r="M1413" s="61"/>
    </x:row>
    <x:row r="1414">
      <x:c r="A1414" s="61" t="str">
        <x:f>IF(E1414="","",MAX($A$6:A1413)+1)</x:f>
      </x:c>
      <x:c r="B1414" s="61"/>
      <x:c r="C1414" s="61"/>
      <x:c r="D1414" s="62"/>
      <x:c r="E1414" s="61"/>
      <x:c r="F1414" s="61"/>
      <x:c r="G1414" s="63"/>
      <x:c r="H1414" s="63" t="n">
        <x:f t="shared" ref="H1414:H1477" si="99">IFERROR(IF(OR($F$1="",D1414=""),0,MAX(0,$F$1-D1414)),0)</x:f>
        <x:v>0</x:v>
      </x:c>
      <x:c r="I1414" s="64"/>
      <x:c r="J1414" s="63" t="n">
        <x:f t="shared" ref="J1414:J1477" si="100">IFERROR(IF(OR(G1414="",I1414="",D1414="",$F$1=""),0,IF($F$1&lt;D1414,0,MIN(MAX(G1414-1,0),MAX(0,(G1414*I1414/365)*H1414)))),0)</x:f>
        <x:v>0</x:v>
      </x:c>
      <x:c r="K1414" s="63" t="str">
        <x:f t="shared" si="98"/>
      </x:c>
      <x:c r="L1414" s="63" t="n">
        <x:f t="shared" ref="L1414:L1477" si="101">IFERROR(IF(OR(G1414="",I1414="",D1414="",$F$1=""),0,IF($F$1&lt;D1414,0,IF(K1414&lt;=1,0,MIN(G1414*I1414/12,K1414-1)))),0)</x:f>
        <x:v>0</x:v>
      </x:c>
      <x:c r="M1414" s="61"/>
    </x:row>
    <x:row r="1415">
      <x:c r="A1415" s="61" t="str">
        <x:f>IF(E1415="","",MAX($A$6:A1414)+1)</x:f>
      </x:c>
      <x:c r="B1415" s="61"/>
      <x:c r="C1415" s="61"/>
      <x:c r="D1415" s="62"/>
      <x:c r="E1415" s="61"/>
      <x:c r="F1415" s="61"/>
      <x:c r="G1415" s="63"/>
      <x:c r="H1415" s="63">
        <x:f t="shared" si="99"/>
        <x:v>0</x:v>
      </x:c>
      <x:c r="I1415" s="64"/>
      <x:c r="J1415" s="63">
        <x:f t="shared" si="100"/>
        <x:v>0</x:v>
      </x:c>
      <x:c r="K1415" s="63" t="str">
        <x:f t="shared" si="98"/>
      </x:c>
      <x:c r="L1415" s="63">
        <x:f t="shared" si="101"/>
        <x:v>0</x:v>
      </x:c>
      <x:c r="M1415" s="61"/>
    </x:row>
    <x:row r="1416">
      <x:c r="A1416" s="61" t="str">
        <x:f>IF(E1416="","",MAX($A$6:A1415)+1)</x:f>
      </x:c>
      <x:c r="B1416" s="61"/>
      <x:c r="C1416" s="61"/>
      <x:c r="D1416" s="62"/>
      <x:c r="E1416" s="61"/>
      <x:c r="F1416" s="61"/>
      <x:c r="G1416" s="63"/>
      <x:c r="H1416" s="63">
        <x:f t="shared" si="99"/>
        <x:v>0</x:v>
      </x:c>
      <x:c r="I1416" s="64"/>
      <x:c r="J1416" s="63">
        <x:f t="shared" si="100"/>
        <x:v>0</x:v>
      </x:c>
      <x:c r="K1416" s="63" t="str">
        <x:f t="shared" si="98"/>
      </x:c>
      <x:c r="L1416" s="63">
        <x:f t="shared" si="101"/>
        <x:v>0</x:v>
      </x:c>
      <x:c r="M1416" s="61"/>
    </x:row>
    <x:row r="1417">
      <x:c r="A1417" s="61" t="str">
        <x:f>IF(E1417="","",MAX($A$6:A1416)+1)</x:f>
      </x:c>
      <x:c r="B1417" s="61"/>
      <x:c r="C1417" s="61"/>
      <x:c r="D1417" s="62"/>
      <x:c r="E1417" s="61"/>
      <x:c r="F1417" s="61"/>
      <x:c r="G1417" s="63"/>
      <x:c r="H1417" s="63">
        <x:f t="shared" si="99"/>
        <x:v>0</x:v>
      </x:c>
      <x:c r="I1417" s="64"/>
      <x:c r="J1417" s="63">
        <x:f t="shared" si="100"/>
        <x:v>0</x:v>
      </x:c>
      <x:c r="K1417" s="63" t="str">
        <x:f t="shared" si="98"/>
      </x:c>
      <x:c r="L1417" s="63">
        <x:f t="shared" si="101"/>
        <x:v>0</x:v>
      </x:c>
      <x:c r="M1417" s="61"/>
    </x:row>
    <x:row r="1418">
      <x:c r="A1418" s="61" t="str">
        <x:f>IF(E1418="","",MAX($A$6:A1417)+1)</x:f>
      </x:c>
      <x:c r="B1418" s="61"/>
      <x:c r="C1418" s="61"/>
      <x:c r="D1418" s="62"/>
      <x:c r="E1418" s="61"/>
      <x:c r="F1418" s="61"/>
      <x:c r="G1418" s="63"/>
      <x:c r="H1418" s="63">
        <x:f t="shared" si="99"/>
        <x:v>0</x:v>
      </x:c>
      <x:c r="I1418" s="64"/>
      <x:c r="J1418" s="63">
        <x:f t="shared" si="100"/>
        <x:v>0</x:v>
      </x:c>
      <x:c r="K1418" s="63" t="str">
        <x:f t="shared" si="98"/>
      </x:c>
      <x:c r="L1418" s="63">
        <x:f t="shared" si="101"/>
        <x:v>0</x:v>
      </x:c>
      <x:c r="M1418" s="61"/>
    </x:row>
    <x:row r="1419">
      <x:c r="A1419" s="61" t="str">
        <x:f>IF(E1419="","",MAX($A$6:A1418)+1)</x:f>
      </x:c>
      <x:c r="B1419" s="61"/>
      <x:c r="C1419" s="61"/>
      <x:c r="D1419" s="62"/>
      <x:c r="E1419" s="61"/>
      <x:c r="F1419" s="61"/>
      <x:c r="G1419" s="63"/>
      <x:c r="H1419" s="63">
        <x:f t="shared" si="99"/>
        <x:v>0</x:v>
      </x:c>
      <x:c r="I1419" s="64"/>
      <x:c r="J1419" s="63">
        <x:f t="shared" si="100"/>
        <x:v>0</x:v>
      </x:c>
      <x:c r="K1419" s="63" t="str">
        <x:f t="shared" si="98"/>
      </x:c>
      <x:c r="L1419" s="63">
        <x:f t="shared" si="101"/>
        <x:v>0</x:v>
      </x:c>
      <x:c r="M1419" s="61"/>
    </x:row>
    <x:row r="1420">
      <x:c r="A1420" s="61" t="str">
        <x:f>IF(E1420="","",MAX($A$6:A1419)+1)</x:f>
      </x:c>
      <x:c r="B1420" s="61"/>
      <x:c r="C1420" s="61"/>
      <x:c r="D1420" s="62"/>
      <x:c r="E1420" s="61"/>
      <x:c r="F1420" s="61"/>
      <x:c r="G1420" s="63"/>
      <x:c r="H1420" s="63">
        <x:f t="shared" si="99"/>
        <x:v>0</x:v>
      </x:c>
      <x:c r="I1420" s="64"/>
      <x:c r="J1420" s="63">
        <x:f t="shared" si="100"/>
        <x:v>0</x:v>
      </x:c>
      <x:c r="K1420" s="63" t="str">
        <x:f t="shared" si="98"/>
      </x:c>
      <x:c r="L1420" s="63">
        <x:f t="shared" si="101"/>
        <x:v>0</x:v>
      </x:c>
      <x:c r="M1420" s="61"/>
    </x:row>
    <x:row r="1421">
      <x:c r="A1421" s="61" t="str">
        <x:f>IF(E1421="","",MAX($A$6:A1420)+1)</x:f>
      </x:c>
      <x:c r="B1421" s="61"/>
      <x:c r="C1421" s="61"/>
      <x:c r="D1421" s="62"/>
      <x:c r="E1421" s="61"/>
      <x:c r="F1421" s="61"/>
      <x:c r="G1421" s="63"/>
      <x:c r="H1421" s="63">
        <x:f t="shared" si="99"/>
        <x:v>0</x:v>
      </x:c>
      <x:c r="I1421" s="64"/>
      <x:c r="J1421" s="63">
        <x:f t="shared" si="100"/>
        <x:v>0</x:v>
      </x:c>
      <x:c r="K1421" s="63" t="str">
        <x:f t="shared" si="98"/>
      </x:c>
      <x:c r="L1421" s="63">
        <x:f t="shared" si="101"/>
        <x:v>0</x:v>
      </x:c>
      <x:c r="M1421" s="61"/>
    </x:row>
    <x:row r="1422">
      <x:c r="A1422" s="61" t="str">
        <x:f>IF(E1422="","",MAX($A$6:A1421)+1)</x:f>
      </x:c>
      <x:c r="B1422" s="61"/>
      <x:c r="C1422" s="61"/>
      <x:c r="D1422" s="62"/>
      <x:c r="E1422" s="61"/>
      <x:c r="F1422" s="61"/>
      <x:c r="G1422" s="63"/>
      <x:c r="H1422" s="63">
        <x:f t="shared" si="99"/>
        <x:v>0</x:v>
      </x:c>
      <x:c r="I1422" s="64"/>
      <x:c r="J1422" s="63">
        <x:f t="shared" si="100"/>
        <x:v>0</x:v>
      </x:c>
      <x:c r="K1422" s="63" t="str">
        <x:f t="shared" si="98"/>
      </x:c>
      <x:c r="L1422" s="63">
        <x:f t="shared" si="101"/>
        <x:v>0</x:v>
      </x:c>
      <x:c r="M1422" s="61"/>
    </x:row>
    <x:row r="1423">
      <x:c r="A1423" s="61" t="str">
        <x:f>IF(E1423="","",MAX($A$6:A1422)+1)</x:f>
      </x:c>
      <x:c r="B1423" s="61"/>
      <x:c r="C1423" s="61"/>
      <x:c r="D1423" s="62"/>
      <x:c r="E1423" s="61"/>
      <x:c r="F1423" s="61"/>
      <x:c r="G1423" s="63"/>
      <x:c r="H1423" s="63">
        <x:f t="shared" si="99"/>
        <x:v>0</x:v>
      </x:c>
      <x:c r="I1423" s="64"/>
      <x:c r="J1423" s="63">
        <x:f t="shared" si="100"/>
        <x:v>0</x:v>
      </x:c>
      <x:c r="K1423" s="63" t="str">
        <x:f t="shared" si="98"/>
      </x:c>
      <x:c r="L1423" s="63">
        <x:f t="shared" si="101"/>
        <x:v>0</x:v>
      </x:c>
      <x:c r="M1423" s="61"/>
    </x:row>
    <x:row r="1424">
      <x:c r="A1424" s="61" t="str">
        <x:f>IF(E1424="","",MAX($A$6:A1423)+1)</x:f>
      </x:c>
      <x:c r="B1424" s="61"/>
      <x:c r="C1424" s="61"/>
      <x:c r="D1424" s="62"/>
      <x:c r="E1424" s="61"/>
      <x:c r="F1424" s="61"/>
      <x:c r="G1424" s="63"/>
      <x:c r="H1424" s="63">
        <x:f t="shared" si="99"/>
        <x:v>0</x:v>
      </x:c>
      <x:c r="I1424" s="64"/>
      <x:c r="J1424" s="63">
        <x:f t="shared" si="100"/>
        <x:v>0</x:v>
      </x:c>
      <x:c r="K1424" s="63" t="str">
        <x:f t="shared" si="98"/>
      </x:c>
      <x:c r="L1424" s="63">
        <x:f t="shared" si="101"/>
        <x:v>0</x:v>
      </x:c>
      <x:c r="M1424" s="61"/>
    </x:row>
    <x:row r="1425">
      <x:c r="A1425" s="61" t="str">
        <x:f>IF(E1425="","",MAX($A$6:A1424)+1)</x:f>
      </x:c>
      <x:c r="B1425" s="61"/>
      <x:c r="C1425" s="61"/>
      <x:c r="D1425" s="62"/>
      <x:c r="E1425" s="61"/>
      <x:c r="F1425" s="61"/>
      <x:c r="G1425" s="63"/>
      <x:c r="H1425" s="63">
        <x:f t="shared" si="99"/>
        <x:v>0</x:v>
      </x:c>
      <x:c r="I1425" s="64"/>
      <x:c r="J1425" s="63">
        <x:f t="shared" si="100"/>
        <x:v>0</x:v>
      </x:c>
      <x:c r="K1425" s="63" t="str">
        <x:f t="shared" si="98"/>
      </x:c>
      <x:c r="L1425" s="63">
        <x:f t="shared" si="101"/>
        <x:v>0</x:v>
      </x:c>
      <x:c r="M1425" s="61"/>
    </x:row>
    <x:row r="1426">
      <x:c r="A1426" s="61" t="str">
        <x:f>IF(E1426="","",MAX($A$6:A1425)+1)</x:f>
      </x:c>
      <x:c r="B1426" s="61"/>
      <x:c r="C1426" s="61"/>
      <x:c r="D1426" s="62"/>
      <x:c r="E1426" s="61"/>
      <x:c r="F1426" s="61"/>
      <x:c r="G1426" s="63"/>
      <x:c r="H1426" s="63">
        <x:f t="shared" si="99"/>
        <x:v>0</x:v>
      </x:c>
      <x:c r="I1426" s="64"/>
      <x:c r="J1426" s="63">
        <x:f t="shared" si="100"/>
        <x:v>0</x:v>
      </x:c>
      <x:c r="K1426" s="63" t="str">
        <x:f t="shared" si="98"/>
      </x:c>
      <x:c r="L1426" s="63">
        <x:f t="shared" si="101"/>
        <x:v>0</x:v>
      </x:c>
      <x:c r="M1426" s="61"/>
    </x:row>
    <x:row r="1427">
      <x:c r="A1427" s="61" t="str">
        <x:f>IF(E1427="","",MAX($A$6:A1426)+1)</x:f>
      </x:c>
      <x:c r="B1427" s="61"/>
      <x:c r="C1427" s="61"/>
      <x:c r="D1427" s="62"/>
      <x:c r="E1427" s="61"/>
      <x:c r="F1427" s="61"/>
      <x:c r="G1427" s="63"/>
      <x:c r="H1427" s="63">
        <x:f t="shared" si="99"/>
        <x:v>0</x:v>
      </x:c>
      <x:c r="I1427" s="64"/>
      <x:c r="J1427" s="63">
        <x:f t="shared" si="100"/>
        <x:v>0</x:v>
      </x:c>
      <x:c r="K1427" s="63" t="str">
        <x:f t="shared" si="98"/>
      </x:c>
      <x:c r="L1427" s="63">
        <x:f t="shared" si="101"/>
        <x:v>0</x:v>
      </x:c>
      <x:c r="M1427" s="61"/>
    </x:row>
    <x:row r="1428">
      <x:c r="A1428" s="61" t="str">
        <x:f>IF(E1428="","",MAX($A$6:A1427)+1)</x:f>
      </x:c>
      <x:c r="B1428" s="61"/>
      <x:c r="C1428" s="61"/>
      <x:c r="D1428" s="62"/>
      <x:c r="E1428" s="61"/>
      <x:c r="F1428" s="61"/>
      <x:c r="G1428" s="63"/>
      <x:c r="H1428" s="63">
        <x:f t="shared" si="99"/>
        <x:v>0</x:v>
      </x:c>
      <x:c r="I1428" s="64"/>
      <x:c r="J1428" s="63">
        <x:f t="shared" si="100"/>
        <x:v>0</x:v>
      </x:c>
      <x:c r="K1428" s="63" t="str">
        <x:f t="shared" si="98"/>
      </x:c>
      <x:c r="L1428" s="63">
        <x:f t="shared" si="101"/>
        <x:v>0</x:v>
      </x:c>
      <x:c r="M1428" s="61"/>
    </x:row>
    <x:row r="1429">
      <x:c r="A1429" s="61" t="str">
        <x:f>IF(E1429="","",MAX($A$6:A1428)+1)</x:f>
      </x:c>
      <x:c r="B1429" s="61"/>
      <x:c r="C1429" s="61"/>
      <x:c r="D1429" s="62"/>
      <x:c r="E1429" s="61"/>
      <x:c r="F1429" s="61"/>
      <x:c r="G1429" s="63"/>
      <x:c r="H1429" s="63">
        <x:f t="shared" si="99"/>
        <x:v>0</x:v>
      </x:c>
      <x:c r="I1429" s="64"/>
      <x:c r="J1429" s="63">
        <x:f t="shared" si="100"/>
        <x:v>0</x:v>
      </x:c>
      <x:c r="K1429" s="63" t="str">
        <x:f t="shared" si="98"/>
      </x:c>
      <x:c r="L1429" s="63">
        <x:f t="shared" si="101"/>
        <x:v>0</x:v>
      </x:c>
      <x:c r="M1429" s="61"/>
    </x:row>
    <x:row r="1430">
      <x:c r="A1430" s="61" t="str">
        <x:f>IF(E1430="","",MAX($A$6:A1429)+1)</x:f>
      </x:c>
      <x:c r="B1430" s="61"/>
      <x:c r="C1430" s="61"/>
      <x:c r="D1430" s="62"/>
      <x:c r="E1430" s="61"/>
      <x:c r="F1430" s="61"/>
      <x:c r="G1430" s="63"/>
      <x:c r="H1430" s="63">
        <x:f t="shared" si="99"/>
        <x:v>0</x:v>
      </x:c>
      <x:c r="I1430" s="64"/>
      <x:c r="J1430" s="63">
        <x:f t="shared" si="100"/>
        <x:v>0</x:v>
      </x:c>
      <x:c r="K1430" s="63" t="str">
        <x:f t="shared" si="98"/>
      </x:c>
      <x:c r="L1430" s="63">
        <x:f t="shared" si="101"/>
        <x:v>0</x:v>
      </x:c>
      <x:c r="M1430" s="61"/>
    </x:row>
    <x:row r="1431">
      <x:c r="A1431" s="61" t="str">
        <x:f>IF(E1431="","",MAX($A$6:A1430)+1)</x:f>
      </x:c>
      <x:c r="B1431" s="61"/>
      <x:c r="C1431" s="61"/>
      <x:c r="D1431" s="62"/>
      <x:c r="E1431" s="61"/>
      <x:c r="F1431" s="61"/>
      <x:c r="G1431" s="63"/>
      <x:c r="H1431" s="63">
        <x:f t="shared" si="99"/>
        <x:v>0</x:v>
      </x:c>
      <x:c r="I1431" s="64"/>
      <x:c r="J1431" s="63">
        <x:f t="shared" si="100"/>
        <x:v>0</x:v>
      </x:c>
      <x:c r="K1431" s="63" t="str">
        <x:f t="shared" si="98"/>
      </x:c>
      <x:c r="L1431" s="63">
        <x:f t="shared" si="101"/>
        <x:v>0</x:v>
      </x:c>
      <x:c r="M1431" s="61"/>
    </x:row>
    <x:row r="1432">
      <x:c r="A1432" s="61" t="str">
        <x:f>IF(E1432="","",MAX($A$6:A1431)+1)</x:f>
      </x:c>
      <x:c r="B1432" s="61"/>
      <x:c r="C1432" s="61"/>
      <x:c r="D1432" s="62"/>
      <x:c r="E1432" s="61"/>
      <x:c r="F1432" s="61"/>
      <x:c r="G1432" s="63"/>
      <x:c r="H1432" s="63">
        <x:f t="shared" si="99"/>
        <x:v>0</x:v>
      </x:c>
      <x:c r="I1432" s="64"/>
      <x:c r="J1432" s="63">
        <x:f t="shared" si="100"/>
        <x:v>0</x:v>
      </x:c>
      <x:c r="K1432" s="63" t="str">
        <x:f t="shared" si="98"/>
      </x:c>
      <x:c r="L1432" s="63">
        <x:f t="shared" si="101"/>
        <x:v>0</x:v>
      </x:c>
      <x:c r="M1432" s="61"/>
    </x:row>
    <x:row r="1433">
      <x:c r="A1433" s="61" t="str">
        <x:f>IF(E1433="","",MAX($A$6:A1432)+1)</x:f>
      </x:c>
      <x:c r="B1433" s="61"/>
      <x:c r="C1433" s="61"/>
      <x:c r="D1433" s="62"/>
      <x:c r="E1433" s="61"/>
      <x:c r="F1433" s="61"/>
      <x:c r="G1433" s="63"/>
      <x:c r="H1433" s="63">
        <x:f t="shared" si="99"/>
        <x:v>0</x:v>
      </x:c>
      <x:c r="I1433" s="64"/>
      <x:c r="J1433" s="63">
        <x:f t="shared" si="100"/>
        <x:v>0</x:v>
      </x:c>
      <x:c r="K1433" s="63" t="str">
        <x:f t="shared" si="98"/>
      </x:c>
      <x:c r="L1433" s="63">
        <x:f t="shared" si="101"/>
        <x:v>0</x:v>
      </x:c>
      <x:c r="M1433" s="61"/>
    </x:row>
    <x:row r="1434">
      <x:c r="A1434" s="61" t="str">
        <x:f>IF(E1434="","",MAX($A$6:A1433)+1)</x:f>
      </x:c>
      <x:c r="B1434" s="61"/>
      <x:c r="C1434" s="61"/>
      <x:c r="D1434" s="62"/>
      <x:c r="E1434" s="61"/>
      <x:c r="F1434" s="61"/>
      <x:c r="G1434" s="63"/>
      <x:c r="H1434" s="63">
        <x:f t="shared" si="99"/>
        <x:v>0</x:v>
      </x:c>
      <x:c r="I1434" s="64"/>
      <x:c r="J1434" s="63">
        <x:f t="shared" si="100"/>
        <x:v>0</x:v>
      </x:c>
      <x:c r="K1434" s="63" t="str">
        <x:f t="shared" si="98"/>
      </x:c>
      <x:c r="L1434" s="63">
        <x:f t="shared" si="101"/>
        <x:v>0</x:v>
      </x:c>
      <x:c r="M1434" s="61"/>
    </x:row>
    <x:row r="1435">
      <x:c r="A1435" s="61" t="str">
        <x:f>IF(E1435="","",MAX($A$6:A1434)+1)</x:f>
      </x:c>
      <x:c r="B1435" s="61"/>
      <x:c r="C1435" s="61"/>
      <x:c r="D1435" s="62"/>
      <x:c r="E1435" s="61"/>
      <x:c r="F1435" s="61"/>
      <x:c r="G1435" s="63"/>
      <x:c r="H1435" s="63">
        <x:f t="shared" si="99"/>
        <x:v>0</x:v>
      </x:c>
      <x:c r="I1435" s="64"/>
      <x:c r="J1435" s="63">
        <x:f t="shared" si="100"/>
        <x:v>0</x:v>
      </x:c>
      <x:c r="K1435" s="63" t="str">
        <x:f t="shared" si="98"/>
      </x:c>
      <x:c r="L1435" s="63">
        <x:f t="shared" si="101"/>
        <x:v>0</x:v>
      </x:c>
      <x:c r="M1435" s="61"/>
    </x:row>
    <x:row r="1436">
      <x:c r="A1436" s="61" t="str">
        <x:f>IF(E1436="","",MAX($A$6:A1435)+1)</x:f>
      </x:c>
      <x:c r="B1436" s="61"/>
      <x:c r="C1436" s="61"/>
      <x:c r="D1436" s="62"/>
      <x:c r="E1436" s="61"/>
      <x:c r="F1436" s="61"/>
      <x:c r="G1436" s="63"/>
      <x:c r="H1436" s="63">
        <x:f t="shared" si="99"/>
        <x:v>0</x:v>
      </x:c>
      <x:c r="I1436" s="64"/>
      <x:c r="J1436" s="63">
        <x:f t="shared" si="100"/>
        <x:v>0</x:v>
      </x:c>
      <x:c r="K1436" s="63" t="str">
        <x:f t="shared" si="98"/>
      </x:c>
      <x:c r="L1436" s="63">
        <x:f t="shared" si="101"/>
        <x:v>0</x:v>
      </x:c>
      <x:c r="M1436" s="61"/>
    </x:row>
    <x:row r="1437">
      <x:c r="A1437" s="61" t="str">
        <x:f>IF(E1437="","",MAX($A$6:A1436)+1)</x:f>
      </x:c>
      <x:c r="B1437" s="61"/>
      <x:c r="C1437" s="61"/>
      <x:c r="D1437" s="62"/>
      <x:c r="E1437" s="61"/>
      <x:c r="F1437" s="61"/>
      <x:c r="G1437" s="63"/>
      <x:c r="H1437" s="63">
        <x:f t="shared" si="99"/>
        <x:v>0</x:v>
      </x:c>
      <x:c r="I1437" s="64"/>
      <x:c r="J1437" s="63">
        <x:f t="shared" si="100"/>
        <x:v>0</x:v>
      </x:c>
      <x:c r="K1437" s="63" t="str">
        <x:f t="shared" si="98"/>
      </x:c>
      <x:c r="L1437" s="63">
        <x:f t="shared" si="101"/>
        <x:v>0</x:v>
      </x:c>
      <x:c r="M1437" s="61"/>
    </x:row>
    <x:row r="1438">
      <x:c r="A1438" s="61" t="str">
        <x:f>IF(E1438="","",MAX($A$6:A1437)+1)</x:f>
      </x:c>
      <x:c r="B1438" s="61"/>
      <x:c r="C1438" s="61"/>
      <x:c r="D1438" s="62"/>
      <x:c r="E1438" s="61"/>
      <x:c r="F1438" s="61"/>
      <x:c r="G1438" s="63"/>
      <x:c r="H1438" s="63">
        <x:f t="shared" si="99"/>
        <x:v>0</x:v>
      </x:c>
      <x:c r="I1438" s="64"/>
      <x:c r="J1438" s="63">
        <x:f t="shared" si="100"/>
        <x:v>0</x:v>
      </x:c>
      <x:c r="K1438" s="63" t="str">
        <x:f t="shared" si="98"/>
      </x:c>
      <x:c r="L1438" s="63">
        <x:f t="shared" si="101"/>
        <x:v>0</x:v>
      </x:c>
      <x:c r="M1438" s="61"/>
    </x:row>
    <x:row r="1439">
      <x:c r="A1439" s="61" t="str">
        <x:f>IF(E1439="","",MAX($A$6:A1438)+1)</x:f>
      </x:c>
      <x:c r="B1439" s="61"/>
      <x:c r="C1439" s="61"/>
      <x:c r="D1439" s="62"/>
      <x:c r="E1439" s="61"/>
      <x:c r="F1439" s="61"/>
      <x:c r="G1439" s="63"/>
      <x:c r="H1439" s="63">
        <x:f t="shared" si="99"/>
        <x:v>0</x:v>
      </x:c>
      <x:c r="I1439" s="64"/>
      <x:c r="J1439" s="63">
        <x:f t="shared" si="100"/>
        <x:v>0</x:v>
      </x:c>
      <x:c r="K1439" s="63" t="str">
        <x:f t="shared" si="98"/>
      </x:c>
      <x:c r="L1439" s="63">
        <x:f t="shared" si="101"/>
        <x:v>0</x:v>
      </x:c>
      <x:c r="M1439" s="61"/>
    </x:row>
    <x:row r="1440">
      <x:c r="A1440" s="61" t="str">
        <x:f>IF(E1440="","",MAX($A$6:A1439)+1)</x:f>
      </x:c>
      <x:c r="B1440" s="61"/>
      <x:c r="C1440" s="61"/>
      <x:c r="D1440" s="62"/>
      <x:c r="E1440" s="61"/>
      <x:c r="F1440" s="61"/>
      <x:c r="G1440" s="63"/>
      <x:c r="H1440" s="63">
        <x:f t="shared" si="99"/>
        <x:v>0</x:v>
      </x:c>
      <x:c r="I1440" s="64"/>
      <x:c r="J1440" s="63">
        <x:f t="shared" si="100"/>
        <x:v>0</x:v>
      </x:c>
      <x:c r="K1440" s="63" t="str">
        <x:f t="shared" si="98"/>
      </x:c>
      <x:c r="L1440" s="63">
        <x:f t="shared" si="101"/>
        <x:v>0</x:v>
      </x:c>
      <x:c r="M1440" s="61"/>
    </x:row>
    <x:row r="1441">
      <x:c r="A1441" s="61" t="str">
        <x:f>IF(E1441="","",MAX($A$6:A1440)+1)</x:f>
      </x:c>
      <x:c r="B1441" s="61"/>
      <x:c r="C1441" s="61"/>
      <x:c r="D1441" s="62"/>
      <x:c r="E1441" s="61"/>
      <x:c r="F1441" s="61"/>
      <x:c r="G1441" s="63"/>
      <x:c r="H1441" s="63">
        <x:f t="shared" si="99"/>
        <x:v>0</x:v>
      </x:c>
      <x:c r="I1441" s="64"/>
      <x:c r="J1441" s="63">
        <x:f t="shared" si="100"/>
        <x:v>0</x:v>
      </x:c>
      <x:c r="K1441" s="63" t="str">
        <x:f t="shared" si="98"/>
      </x:c>
      <x:c r="L1441" s="63">
        <x:f t="shared" si="101"/>
        <x:v>0</x:v>
      </x:c>
      <x:c r="M1441" s="61"/>
    </x:row>
    <x:row r="1442">
      <x:c r="A1442" s="61" t="str">
        <x:f>IF(E1442="","",MAX($A$6:A1441)+1)</x:f>
      </x:c>
      <x:c r="B1442" s="61"/>
      <x:c r="C1442" s="61"/>
      <x:c r="D1442" s="62"/>
      <x:c r="E1442" s="61"/>
      <x:c r="F1442" s="61"/>
      <x:c r="G1442" s="63"/>
      <x:c r="H1442" s="63">
        <x:f t="shared" si="99"/>
        <x:v>0</x:v>
      </x:c>
      <x:c r="I1442" s="64"/>
      <x:c r="J1442" s="63">
        <x:f t="shared" si="100"/>
        <x:v>0</x:v>
      </x:c>
      <x:c r="K1442" s="63" t="str">
        <x:f t="shared" si="98"/>
      </x:c>
      <x:c r="L1442" s="63">
        <x:f t="shared" si="101"/>
        <x:v>0</x:v>
      </x:c>
      <x:c r="M1442" s="61"/>
    </x:row>
    <x:row r="1443">
      <x:c r="A1443" s="61" t="str">
        <x:f>IF(E1443="","",MAX($A$6:A1442)+1)</x:f>
      </x:c>
      <x:c r="B1443" s="61"/>
      <x:c r="C1443" s="61"/>
      <x:c r="D1443" s="62"/>
      <x:c r="E1443" s="61"/>
      <x:c r="F1443" s="61"/>
      <x:c r="G1443" s="63"/>
      <x:c r="H1443" s="63">
        <x:f t="shared" si="99"/>
        <x:v>0</x:v>
      </x:c>
      <x:c r="I1443" s="64"/>
      <x:c r="J1443" s="63">
        <x:f t="shared" si="100"/>
        <x:v>0</x:v>
      </x:c>
      <x:c r="K1443" s="63" t="str">
        <x:f t="shared" si="98"/>
      </x:c>
      <x:c r="L1443" s="63">
        <x:f t="shared" si="101"/>
        <x:v>0</x:v>
      </x:c>
      <x:c r="M1443" s="61"/>
    </x:row>
    <x:row r="1444">
      <x:c r="A1444" s="61" t="str">
        <x:f>IF(E1444="","",MAX($A$6:A1443)+1)</x:f>
      </x:c>
      <x:c r="B1444" s="61"/>
      <x:c r="C1444" s="61"/>
      <x:c r="D1444" s="62"/>
      <x:c r="E1444" s="61"/>
      <x:c r="F1444" s="61"/>
      <x:c r="G1444" s="63"/>
      <x:c r="H1444" s="63">
        <x:f t="shared" si="99"/>
        <x:v>0</x:v>
      </x:c>
      <x:c r="I1444" s="64"/>
      <x:c r="J1444" s="63">
        <x:f t="shared" si="100"/>
        <x:v>0</x:v>
      </x:c>
      <x:c r="K1444" s="63" t="str">
        <x:f t="shared" si="98"/>
      </x:c>
      <x:c r="L1444" s="63">
        <x:f t="shared" si="101"/>
        <x:v>0</x:v>
      </x:c>
      <x:c r="M1444" s="61"/>
    </x:row>
    <x:row r="1445">
      <x:c r="A1445" s="61" t="str">
        <x:f>IF(E1445="","",MAX($A$6:A1444)+1)</x:f>
      </x:c>
      <x:c r="B1445" s="61"/>
      <x:c r="C1445" s="61"/>
      <x:c r="D1445" s="62"/>
      <x:c r="E1445" s="61"/>
      <x:c r="F1445" s="61"/>
      <x:c r="G1445" s="63"/>
      <x:c r="H1445" s="63">
        <x:f t="shared" si="99"/>
        <x:v>0</x:v>
      </x:c>
      <x:c r="I1445" s="64"/>
      <x:c r="J1445" s="63">
        <x:f t="shared" si="100"/>
        <x:v>0</x:v>
      </x:c>
      <x:c r="K1445" s="63" t="str">
        <x:f t="shared" si="98"/>
      </x:c>
      <x:c r="L1445" s="63">
        <x:f t="shared" si="101"/>
        <x:v>0</x:v>
      </x:c>
      <x:c r="M1445" s="61"/>
    </x:row>
    <x:row r="1446">
      <x:c r="A1446" s="61" t="str">
        <x:f>IF(E1446="","",MAX($A$6:A1445)+1)</x:f>
      </x:c>
      <x:c r="B1446" s="61"/>
      <x:c r="C1446" s="61"/>
      <x:c r="D1446" s="62"/>
      <x:c r="E1446" s="61"/>
      <x:c r="F1446" s="61"/>
      <x:c r="G1446" s="63"/>
      <x:c r="H1446" s="63">
        <x:f t="shared" si="99"/>
        <x:v>0</x:v>
      </x:c>
      <x:c r="I1446" s="64"/>
      <x:c r="J1446" s="63">
        <x:f t="shared" si="100"/>
        <x:v>0</x:v>
      </x:c>
      <x:c r="K1446" s="63" t="str">
        <x:f t="shared" si="98"/>
      </x:c>
      <x:c r="L1446" s="63">
        <x:f t="shared" si="101"/>
        <x:v>0</x:v>
      </x:c>
      <x:c r="M1446" s="61"/>
    </x:row>
    <x:row r="1447">
      <x:c r="A1447" s="61" t="str">
        <x:f>IF(E1447="","",MAX($A$6:A1446)+1)</x:f>
      </x:c>
      <x:c r="B1447" s="61"/>
      <x:c r="C1447" s="61"/>
      <x:c r="D1447" s="62"/>
      <x:c r="E1447" s="61"/>
      <x:c r="F1447" s="61"/>
      <x:c r="G1447" s="63"/>
      <x:c r="H1447" s="63">
        <x:f t="shared" si="99"/>
        <x:v>0</x:v>
      </x:c>
      <x:c r="I1447" s="64"/>
      <x:c r="J1447" s="63">
        <x:f t="shared" si="100"/>
        <x:v>0</x:v>
      </x:c>
      <x:c r="K1447" s="63" t="str">
        <x:f t="shared" si="98"/>
      </x:c>
      <x:c r="L1447" s="63">
        <x:f t="shared" si="101"/>
        <x:v>0</x:v>
      </x:c>
      <x:c r="M1447" s="61"/>
    </x:row>
    <x:row r="1448">
      <x:c r="A1448" s="61" t="str">
        <x:f>IF(E1448="","",MAX($A$6:A1447)+1)</x:f>
      </x:c>
      <x:c r="B1448" s="61"/>
      <x:c r="C1448" s="61"/>
      <x:c r="D1448" s="62"/>
      <x:c r="E1448" s="61"/>
      <x:c r="F1448" s="61"/>
      <x:c r="G1448" s="63"/>
      <x:c r="H1448" s="63">
        <x:f t="shared" si="99"/>
        <x:v>0</x:v>
      </x:c>
      <x:c r="I1448" s="64"/>
      <x:c r="J1448" s="63">
        <x:f t="shared" si="100"/>
        <x:v>0</x:v>
      </x:c>
      <x:c r="K1448" s="63" t="str">
        <x:f t="shared" si="98"/>
      </x:c>
      <x:c r="L1448" s="63">
        <x:f t="shared" si="101"/>
        <x:v>0</x:v>
      </x:c>
      <x:c r="M1448" s="61"/>
    </x:row>
    <x:row r="1449">
      <x:c r="A1449" s="61" t="str">
        <x:f>IF(E1449="","",MAX($A$6:A1448)+1)</x:f>
      </x:c>
      <x:c r="B1449" s="61"/>
      <x:c r="C1449" s="61"/>
      <x:c r="D1449" s="62"/>
      <x:c r="E1449" s="61"/>
      <x:c r="F1449" s="61"/>
      <x:c r="G1449" s="63"/>
      <x:c r="H1449" s="63">
        <x:f t="shared" si="99"/>
        <x:v>0</x:v>
      </x:c>
      <x:c r="I1449" s="64"/>
      <x:c r="J1449" s="63">
        <x:f t="shared" si="100"/>
        <x:v>0</x:v>
      </x:c>
      <x:c r="K1449" s="63" t="str">
        <x:f t="shared" si="98"/>
      </x:c>
      <x:c r="L1449" s="63">
        <x:f t="shared" si="101"/>
        <x:v>0</x:v>
      </x:c>
      <x:c r="M1449" s="61"/>
    </x:row>
    <x:row r="1450">
      <x:c r="A1450" s="61" t="str">
        <x:f>IF(E1450="","",MAX($A$6:A1449)+1)</x:f>
      </x:c>
      <x:c r="B1450" s="61"/>
      <x:c r="C1450" s="61"/>
      <x:c r="D1450" s="62"/>
      <x:c r="E1450" s="61"/>
      <x:c r="F1450" s="61"/>
      <x:c r="G1450" s="63"/>
      <x:c r="H1450" s="63">
        <x:f t="shared" si="99"/>
        <x:v>0</x:v>
      </x:c>
      <x:c r="I1450" s="64"/>
      <x:c r="J1450" s="63">
        <x:f t="shared" si="100"/>
        <x:v>0</x:v>
      </x:c>
      <x:c r="K1450" s="63" t="str">
        <x:f t="shared" si="98"/>
      </x:c>
      <x:c r="L1450" s="63">
        <x:f t="shared" si="101"/>
        <x:v>0</x:v>
      </x:c>
      <x:c r="M1450" s="61"/>
    </x:row>
    <x:row r="1451">
      <x:c r="A1451" s="61" t="str">
        <x:f>IF(E1451="","",MAX($A$6:A1450)+1)</x:f>
      </x:c>
      <x:c r="B1451" s="61"/>
      <x:c r="C1451" s="61"/>
      <x:c r="D1451" s="62"/>
      <x:c r="E1451" s="61"/>
      <x:c r="F1451" s="61"/>
      <x:c r="G1451" s="63"/>
      <x:c r="H1451" s="63">
        <x:f t="shared" si="99"/>
        <x:v>0</x:v>
      </x:c>
      <x:c r="I1451" s="64"/>
      <x:c r="J1451" s="63">
        <x:f t="shared" si="100"/>
        <x:v>0</x:v>
      </x:c>
      <x:c r="K1451" s="63" t="str">
        <x:f t="shared" si="98"/>
      </x:c>
      <x:c r="L1451" s="63">
        <x:f t="shared" si="101"/>
        <x:v>0</x:v>
      </x:c>
      <x:c r="M1451" s="61"/>
    </x:row>
    <x:row r="1452">
      <x:c r="A1452" s="61" t="str">
        <x:f>IF(E1452="","",MAX($A$6:A1451)+1)</x:f>
      </x:c>
      <x:c r="B1452" s="61"/>
      <x:c r="C1452" s="61"/>
      <x:c r="D1452" s="62"/>
      <x:c r="E1452" s="61"/>
      <x:c r="F1452" s="61"/>
      <x:c r="G1452" s="63"/>
      <x:c r="H1452" s="63">
        <x:f t="shared" si="99"/>
        <x:v>0</x:v>
      </x:c>
      <x:c r="I1452" s="64"/>
      <x:c r="J1452" s="63">
        <x:f t="shared" si="100"/>
        <x:v>0</x:v>
      </x:c>
      <x:c r="K1452" s="63" t="str">
        <x:f t="shared" si="98"/>
      </x:c>
      <x:c r="L1452" s="63">
        <x:f t="shared" si="101"/>
        <x:v>0</x:v>
      </x:c>
      <x:c r="M1452" s="61"/>
    </x:row>
    <x:row r="1453">
      <x:c r="A1453" s="61" t="str">
        <x:f>IF(E1453="","",MAX($A$6:A1452)+1)</x:f>
      </x:c>
      <x:c r="B1453" s="61"/>
      <x:c r="C1453" s="61"/>
      <x:c r="D1453" s="62"/>
      <x:c r="E1453" s="61"/>
      <x:c r="F1453" s="61"/>
      <x:c r="G1453" s="63"/>
      <x:c r="H1453" s="63">
        <x:f t="shared" si="99"/>
        <x:v>0</x:v>
      </x:c>
      <x:c r="I1453" s="64"/>
      <x:c r="J1453" s="63">
        <x:f t="shared" si="100"/>
        <x:v>0</x:v>
      </x:c>
      <x:c r="K1453" s="63" t="str">
        <x:f t="shared" si="98"/>
      </x:c>
      <x:c r="L1453" s="63">
        <x:f t="shared" si="101"/>
        <x:v>0</x:v>
      </x:c>
      <x:c r="M1453" s="61"/>
    </x:row>
    <x:row r="1454">
      <x:c r="A1454" s="61" t="str">
        <x:f>IF(E1454="","",MAX($A$6:A1453)+1)</x:f>
      </x:c>
      <x:c r="B1454" s="61"/>
      <x:c r="C1454" s="61"/>
      <x:c r="D1454" s="62"/>
      <x:c r="E1454" s="61"/>
      <x:c r="F1454" s="61"/>
      <x:c r="G1454" s="63"/>
      <x:c r="H1454" s="63">
        <x:f t="shared" si="99"/>
        <x:v>0</x:v>
      </x:c>
      <x:c r="I1454" s="64"/>
      <x:c r="J1454" s="63">
        <x:f t="shared" si="100"/>
        <x:v>0</x:v>
      </x:c>
      <x:c r="K1454" s="63" t="str">
        <x:f t="shared" si="98"/>
      </x:c>
      <x:c r="L1454" s="63">
        <x:f t="shared" si="101"/>
        <x:v>0</x:v>
      </x:c>
      <x:c r="M1454" s="61"/>
    </x:row>
    <x:row r="1455">
      <x:c r="A1455" s="61" t="str">
        <x:f>IF(E1455="","",MAX($A$6:A1454)+1)</x:f>
      </x:c>
      <x:c r="B1455" s="61"/>
      <x:c r="C1455" s="61"/>
      <x:c r="D1455" s="62"/>
      <x:c r="E1455" s="61"/>
      <x:c r="F1455" s="61"/>
      <x:c r="G1455" s="63"/>
      <x:c r="H1455" s="63">
        <x:f t="shared" si="99"/>
        <x:v>0</x:v>
      </x:c>
      <x:c r="I1455" s="64"/>
      <x:c r="J1455" s="63">
        <x:f t="shared" si="100"/>
        <x:v>0</x:v>
      </x:c>
      <x:c r="K1455" s="63" t="str">
        <x:f t="shared" si="98"/>
      </x:c>
      <x:c r="L1455" s="63">
        <x:f t="shared" si="101"/>
        <x:v>0</x:v>
      </x:c>
      <x:c r="M1455" s="61"/>
    </x:row>
    <x:row r="1456">
      <x:c r="A1456" s="61" t="str">
        <x:f>IF(E1456="","",MAX($A$6:A1455)+1)</x:f>
      </x:c>
      <x:c r="B1456" s="61"/>
      <x:c r="C1456" s="61"/>
      <x:c r="D1456" s="62"/>
      <x:c r="E1456" s="61"/>
      <x:c r="F1456" s="61"/>
      <x:c r="G1456" s="63"/>
      <x:c r="H1456" s="63">
        <x:f t="shared" si="99"/>
        <x:v>0</x:v>
      </x:c>
      <x:c r="I1456" s="64"/>
      <x:c r="J1456" s="63">
        <x:f t="shared" si="100"/>
        <x:v>0</x:v>
      </x:c>
      <x:c r="K1456" s="63" t="str">
        <x:f t="shared" si="98"/>
      </x:c>
      <x:c r="L1456" s="63">
        <x:f t="shared" si="101"/>
        <x:v>0</x:v>
      </x:c>
      <x:c r="M1456" s="61"/>
    </x:row>
    <x:row r="1457">
      <x:c r="A1457" s="61" t="str">
        <x:f>IF(E1457="","",MAX($A$6:A1456)+1)</x:f>
      </x:c>
      <x:c r="B1457" s="61"/>
      <x:c r="C1457" s="61"/>
      <x:c r="D1457" s="62"/>
      <x:c r="E1457" s="61"/>
      <x:c r="F1457" s="61"/>
      <x:c r="G1457" s="63"/>
      <x:c r="H1457" s="63">
        <x:f t="shared" si="99"/>
        <x:v>0</x:v>
      </x:c>
      <x:c r="I1457" s="64"/>
      <x:c r="J1457" s="63">
        <x:f t="shared" si="100"/>
        <x:v>0</x:v>
      </x:c>
      <x:c r="K1457" s="63" t="str">
        <x:f t="shared" si="98"/>
      </x:c>
      <x:c r="L1457" s="63">
        <x:f t="shared" si="101"/>
        <x:v>0</x:v>
      </x:c>
      <x:c r="M1457" s="61"/>
    </x:row>
    <x:row r="1458">
      <x:c r="A1458" s="61" t="str">
        <x:f>IF(E1458="","",MAX($A$6:A1457)+1)</x:f>
      </x:c>
      <x:c r="B1458" s="61"/>
      <x:c r="C1458" s="61"/>
      <x:c r="D1458" s="62"/>
      <x:c r="E1458" s="61"/>
      <x:c r="F1458" s="61"/>
      <x:c r="G1458" s="63"/>
      <x:c r="H1458" s="63">
        <x:f t="shared" si="99"/>
        <x:v>0</x:v>
      </x:c>
      <x:c r="I1458" s="64"/>
      <x:c r="J1458" s="63">
        <x:f t="shared" si="100"/>
        <x:v>0</x:v>
      </x:c>
      <x:c r="K1458" s="63" t="str">
        <x:f t="shared" si="98"/>
      </x:c>
      <x:c r="L1458" s="63">
        <x:f t="shared" si="101"/>
        <x:v>0</x:v>
      </x:c>
      <x:c r="M1458" s="61"/>
    </x:row>
    <x:row r="1459">
      <x:c r="A1459" s="61" t="str">
        <x:f>IF(E1459="","",MAX($A$6:A1458)+1)</x:f>
      </x:c>
      <x:c r="B1459" s="61"/>
      <x:c r="C1459" s="61"/>
      <x:c r="D1459" s="62"/>
      <x:c r="E1459" s="61"/>
      <x:c r="F1459" s="61"/>
      <x:c r="G1459" s="63"/>
      <x:c r="H1459" s="63">
        <x:f t="shared" si="99"/>
        <x:v>0</x:v>
      </x:c>
      <x:c r="I1459" s="64"/>
      <x:c r="J1459" s="63">
        <x:f t="shared" si="100"/>
        <x:v>0</x:v>
      </x:c>
      <x:c r="K1459" s="63" t="str">
        <x:f t="shared" si="98"/>
      </x:c>
      <x:c r="L1459" s="63">
        <x:f t="shared" si="101"/>
        <x:v>0</x:v>
      </x:c>
      <x:c r="M1459" s="61"/>
    </x:row>
    <x:row r="1460">
      <x:c r="A1460" s="61" t="str">
        <x:f>IF(E1460="","",MAX($A$6:A1459)+1)</x:f>
      </x:c>
      <x:c r="B1460" s="61"/>
      <x:c r="C1460" s="61"/>
      <x:c r="D1460" s="62"/>
      <x:c r="E1460" s="61"/>
      <x:c r="F1460" s="61"/>
      <x:c r="G1460" s="63"/>
      <x:c r="H1460" s="63">
        <x:f t="shared" si="99"/>
        <x:v>0</x:v>
      </x:c>
      <x:c r="I1460" s="64"/>
      <x:c r="J1460" s="63">
        <x:f t="shared" si="100"/>
        <x:v>0</x:v>
      </x:c>
      <x:c r="K1460" s="63" t="str">
        <x:f t="shared" si="98"/>
      </x:c>
      <x:c r="L1460" s="63">
        <x:f t="shared" si="101"/>
        <x:v>0</x:v>
      </x:c>
      <x:c r="M1460" s="61"/>
    </x:row>
    <x:row r="1461">
      <x:c r="A1461" s="61" t="str">
        <x:f>IF(E1461="","",MAX($A$6:A1460)+1)</x:f>
      </x:c>
      <x:c r="B1461" s="61"/>
      <x:c r="C1461" s="61"/>
      <x:c r="D1461" s="62"/>
      <x:c r="E1461" s="61"/>
      <x:c r="F1461" s="61"/>
      <x:c r="G1461" s="63"/>
      <x:c r="H1461" s="63">
        <x:f t="shared" si="99"/>
        <x:v>0</x:v>
      </x:c>
      <x:c r="I1461" s="64"/>
      <x:c r="J1461" s="63">
        <x:f t="shared" si="100"/>
        <x:v>0</x:v>
      </x:c>
      <x:c r="K1461" s="63" t="str">
        <x:f t="shared" si="98"/>
      </x:c>
      <x:c r="L1461" s="63">
        <x:f t="shared" si="101"/>
        <x:v>0</x:v>
      </x:c>
      <x:c r="M1461" s="61"/>
    </x:row>
    <x:row r="1462">
      <x:c r="A1462" s="61" t="str">
        <x:f>IF(E1462="","",MAX($A$6:A1461)+1)</x:f>
      </x:c>
      <x:c r="B1462" s="61"/>
      <x:c r="C1462" s="61"/>
      <x:c r="D1462" s="62"/>
      <x:c r="E1462" s="61"/>
      <x:c r="F1462" s="61"/>
      <x:c r="G1462" s="63"/>
      <x:c r="H1462" s="63">
        <x:f t="shared" si="99"/>
        <x:v>0</x:v>
      </x:c>
      <x:c r="I1462" s="64"/>
      <x:c r="J1462" s="63">
        <x:f t="shared" si="100"/>
        <x:v>0</x:v>
      </x:c>
      <x:c r="K1462" s="63" t="str">
        <x:f t="shared" ref="K1462:K1525" si="102">IFERROR(IF(G1462="","",MAX(1,G1462-J1462)),0)</x:f>
      </x:c>
      <x:c r="L1462" s="63">
        <x:f t="shared" si="101"/>
        <x:v>0</x:v>
      </x:c>
      <x:c r="M1462" s="61"/>
    </x:row>
    <x:row r="1463">
      <x:c r="A1463" s="61" t="str">
        <x:f>IF(E1463="","",MAX($A$6:A1462)+1)</x:f>
      </x:c>
      <x:c r="B1463" s="61"/>
      <x:c r="C1463" s="61"/>
      <x:c r="D1463" s="62"/>
      <x:c r="E1463" s="61"/>
      <x:c r="F1463" s="61"/>
      <x:c r="G1463" s="63"/>
      <x:c r="H1463" s="63">
        <x:f t="shared" si="99"/>
        <x:v>0</x:v>
      </x:c>
      <x:c r="I1463" s="64"/>
      <x:c r="J1463" s="63">
        <x:f t="shared" si="100"/>
        <x:v>0</x:v>
      </x:c>
      <x:c r="K1463" s="63" t="str">
        <x:f t="shared" si="102"/>
      </x:c>
      <x:c r="L1463" s="63">
        <x:f t="shared" si="101"/>
        <x:v>0</x:v>
      </x:c>
      <x:c r="M1463" s="61"/>
    </x:row>
    <x:row r="1464">
      <x:c r="A1464" s="61" t="str">
        <x:f>IF(E1464="","",MAX($A$6:A1463)+1)</x:f>
      </x:c>
      <x:c r="B1464" s="61"/>
      <x:c r="C1464" s="61"/>
      <x:c r="D1464" s="62"/>
      <x:c r="E1464" s="61"/>
      <x:c r="F1464" s="61"/>
      <x:c r="G1464" s="63"/>
      <x:c r="H1464" s="63">
        <x:f t="shared" si="99"/>
        <x:v>0</x:v>
      </x:c>
      <x:c r="I1464" s="64"/>
      <x:c r="J1464" s="63">
        <x:f t="shared" si="100"/>
        <x:v>0</x:v>
      </x:c>
      <x:c r="K1464" s="63" t="str">
        <x:f t="shared" si="102"/>
      </x:c>
      <x:c r="L1464" s="63">
        <x:f t="shared" si="101"/>
        <x:v>0</x:v>
      </x:c>
      <x:c r="M1464" s="61"/>
    </x:row>
    <x:row r="1465">
      <x:c r="A1465" s="61" t="str">
        <x:f>IF(E1465="","",MAX($A$6:A1464)+1)</x:f>
      </x:c>
      <x:c r="B1465" s="61"/>
      <x:c r="C1465" s="61"/>
      <x:c r="D1465" s="62"/>
      <x:c r="E1465" s="61"/>
      <x:c r="F1465" s="61"/>
      <x:c r="G1465" s="63"/>
      <x:c r="H1465" s="63">
        <x:f t="shared" si="99"/>
        <x:v>0</x:v>
      </x:c>
      <x:c r="I1465" s="64"/>
      <x:c r="J1465" s="63">
        <x:f t="shared" si="100"/>
        <x:v>0</x:v>
      </x:c>
      <x:c r="K1465" s="63" t="str">
        <x:f t="shared" si="102"/>
      </x:c>
      <x:c r="L1465" s="63">
        <x:f t="shared" si="101"/>
        <x:v>0</x:v>
      </x:c>
      <x:c r="M1465" s="61"/>
    </x:row>
    <x:row r="1466">
      <x:c r="A1466" s="61" t="str">
        <x:f>IF(E1466="","",MAX($A$6:A1465)+1)</x:f>
      </x:c>
      <x:c r="B1466" s="61"/>
      <x:c r="C1466" s="61"/>
      <x:c r="D1466" s="62"/>
      <x:c r="E1466" s="61"/>
      <x:c r="F1466" s="61"/>
      <x:c r="G1466" s="63"/>
      <x:c r="H1466" s="63">
        <x:f t="shared" si="99"/>
        <x:v>0</x:v>
      </x:c>
      <x:c r="I1466" s="64"/>
      <x:c r="J1466" s="63">
        <x:f t="shared" si="100"/>
        <x:v>0</x:v>
      </x:c>
      <x:c r="K1466" s="63" t="str">
        <x:f t="shared" si="102"/>
      </x:c>
      <x:c r="L1466" s="63">
        <x:f t="shared" si="101"/>
        <x:v>0</x:v>
      </x:c>
      <x:c r="M1466" s="61"/>
    </x:row>
    <x:row r="1467">
      <x:c r="A1467" s="61" t="str">
        <x:f>IF(E1467="","",MAX($A$6:A1466)+1)</x:f>
      </x:c>
      <x:c r="B1467" s="61"/>
      <x:c r="C1467" s="61"/>
      <x:c r="D1467" s="62"/>
      <x:c r="E1467" s="61"/>
      <x:c r="F1467" s="61"/>
      <x:c r="G1467" s="63"/>
      <x:c r="H1467" s="63">
        <x:f t="shared" si="99"/>
        <x:v>0</x:v>
      </x:c>
      <x:c r="I1467" s="64"/>
      <x:c r="J1467" s="63">
        <x:f t="shared" si="100"/>
        <x:v>0</x:v>
      </x:c>
      <x:c r="K1467" s="63" t="str">
        <x:f t="shared" si="102"/>
      </x:c>
      <x:c r="L1467" s="63">
        <x:f t="shared" si="101"/>
        <x:v>0</x:v>
      </x:c>
      <x:c r="M1467" s="61"/>
    </x:row>
    <x:row r="1468">
      <x:c r="A1468" s="61" t="str">
        <x:f>IF(E1468="","",MAX($A$6:A1467)+1)</x:f>
      </x:c>
      <x:c r="B1468" s="61"/>
      <x:c r="C1468" s="61"/>
      <x:c r="D1468" s="62"/>
      <x:c r="E1468" s="61"/>
      <x:c r="F1468" s="61"/>
      <x:c r="G1468" s="63"/>
      <x:c r="H1468" s="63">
        <x:f t="shared" si="99"/>
        <x:v>0</x:v>
      </x:c>
      <x:c r="I1468" s="64"/>
      <x:c r="J1468" s="63">
        <x:f t="shared" si="100"/>
        <x:v>0</x:v>
      </x:c>
      <x:c r="K1468" s="63" t="str">
        <x:f t="shared" si="102"/>
      </x:c>
      <x:c r="L1468" s="63">
        <x:f t="shared" si="101"/>
        <x:v>0</x:v>
      </x:c>
      <x:c r="M1468" s="61"/>
    </x:row>
    <x:row r="1469">
      <x:c r="A1469" s="61" t="str">
        <x:f>IF(E1469="","",MAX($A$6:A1468)+1)</x:f>
      </x:c>
      <x:c r="B1469" s="61"/>
      <x:c r="C1469" s="61"/>
      <x:c r="D1469" s="62"/>
      <x:c r="E1469" s="61"/>
      <x:c r="F1469" s="61"/>
      <x:c r="G1469" s="63"/>
      <x:c r="H1469" s="63">
        <x:f t="shared" si="99"/>
        <x:v>0</x:v>
      </x:c>
      <x:c r="I1469" s="64"/>
      <x:c r="J1469" s="63">
        <x:f t="shared" si="100"/>
        <x:v>0</x:v>
      </x:c>
      <x:c r="K1469" s="63" t="str">
        <x:f t="shared" si="102"/>
      </x:c>
      <x:c r="L1469" s="63">
        <x:f t="shared" si="101"/>
        <x:v>0</x:v>
      </x:c>
      <x:c r="M1469" s="61"/>
    </x:row>
    <x:row r="1470">
      <x:c r="A1470" s="61" t="str">
        <x:f>IF(E1470="","",MAX($A$6:A1469)+1)</x:f>
      </x:c>
      <x:c r="B1470" s="61"/>
      <x:c r="C1470" s="61"/>
      <x:c r="D1470" s="62"/>
      <x:c r="E1470" s="61"/>
      <x:c r="F1470" s="61"/>
      <x:c r="G1470" s="63"/>
      <x:c r="H1470" s="63">
        <x:f t="shared" si="99"/>
        <x:v>0</x:v>
      </x:c>
      <x:c r="I1470" s="64"/>
      <x:c r="J1470" s="63">
        <x:f t="shared" si="100"/>
        <x:v>0</x:v>
      </x:c>
      <x:c r="K1470" s="63" t="str">
        <x:f t="shared" si="102"/>
      </x:c>
      <x:c r="L1470" s="63">
        <x:f t="shared" si="101"/>
        <x:v>0</x:v>
      </x:c>
      <x:c r="M1470" s="61"/>
    </x:row>
    <x:row r="1471">
      <x:c r="A1471" s="61" t="str">
        <x:f>IF(E1471="","",MAX($A$6:A1470)+1)</x:f>
      </x:c>
      <x:c r="B1471" s="61"/>
      <x:c r="C1471" s="61"/>
      <x:c r="D1471" s="62"/>
      <x:c r="E1471" s="61"/>
      <x:c r="F1471" s="61"/>
      <x:c r="G1471" s="63"/>
      <x:c r="H1471" s="63">
        <x:f t="shared" si="99"/>
        <x:v>0</x:v>
      </x:c>
      <x:c r="I1471" s="64"/>
      <x:c r="J1471" s="63">
        <x:f t="shared" si="100"/>
        <x:v>0</x:v>
      </x:c>
      <x:c r="K1471" s="63" t="str">
        <x:f t="shared" si="102"/>
      </x:c>
      <x:c r="L1471" s="63">
        <x:f t="shared" si="101"/>
        <x:v>0</x:v>
      </x:c>
      <x:c r="M1471" s="61"/>
    </x:row>
    <x:row r="1472">
      <x:c r="A1472" s="61" t="str">
        <x:f>IF(E1472="","",MAX($A$6:A1471)+1)</x:f>
      </x:c>
      <x:c r="B1472" s="61"/>
      <x:c r="C1472" s="61"/>
      <x:c r="D1472" s="62"/>
      <x:c r="E1472" s="61"/>
      <x:c r="F1472" s="61"/>
      <x:c r="G1472" s="63"/>
      <x:c r="H1472" s="63">
        <x:f t="shared" si="99"/>
        <x:v>0</x:v>
      </x:c>
      <x:c r="I1472" s="64"/>
      <x:c r="J1472" s="63">
        <x:f t="shared" si="100"/>
        <x:v>0</x:v>
      </x:c>
      <x:c r="K1472" s="63" t="str">
        <x:f t="shared" si="102"/>
      </x:c>
      <x:c r="L1472" s="63">
        <x:f t="shared" si="101"/>
        <x:v>0</x:v>
      </x:c>
      <x:c r="M1472" s="61"/>
    </x:row>
    <x:row r="1473">
      <x:c r="A1473" s="61" t="str">
        <x:f>IF(E1473="","",MAX($A$6:A1472)+1)</x:f>
      </x:c>
      <x:c r="B1473" s="61"/>
      <x:c r="C1473" s="61"/>
      <x:c r="D1473" s="62"/>
      <x:c r="E1473" s="61"/>
      <x:c r="F1473" s="61"/>
      <x:c r="G1473" s="63"/>
      <x:c r="H1473" s="63">
        <x:f t="shared" si="99"/>
        <x:v>0</x:v>
      </x:c>
      <x:c r="I1473" s="64"/>
      <x:c r="J1473" s="63">
        <x:f t="shared" si="100"/>
        <x:v>0</x:v>
      </x:c>
      <x:c r="K1473" s="63" t="str">
        <x:f t="shared" si="102"/>
      </x:c>
      <x:c r="L1473" s="63">
        <x:f t="shared" si="101"/>
        <x:v>0</x:v>
      </x:c>
      <x:c r="M1473" s="61"/>
    </x:row>
    <x:row r="1474">
      <x:c r="A1474" s="61" t="str">
        <x:f>IF(E1474="","",MAX($A$6:A1473)+1)</x:f>
      </x:c>
      <x:c r="B1474" s="61"/>
      <x:c r="C1474" s="61"/>
      <x:c r="D1474" s="62"/>
      <x:c r="E1474" s="61"/>
      <x:c r="F1474" s="61"/>
      <x:c r="G1474" s="63"/>
      <x:c r="H1474" s="63">
        <x:f t="shared" si="99"/>
        <x:v>0</x:v>
      </x:c>
      <x:c r="I1474" s="64"/>
      <x:c r="J1474" s="63">
        <x:f t="shared" si="100"/>
        <x:v>0</x:v>
      </x:c>
      <x:c r="K1474" s="63" t="str">
        <x:f t="shared" si="102"/>
      </x:c>
      <x:c r="L1474" s="63">
        <x:f t="shared" si="101"/>
        <x:v>0</x:v>
      </x:c>
      <x:c r="M1474" s="61"/>
    </x:row>
    <x:row r="1475">
      <x:c r="A1475" s="61" t="str">
        <x:f>IF(E1475="","",MAX($A$6:A1474)+1)</x:f>
      </x:c>
      <x:c r="B1475" s="61"/>
      <x:c r="C1475" s="61"/>
      <x:c r="D1475" s="62"/>
      <x:c r="E1475" s="61"/>
      <x:c r="F1475" s="61"/>
      <x:c r="G1475" s="63"/>
      <x:c r="H1475" s="63">
        <x:f t="shared" si="99"/>
        <x:v>0</x:v>
      </x:c>
      <x:c r="I1475" s="64"/>
      <x:c r="J1475" s="63">
        <x:f t="shared" si="100"/>
        <x:v>0</x:v>
      </x:c>
      <x:c r="K1475" s="63" t="str">
        <x:f t="shared" si="102"/>
      </x:c>
      <x:c r="L1475" s="63">
        <x:f t="shared" si="101"/>
        <x:v>0</x:v>
      </x:c>
      <x:c r="M1475" s="61"/>
    </x:row>
    <x:row r="1476">
      <x:c r="A1476" s="61" t="str">
        <x:f>IF(E1476="","",MAX($A$6:A1475)+1)</x:f>
      </x:c>
      <x:c r="B1476" s="61"/>
      <x:c r="C1476" s="61"/>
      <x:c r="D1476" s="62"/>
      <x:c r="E1476" s="61"/>
      <x:c r="F1476" s="61"/>
      <x:c r="G1476" s="63"/>
      <x:c r="H1476" s="63">
        <x:f t="shared" si="99"/>
        <x:v>0</x:v>
      </x:c>
      <x:c r="I1476" s="64"/>
      <x:c r="J1476" s="63">
        <x:f t="shared" si="100"/>
        <x:v>0</x:v>
      </x:c>
      <x:c r="K1476" s="63" t="str">
        <x:f t="shared" si="102"/>
      </x:c>
      <x:c r="L1476" s="63">
        <x:f t="shared" si="101"/>
        <x:v>0</x:v>
      </x:c>
      <x:c r="M1476" s="61"/>
    </x:row>
    <x:row r="1477">
      <x:c r="A1477" s="61" t="str">
        <x:f>IF(E1477="","",MAX($A$6:A1476)+1)</x:f>
      </x:c>
      <x:c r="B1477" s="61"/>
      <x:c r="C1477" s="61"/>
      <x:c r="D1477" s="62"/>
      <x:c r="E1477" s="61"/>
      <x:c r="F1477" s="61"/>
      <x:c r="G1477" s="63"/>
      <x:c r="H1477" s="63">
        <x:f t="shared" si="99"/>
        <x:v>0</x:v>
      </x:c>
      <x:c r="I1477" s="64"/>
      <x:c r="J1477" s="63">
        <x:f t="shared" si="100"/>
        <x:v>0</x:v>
      </x:c>
      <x:c r="K1477" s="63" t="str">
        <x:f t="shared" si="102"/>
      </x:c>
      <x:c r="L1477" s="63">
        <x:f t="shared" si="101"/>
        <x:v>0</x:v>
      </x:c>
      <x:c r="M1477" s="61"/>
    </x:row>
    <x:row r="1478">
      <x:c r="A1478" s="61" t="str">
        <x:f>IF(E1478="","",MAX($A$6:A1477)+1)</x:f>
      </x:c>
      <x:c r="B1478" s="61"/>
      <x:c r="C1478" s="61"/>
      <x:c r="D1478" s="62"/>
      <x:c r="E1478" s="61"/>
      <x:c r="F1478" s="61"/>
      <x:c r="G1478" s="63"/>
      <x:c r="H1478" s="63" t="n">
        <x:f t="shared" ref="H1478:H1541" si="103">IFERROR(IF(OR($F$1="",D1478=""),0,MAX(0,$F$1-D1478)),0)</x:f>
        <x:v>0</x:v>
      </x:c>
      <x:c r="I1478" s="64"/>
      <x:c r="J1478" s="63" t="n">
        <x:f t="shared" ref="J1478:J1541" si="104">IFERROR(IF(OR(G1478="",I1478="",D1478="",$F$1=""),0,IF($F$1&lt;D1478,0,MIN(MAX(G1478-1,0),MAX(0,(G1478*I1478/365)*H1478)))),0)</x:f>
        <x:v>0</x:v>
      </x:c>
      <x:c r="K1478" s="63" t="str">
        <x:f t="shared" si="102"/>
      </x:c>
      <x:c r="L1478" s="63" t="n">
        <x:f t="shared" ref="L1478:L1541" si="105">IFERROR(IF(OR(G1478="",I1478="",D1478="",$F$1=""),0,IF($F$1&lt;D1478,0,IF(K1478&lt;=1,0,MIN(G1478*I1478/12,K1478-1)))),0)</x:f>
        <x:v>0</x:v>
      </x:c>
      <x:c r="M1478" s="61"/>
    </x:row>
    <x:row r="1479">
      <x:c r="A1479" s="61" t="str">
        <x:f>IF(E1479="","",MAX($A$6:A1478)+1)</x:f>
      </x:c>
      <x:c r="B1479" s="61"/>
      <x:c r="C1479" s="61"/>
      <x:c r="D1479" s="62"/>
      <x:c r="E1479" s="61"/>
      <x:c r="F1479" s="61"/>
      <x:c r="G1479" s="63"/>
      <x:c r="H1479" s="63">
        <x:f t="shared" si="103"/>
        <x:v>0</x:v>
      </x:c>
      <x:c r="I1479" s="64"/>
      <x:c r="J1479" s="63">
        <x:f t="shared" si="104"/>
        <x:v>0</x:v>
      </x:c>
      <x:c r="K1479" s="63" t="str">
        <x:f t="shared" si="102"/>
      </x:c>
      <x:c r="L1479" s="63">
        <x:f t="shared" si="105"/>
        <x:v>0</x:v>
      </x:c>
      <x:c r="M1479" s="61"/>
    </x:row>
    <x:row r="1480">
      <x:c r="A1480" s="61" t="str">
        <x:f>IF(E1480="","",MAX($A$6:A1479)+1)</x:f>
      </x:c>
      <x:c r="B1480" s="61"/>
      <x:c r="C1480" s="61"/>
      <x:c r="D1480" s="62"/>
      <x:c r="E1480" s="61"/>
      <x:c r="F1480" s="61"/>
      <x:c r="G1480" s="63"/>
      <x:c r="H1480" s="63">
        <x:f t="shared" si="103"/>
        <x:v>0</x:v>
      </x:c>
      <x:c r="I1480" s="64"/>
      <x:c r="J1480" s="63">
        <x:f t="shared" si="104"/>
        <x:v>0</x:v>
      </x:c>
      <x:c r="K1480" s="63" t="str">
        <x:f t="shared" si="102"/>
      </x:c>
      <x:c r="L1480" s="63">
        <x:f t="shared" si="105"/>
        <x:v>0</x:v>
      </x:c>
      <x:c r="M1480" s="61"/>
    </x:row>
    <x:row r="1481">
      <x:c r="A1481" s="61" t="str">
        <x:f>IF(E1481="","",MAX($A$6:A1480)+1)</x:f>
      </x:c>
      <x:c r="B1481" s="61"/>
      <x:c r="C1481" s="61"/>
      <x:c r="D1481" s="62"/>
      <x:c r="E1481" s="61"/>
      <x:c r="F1481" s="61"/>
      <x:c r="G1481" s="63"/>
      <x:c r="H1481" s="63">
        <x:f t="shared" si="103"/>
        <x:v>0</x:v>
      </x:c>
      <x:c r="I1481" s="64"/>
      <x:c r="J1481" s="63">
        <x:f t="shared" si="104"/>
        <x:v>0</x:v>
      </x:c>
      <x:c r="K1481" s="63" t="str">
        <x:f t="shared" si="102"/>
      </x:c>
      <x:c r="L1481" s="63">
        <x:f t="shared" si="105"/>
        <x:v>0</x:v>
      </x:c>
      <x:c r="M1481" s="61"/>
    </x:row>
    <x:row r="1482">
      <x:c r="A1482" s="61" t="str">
        <x:f>IF(E1482="","",MAX($A$6:A1481)+1)</x:f>
      </x:c>
      <x:c r="B1482" s="61"/>
      <x:c r="C1482" s="61"/>
      <x:c r="D1482" s="62"/>
      <x:c r="E1482" s="61"/>
      <x:c r="F1482" s="61"/>
      <x:c r="G1482" s="63"/>
      <x:c r="H1482" s="63">
        <x:f t="shared" si="103"/>
        <x:v>0</x:v>
      </x:c>
      <x:c r="I1482" s="64"/>
      <x:c r="J1482" s="63">
        <x:f t="shared" si="104"/>
        <x:v>0</x:v>
      </x:c>
      <x:c r="K1482" s="63" t="str">
        <x:f t="shared" si="102"/>
      </x:c>
      <x:c r="L1482" s="63">
        <x:f t="shared" si="105"/>
        <x:v>0</x:v>
      </x:c>
      <x:c r="M1482" s="61"/>
    </x:row>
    <x:row r="1483">
      <x:c r="A1483" s="61" t="str">
        <x:f>IF(E1483="","",MAX($A$6:A1482)+1)</x:f>
      </x:c>
      <x:c r="B1483" s="61"/>
      <x:c r="C1483" s="61"/>
      <x:c r="D1483" s="62"/>
      <x:c r="E1483" s="61"/>
      <x:c r="F1483" s="61"/>
      <x:c r="G1483" s="63"/>
      <x:c r="H1483" s="63">
        <x:f t="shared" si="103"/>
        <x:v>0</x:v>
      </x:c>
      <x:c r="I1483" s="64"/>
      <x:c r="J1483" s="63">
        <x:f t="shared" si="104"/>
        <x:v>0</x:v>
      </x:c>
      <x:c r="K1483" s="63" t="str">
        <x:f t="shared" si="102"/>
      </x:c>
      <x:c r="L1483" s="63">
        <x:f t="shared" si="105"/>
        <x:v>0</x:v>
      </x:c>
      <x:c r="M1483" s="61"/>
    </x:row>
    <x:row r="1484">
      <x:c r="A1484" s="61" t="str">
        <x:f>IF(E1484="","",MAX($A$6:A1483)+1)</x:f>
      </x:c>
      <x:c r="B1484" s="61"/>
      <x:c r="C1484" s="61"/>
      <x:c r="D1484" s="62"/>
      <x:c r="E1484" s="61"/>
      <x:c r="F1484" s="61"/>
      <x:c r="G1484" s="63"/>
      <x:c r="H1484" s="63">
        <x:f t="shared" si="103"/>
        <x:v>0</x:v>
      </x:c>
      <x:c r="I1484" s="64"/>
      <x:c r="J1484" s="63">
        <x:f t="shared" si="104"/>
        <x:v>0</x:v>
      </x:c>
      <x:c r="K1484" s="63" t="str">
        <x:f t="shared" si="102"/>
      </x:c>
      <x:c r="L1484" s="63">
        <x:f t="shared" si="105"/>
        <x:v>0</x:v>
      </x:c>
      <x:c r="M1484" s="61"/>
    </x:row>
    <x:row r="1485">
      <x:c r="A1485" s="61" t="str">
        <x:f>IF(E1485="","",MAX($A$6:A1484)+1)</x:f>
      </x:c>
      <x:c r="B1485" s="61"/>
      <x:c r="C1485" s="61"/>
      <x:c r="D1485" s="62"/>
      <x:c r="E1485" s="61"/>
      <x:c r="F1485" s="61"/>
      <x:c r="G1485" s="63"/>
      <x:c r="H1485" s="63">
        <x:f t="shared" si="103"/>
        <x:v>0</x:v>
      </x:c>
      <x:c r="I1485" s="64"/>
      <x:c r="J1485" s="63">
        <x:f t="shared" si="104"/>
        <x:v>0</x:v>
      </x:c>
      <x:c r="K1485" s="63" t="str">
        <x:f t="shared" si="102"/>
      </x:c>
      <x:c r="L1485" s="63">
        <x:f t="shared" si="105"/>
        <x:v>0</x:v>
      </x:c>
      <x:c r="M1485" s="61"/>
    </x:row>
    <x:row r="1486">
      <x:c r="A1486" s="61" t="str">
        <x:f>IF(E1486="","",MAX($A$6:A1485)+1)</x:f>
      </x:c>
      <x:c r="B1486" s="61"/>
      <x:c r="C1486" s="61"/>
      <x:c r="D1486" s="62"/>
      <x:c r="E1486" s="61"/>
      <x:c r="F1486" s="61"/>
      <x:c r="G1486" s="63"/>
      <x:c r="H1486" s="63">
        <x:f t="shared" si="103"/>
        <x:v>0</x:v>
      </x:c>
      <x:c r="I1486" s="64"/>
      <x:c r="J1486" s="63">
        <x:f t="shared" si="104"/>
        <x:v>0</x:v>
      </x:c>
      <x:c r="K1486" s="63" t="str">
        <x:f t="shared" si="102"/>
      </x:c>
      <x:c r="L1486" s="63">
        <x:f t="shared" si="105"/>
        <x:v>0</x:v>
      </x:c>
      <x:c r="M1486" s="61"/>
    </x:row>
    <x:row r="1487">
      <x:c r="A1487" s="61" t="str">
        <x:f>IF(E1487="","",MAX($A$6:A1486)+1)</x:f>
      </x:c>
      <x:c r="B1487" s="61"/>
      <x:c r="C1487" s="61"/>
      <x:c r="D1487" s="62"/>
      <x:c r="E1487" s="61"/>
      <x:c r="F1487" s="61"/>
      <x:c r="G1487" s="63"/>
      <x:c r="H1487" s="63">
        <x:f t="shared" si="103"/>
        <x:v>0</x:v>
      </x:c>
      <x:c r="I1487" s="64"/>
      <x:c r="J1487" s="63">
        <x:f t="shared" si="104"/>
        <x:v>0</x:v>
      </x:c>
      <x:c r="K1487" s="63" t="str">
        <x:f t="shared" si="102"/>
      </x:c>
      <x:c r="L1487" s="63">
        <x:f t="shared" si="105"/>
        <x:v>0</x:v>
      </x:c>
      <x:c r="M1487" s="61"/>
    </x:row>
    <x:row r="1488">
      <x:c r="A1488" s="61" t="str">
        <x:f>IF(E1488="","",MAX($A$6:A1487)+1)</x:f>
      </x:c>
      <x:c r="B1488" s="61"/>
      <x:c r="C1488" s="61"/>
      <x:c r="D1488" s="62"/>
      <x:c r="E1488" s="61"/>
      <x:c r="F1488" s="61"/>
      <x:c r="G1488" s="63"/>
      <x:c r="H1488" s="63">
        <x:f t="shared" si="103"/>
        <x:v>0</x:v>
      </x:c>
      <x:c r="I1488" s="64"/>
      <x:c r="J1488" s="63">
        <x:f t="shared" si="104"/>
        <x:v>0</x:v>
      </x:c>
      <x:c r="K1488" s="63" t="str">
        <x:f t="shared" si="102"/>
      </x:c>
      <x:c r="L1488" s="63">
        <x:f t="shared" si="105"/>
        <x:v>0</x:v>
      </x:c>
      <x:c r="M1488" s="61"/>
    </x:row>
    <x:row r="1489">
      <x:c r="A1489" s="61" t="str">
        <x:f>IF(E1489="","",MAX($A$6:A1488)+1)</x:f>
      </x:c>
      <x:c r="B1489" s="61"/>
      <x:c r="C1489" s="61"/>
      <x:c r="D1489" s="62"/>
      <x:c r="E1489" s="61"/>
      <x:c r="F1489" s="61"/>
      <x:c r="G1489" s="63"/>
      <x:c r="H1489" s="63">
        <x:f t="shared" si="103"/>
        <x:v>0</x:v>
      </x:c>
      <x:c r="I1489" s="64"/>
      <x:c r="J1489" s="63">
        <x:f t="shared" si="104"/>
        <x:v>0</x:v>
      </x:c>
      <x:c r="K1489" s="63" t="str">
        <x:f t="shared" si="102"/>
      </x:c>
      <x:c r="L1489" s="63">
        <x:f t="shared" si="105"/>
        <x:v>0</x:v>
      </x:c>
      <x:c r="M1489" s="61"/>
    </x:row>
    <x:row r="1490">
      <x:c r="A1490" s="61" t="str">
        <x:f>IF(E1490="","",MAX($A$6:A1489)+1)</x:f>
      </x:c>
      <x:c r="B1490" s="61"/>
      <x:c r="C1490" s="61"/>
      <x:c r="D1490" s="62"/>
      <x:c r="E1490" s="61"/>
      <x:c r="F1490" s="61"/>
      <x:c r="G1490" s="63"/>
      <x:c r="H1490" s="63">
        <x:f t="shared" si="103"/>
        <x:v>0</x:v>
      </x:c>
      <x:c r="I1490" s="64"/>
      <x:c r="J1490" s="63">
        <x:f t="shared" si="104"/>
        <x:v>0</x:v>
      </x:c>
      <x:c r="K1490" s="63" t="str">
        <x:f t="shared" si="102"/>
      </x:c>
      <x:c r="L1490" s="63">
        <x:f t="shared" si="105"/>
        <x:v>0</x:v>
      </x:c>
      <x:c r="M1490" s="61"/>
    </x:row>
    <x:row r="1491">
      <x:c r="A1491" s="61" t="str">
        <x:f>IF(E1491="","",MAX($A$6:A1490)+1)</x:f>
      </x:c>
      <x:c r="B1491" s="61"/>
      <x:c r="C1491" s="61"/>
      <x:c r="D1491" s="62"/>
      <x:c r="E1491" s="61"/>
      <x:c r="F1491" s="61"/>
      <x:c r="G1491" s="63"/>
      <x:c r="H1491" s="63">
        <x:f t="shared" si="103"/>
        <x:v>0</x:v>
      </x:c>
      <x:c r="I1491" s="64"/>
      <x:c r="J1491" s="63">
        <x:f t="shared" si="104"/>
        <x:v>0</x:v>
      </x:c>
      <x:c r="K1491" s="63" t="str">
        <x:f t="shared" si="102"/>
      </x:c>
      <x:c r="L1491" s="63">
        <x:f t="shared" si="105"/>
        <x:v>0</x:v>
      </x:c>
      <x:c r="M1491" s="61"/>
    </x:row>
    <x:row r="1492">
      <x:c r="A1492" s="61" t="str">
        <x:f>IF(E1492="","",MAX($A$6:A1491)+1)</x:f>
      </x:c>
      <x:c r="B1492" s="61"/>
      <x:c r="C1492" s="61"/>
      <x:c r="D1492" s="62"/>
      <x:c r="E1492" s="61"/>
      <x:c r="F1492" s="61"/>
      <x:c r="G1492" s="63"/>
      <x:c r="H1492" s="63">
        <x:f t="shared" si="103"/>
        <x:v>0</x:v>
      </x:c>
      <x:c r="I1492" s="64"/>
      <x:c r="J1492" s="63">
        <x:f t="shared" si="104"/>
        <x:v>0</x:v>
      </x:c>
      <x:c r="K1492" s="63" t="str">
        <x:f t="shared" si="102"/>
      </x:c>
      <x:c r="L1492" s="63">
        <x:f t="shared" si="105"/>
        <x:v>0</x:v>
      </x:c>
      <x:c r="M1492" s="61"/>
    </x:row>
    <x:row r="1493">
      <x:c r="A1493" s="61" t="str">
        <x:f>IF(E1493="","",MAX($A$6:A1492)+1)</x:f>
      </x:c>
      <x:c r="B1493" s="61"/>
      <x:c r="C1493" s="61"/>
      <x:c r="D1493" s="62"/>
      <x:c r="E1493" s="61"/>
      <x:c r="F1493" s="61"/>
      <x:c r="G1493" s="63"/>
      <x:c r="H1493" s="63">
        <x:f t="shared" si="103"/>
        <x:v>0</x:v>
      </x:c>
      <x:c r="I1493" s="64"/>
      <x:c r="J1493" s="63">
        <x:f t="shared" si="104"/>
        <x:v>0</x:v>
      </x:c>
      <x:c r="K1493" s="63" t="str">
        <x:f t="shared" si="102"/>
      </x:c>
      <x:c r="L1493" s="63">
        <x:f t="shared" si="105"/>
        <x:v>0</x:v>
      </x:c>
      <x:c r="M1493" s="61"/>
    </x:row>
    <x:row r="1494">
      <x:c r="A1494" s="61" t="str">
        <x:f>IF(E1494="","",MAX($A$6:A1493)+1)</x:f>
      </x:c>
      <x:c r="B1494" s="61"/>
      <x:c r="C1494" s="61"/>
      <x:c r="D1494" s="62"/>
      <x:c r="E1494" s="61"/>
      <x:c r="F1494" s="61"/>
      <x:c r="G1494" s="63"/>
      <x:c r="H1494" s="63">
        <x:f t="shared" si="103"/>
        <x:v>0</x:v>
      </x:c>
      <x:c r="I1494" s="64"/>
      <x:c r="J1494" s="63">
        <x:f t="shared" si="104"/>
        <x:v>0</x:v>
      </x:c>
      <x:c r="K1494" s="63" t="str">
        <x:f t="shared" si="102"/>
      </x:c>
      <x:c r="L1494" s="63">
        <x:f t="shared" si="105"/>
        <x:v>0</x:v>
      </x:c>
      <x:c r="M1494" s="61"/>
    </x:row>
    <x:row r="1495">
      <x:c r="A1495" s="61" t="str">
        <x:f>IF(E1495="","",MAX($A$6:A1494)+1)</x:f>
      </x:c>
      <x:c r="B1495" s="61"/>
      <x:c r="C1495" s="61"/>
      <x:c r="D1495" s="62"/>
      <x:c r="E1495" s="61"/>
      <x:c r="F1495" s="61"/>
      <x:c r="G1495" s="63"/>
      <x:c r="H1495" s="63">
        <x:f t="shared" si="103"/>
        <x:v>0</x:v>
      </x:c>
      <x:c r="I1495" s="64"/>
      <x:c r="J1495" s="63">
        <x:f t="shared" si="104"/>
        <x:v>0</x:v>
      </x:c>
      <x:c r="K1495" s="63" t="str">
        <x:f t="shared" si="102"/>
      </x:c>
      <x:c r="L1495" s="63">
        <x:f t="shared" si="105"/>
        <x:v>0</x:v>
      </x:c>
      <x:c r="M1495" s="61"/>
    </x:row>
    <x:row r="1496">
      <x:c r="A1496" s="61" t="str">
        <x:f>IF(E1496="","",MAX($A$6:A1495)+1)</x:f>
      </x:c>
      <x:c r="B1496" s="61"/>
      <x:c r="C1496" s="61"/>
      <x:c r="D1496" s="62"/>
      <x:c r="E1496" s="61"/>
      <x:c r="F1496" s="61"/>
      <x:c r="G1496" s="63"/>
      <x:c r="H1496" s="63">
        <x:f t="shared" si="103"/>
        <x:v>0</x:v>
      </x:c>
      <x:c r="I1496" s="64"/>
      <x:c r="J1496" s="63">
        <x:f t="shared" si="104"/>
        <x:v>0</x:v>
      </x:c>
      <x:c r="K1496" s="63" t="str">
        <x:f t="shared" si="102"/>
      </x:c>
      <x:c r="L1496" s="63">
        <x:f t="shared" si="105"/>
        <x:v>0</x:v>
      </x:c>
      <x:c r="M1496" s="61"/>
    </x:row>
    <x:row r="1497">
      <x:c r="A1497" s="61" t="str">
        <x:f>IF(E1497="","",MAX($A$6:A1496)+1)</x:f>
      </x:c>
      <x:c r="B1497" s="61"/>
      <x:c r="C1497" s="61"/>
      <x:c r="D1497" s="62"/>
      <x:c r="E1497" s="61"/>
      <x:c r="F1497" s="61"/>
      <x:c r="G1497" s="63"/>
      <x:c r="H1497" s="63">
        <x:f t="shared" si="103"/>
        <x:v>0</x:v>
      </x:c>
      <x:c r="I1497" s="64"/>
      <x:c r="J1497" s="63">
        <x:f t="shared" si="104"/>
        <x:v>0</x:v>
      </x:c>
      <x:c r="K1497" s="63" t="str">
        <x:f t="shared" si="102"/>
      </x:c>
      <x:c r="L1497" s="63">
        <x:f t="shared" si="105"/>
        <x:v>0</x:v>
      </x:c>
      <x:c r="M1497" s="61"/>
    </x:row>
    <x:row r="1498">
      <x:c r="A1498" s="61" t="str">
        <x:f>IF(E1498="","",MAX($A$6:A1497)+1)</x:f>
      </x:c>
      <x:c r="B1498" s="61"/>
      <x:c r="C1498" s="61"/>
      <x:c r="D1498" s="62"/>
      <x:c r="E1498" s="61"/>
      <x:c r="F1498" s="61"/>
      <x:c r="G1498" s="63"/>
      <x:c r="H1498" s="63">
        <x:f t="shared" si="103"/>
        <x:v>0</x:v>
      </x:c>
      <x:c r="I1498" s="64"/>
      <x:c r="J1498" s="63">
        <x:f t="shared" si="104"/>
        <x:v>0</x:v>
      </x:c>
      <x:c r="K1498" s="63" t="str">
        <x:f t="shared" si="102"/>
      </x:c>
      <x:c r="L1498" s="63">
        <x:f t="shared" si="105"/>
        <x:v>0</x:v>
      </x:c>
      <x:c r="M1498" s="61"/>
    </x:row>
    <x:row r="1499">
      <x:c r="A1499" s="61" t="str">
        <x:f>IF(E1499="","",MAX($A$6:A1498)+1)</x:f>
      </x:c>
      <x:c r="B1499" s="61"/>
      <x:c r="C1499" s="61"/>
      <x:c r="D1499" s="62"/>
      <x:c r="E1499" s="61"/>
      <x:c r="F1499" s="61"/>
      <x:c r="G1499" s="63"/>
      <x:c r="H1499" s="63">
        <x:f t="shared" si="103"/>
        <x:v>0</x:v>
      </x:c>
      <x:c r="I1499" s="64"/>
      <x:c r="J1499" s="63">
        <x:f t="shared" si="104"/>
        <x:v>0</x:v>
      </x:c>
      <x:c r="K1499" s="63" t="str">
        <x:f t="shared" si="102"/>
      </x:c>
      <x:c r="L1499" s="63">
        <x:f t="shared" si="105"/>
        <x:v>0</x:v>
      </x:c>
      <x:c r="M1499" s="61"/>
    </x:row>
    <x:row r="1500">
      <x:c r="A1500" s="61" t="str">
        <x:f>IF(E1500="","",MAX($A$6:A1499)+1)</x:f>
      </x:c>
      <x:c r="B1500" s="61"/>
      <x:c r="C1500" s="61"/>
      <x:c r="D1500" s="62"/>
      <x:c r="E1500" s="61"/>
      <x:c r="F1500" s="61"/>
      <x:c r="G1500" s="63"/>
      <x:c r="H1500" s="63">
        <x:f t="shared" si="103"/>
        <x:v>0</x:v>
      </x:c>
      <x:c r="I1500" s="64"/>
      <x:c r="J1500" s="63">
        <x:f t="shared" si="104"/>
        <x:v>0</x:v>
      </x:c>
      <x:c r="K1500" s="63" t="str">
        <x:f t="shared" si="102"/>
      </x:c>
      <x:c r="L1500" s="63">
        <x:f t="shared" si="105"/>
        <x:v>0</x:v>
      </x:c>
      <x:c r="M1500" s="61"/>
    </x:row>
    <x:row r="1501">
      <x:c r="A1501" s="61" t="str">
        <x:f>IF(E1501="","",MAX($A$6:A1500)+1)</x:f>
      </x:c>
      <x:c r="B1501" s="61"/>
      <x:c r="C1501" s="61"/>
      <x:c r="D1501" s="62"/>
      <x:c r="E1501" s="61"/>
      <x:c r="F1501" s="61"/>
      <x:c r="G1501" s="63"/>
      <x:c r="H1501" s="63">
        <x:f t="shared" si="103"/>
        <x:v>0</x:v>
      </x:c>
      <x:c r="I1501" s="64"/>
      <x:c r="J1501" s="63">
        <x:f t="shared" si="104"/>
        <x:v>0</x:v>
      </x:c>
      <x:c r="K1501" s="63" t="str">
        <x:f t="shared" si="102"/>
      </x:c>
      <x:c r="L1501" s="63">
        <x:f t="shared" si="105"/>
        <x:v>0</x:v>
      </x:c>
      <x:c r="M1501" s="61"/>
    </x:row>
    <x:row r="1502">
      <x:c r="A1502" s="61" t="str">
        <x:f>IF(E1502="","",MAX($A$6:A1501)+1)</x:f>
      </x:c>
      <x:c r="B1502" s="61"/>
      <x:c r="C1502" s="61"/>
      <x:c r="D1502" s="62"/>
      <x:c r="E1502" s="61"/>
      <x:c r="F1502" s="61"/>
      <x:c r="G1502" s="63"/>
      <x:c r="H1502" s="63">
        <x:f t="shared" si="103"/>
        <x:v>0</x:v>
      </x:c>
      <x:c r="I1502" s="64"/>
      <x:c r="J1502" s="63">
        <x:f t="shared" si="104"/>
        <x:v>0</x:v>
      </x:c>
      <x:c r="K1502" s="63" t="str">
        <x:f t="shared" si="102"/>
      </x:c>
      <x:c r="L1502" s="63">
        <x:f t="shared" si="105"/>
        <x:v>0</x:v>
      </x:c>
      <x:c r="M1502" s="61"/>
    </x:row>
    <x:row r="1503">
      <x:c r="A1503" s="61" t="str">
        <x:f>IF(E1503="","",MAX($A$6:A1502)+1)</x:f>
      </x:c>
      <x:c r="B1503" s="61"/>
      <x:c r="C1503" s="61"/>
      <x:c r="D1503" s="62"/>
      <x:c r="E1503" s="61"/>
      <x:c r="F1503" s="61"/>
      <x:c r="G1503" s="63"/>
      <x:c r="H1503" s="63">
        <x:f t="shared" si="103"/>
        <x:v>0</x:v>
      </x:c>
      <x:c r="I1503" s="64"/>
      <x:c r="J1503" s="63">
        <x:f t="shared" si="104"/>
        <x:v>0</x:v>
      </x:c>
      <x:c r="K1503" s="63" t="str">
        <x:f t="shared" si="102"/>
      </x:c>
      <x:c r="L1503" s="63">
        <x:f t="shared" si="105"/>
        <x:v>0</x:v>
      </x:c>
      <x:c r="M1503" s="61"/>
    </x:row>
    <x:row r="1504">
      <x:c r="A1504" s="61" t="str">
        <x:f>IF(E1504="","",MAX($A$6:A1503)+1)</x:f>
      </x:c>
      <x:c r="B1504" s="61"/>
      <x:c r="C1504" s="61"/>
      <x:c r="D1504" s="62"/>
      <x:c r="E1504" s="61"/>
      <x:c r="F1504" s="61"/>
      <x:c r="G1504" s="63"/>
      <x:c r="H1504" s="63">
        <x:f t="shared" si="103"/>
        <x:v>0</x:v>
      </x:c>
      <x:c r="I1504" s="64"/>
      <x:c r="J1504" s="63">
        <x:f t="shared" si="104"/>
        <x:v>0</x:v>
      </x:c>
      <x:c r="K1504" s="63" t="str">
        <x:f t="shared" si="102"/>
      </x:c>
      <x:c r="L1504" s="63">
        <x:f t="shared" si="105"/>
        <x:v>0</x:v>
      </x:c>
      <x:c r="M1504" s="61"/>
    </x:row>
    <x:row r="1505">
      <x:c r="A1505" s="61" t="str">
        <x:f>IF(E1505="","",MAX($A$6:A1504)+1)</x:f>
      </x:c>
      <x:c r="B1505" s="61"/>
      <x:c r="C1505" s="61"/>
      <x:c r="D1505" s="62"/>
      <x:c r="E1505" s="61"/>
      <x:c r="F1505" s="61"/>
      <x:c r="G1505" s="63"/>
      <x:c r="H1505" s="63">
        <x:f t="shared" si="103"/>
        <x:v>0</x:v>
      </x:c>
      <x:c r="I1505" s="64"/>
      <x:c r="J1505" s="63">
        <x:f t="shared" si="104"/>
        <x:v>0</x:v>
      </x:c>
      <x:c r="K1505" s="63" t="str">
        <x:f t="shared" si="102"/>
      </x:c>
      <x:c r="L1505" s="63">
        <x:f t="shared" si="105"/>
        <x:v>0</x:v>
      </x:c>
      <x:c r="M1505" s="61"/>
    </x:row>
    <x:row r="1506">
      <x:c r="A1506" s="61" t="str">
        <x:f>IF(E1506="","",MAX($A$6:A1505)+1)</x:f>
      </x:c>
      <x:c r="B1506" s="61"/>
      <x:c r="C1506" s="61"/>
      <x:c r="D1506" s="62"/>
      <x:c r="E1506" s="61"/>
      <x:c r="F1506" s="61"/>
      <x:c r="G1506" s="63"/>
      <x:c r="H1506" s="63">
        <x:f t="shared" si="103"/>
        <x:v>0</x:v>
      </x:c>
      <x:c r="I1506" s="64"/>
      <x:c r="J1506" s="63">
        <x:f t="shared" si="104"/>
        <x:v>0</x:v>
      </x:c>
      <x:c r="K1506" s="63" t="str">
        <x:f t="shared" si="102"/>
      </x:c>
      <x:c r="L1506" s="63">
        <x:f t="shared" si="105"/>
        <x:v>0</x:v>
      </x:c>
      <x:c r="M1506" s="61"/>
    </x:row>
    <x:row r="1507">
      <x:c r="A1507" s="61" t="str">
        <x:f>IF(E1507="","",MAX($A$6:A1506)+1)</x:f>
      </x:c>
      <x:c r="B1507" s="61"/>
      <x:c r="C1507" s="61"/>
      <x:c r="D1507" s="62"/>
      <x:c r="E1507" s="61"/>
      <x:c r="F1507" s="61"/>
      <x:c r="G1507" s="63"/>
      <x:c r="H1507" s="63">
        <x:f t="shared" si="103"/>
        <x:v>0</x:v>
      </x:c>
      <x:c r="I1507" s="64"/>
      <x:c r="J1507" s="63">
        <x:f t="shared" si="104"/>
        <x:v>0</x:v>
      </x:c>
      <x:c r="K1507" s="63" t="str">
        <x:f t="shared" si="102"/>
      </x:c>
      <x:c r="L1507" s="63">
        <x:f t="shared" si="105"/>
        <x:v>0</x:v>
      </x:c>
      <x:c r="M1507" s="61"/>
    </x:row>
    <x:row r="1508">
      <x:c r="A1508" s="61" t="str">
        <x:f>IF(E1508="","",MAX($A$6:A1507)+1)</x:f>
      </x:c>
      <x:c r="B1508" s="61"/>
      <x:c r="C1508" s="61"/>
      <x:c r="D1508" s="62"/>
      <x:c r="E1508" s="61"/>
      <x:c r="F1508" s="61"/>
      <x:c r="G1508" s="63"/>
      <x:c r="H1508" s="63">
        <x:f t="shared" si="103"/>
        <x:v>0</x:v>
      </x:c>
      <x:c r="I1508" s="64"/>
      <x:c r="J1508" s="63">
        <x:f t="shared" si="104"/>
        <x:v>0</x:v>
      </x:c>
      <x:c r="K1508" s="63" t="str">
        <x:f t="shared" si="102"/>
      </x:c>
      <x:c r="L1508" s="63">
        <x:f t="shared" si="105"/>
        <x:v>0</x:v>
      </x:c>
      <x:c r="M1508" s="61"/>
    </x:row>
    <x:row r="1509">
      <x:c r="A1509" s="61" t="str">
        <x:f>IF(E1509="","",MAX($A$6:A1508)+1)</x:f>
      </x:c>
      <x:c r="B1509" s="61"/>
      <x:c r="C1509" s="61"/>
      <x:c r="D1509" s="62"/>
      <x:c r="E1509" s="61"/>
      <x:c r="F1509" s="61"/>
      <x:c r="G1509" s="63"/>
      <x:c r="H1509" s="63">
        <x:f t="shared" si="103"/>
        <x:v>0</x:v>
      </x:c>
      <x:c r="I1509" s="64"/>
      <x:c r="J1509" s="63">
        <x:f t="shared" si="104"/>
        <x:v>0</x:v>
      </x:c>
      <x:c r="K1509" s="63" t="str">
        <x:f t="shared" si="102"/>
      </x:c>
      <x:c r="L1509" s="63">
        <x:f t="shared" si="105"/>
        <x:v>0</x:v>
      </x:c>
      <x:c r="M1509" s="61"/>
    </x:row>
    <x:row r="1510">
      <x:c r="A1510" s="61" t="str">
        <x:f>IF(E1510="","",MAX($A$6:A1509)+1)</x:f>
      </x:c>
      <x:c r="B1510" s="61"/>
      <x:c r="C1510" s="61"/>
      <x:c r="D1510" s="62"/>
      <x:c r="E1510" s="61"/>
      <x:c r="F1510" s="61"/>
      <x:c r="G1510" s="63"/>
      <x:c r="H1510" s="63">
        <x:f t="shared" si="103"/>
        <x:v>0</x:v>
      </x:c>
      <x:c r="I1510" s="64"/>
      <x:c r="J1510" s="63">
        <x:f t="shared" si="104"/>
        <x:v>0</x:v>
      </x:c>
      <x:c r="K1510" s="63" t="str">
        <x:f t="shared" si="102"/>
      </x:c>
      <x:c r="L1510" s="63">
        <x:f t="shared" si="105"/>
        <x:v>0</x:v>
      </x:c>
      <x:c r="M1510" s="61"/>
    </x:row>
    <x:row r="1511">
      <x:c r="A1511" s="61" t="str">
        <x:f>IF(E1511="","",MAX($A$6:A1510)+1)</x:f>
      </x:c>
      <x:c r="B1511" s="61"/>
      <x:c r="C1511" s="61"/>
      <x:c r="D1511" s="62"/>
      <x:c r="E1511" s="61"/>
      <x:c r="F1511" s="61"/>
      <x:c r="G1511" s="63"/>
      <x:c r="H1511" s="63">
        <x:f t="shared" si="103"/>
        <x:v>0</x:v>
      </x:c>
      <x:c r="I1511" s="64"/>
      <x:c r="J1511" s="63">
        <x:f t="shared" si="104"/>
        <x:v>0</x:v>
      </x:c>
      <x:c r="K1511" s="63" t="str">
        <x:f t="shared" si="102"/>
      </x:c>
      <x:c r="L1511" s="63">
        <x:f t="shared" si="105"/>
        <x:v>0</x:v>
      </x:c>
      <x:c r="M1511" s="61"/>
    </x:row>
    <x:row r="1512">
      <x:c r="A1512" s="61" t="str">
        <x:f>IF(E1512="","",MAX($A$6:A1511)+1)</x:f>
      </x:c>
      <x:c r="B1512" s="61"/>
      <x:c r="C1512" s="61"/>
      <x:c r="D1512" s="62"/>
      <x:c r="E1512" s="61"/>
      <x:c r="F1512" s="61"/>
      <x:c r="G1512" s="63"/>
      <x:c r="H1512" s="63">
        <x:f t="shared" si="103"/>
        <x:v>0</x:v>
      </x:c>
      <x:c r="I1512" s="64"/>
      <x:c r="J1512" s="63">
        <x:f t="shared" si="104"/>
        <x:v>0</x:v>
      </x:c>
      <x:c r="K1512" s="63" t="str">
        <x:f t="shared" si="102"/>
      </x:c>
      <x:c r="L1512" s="63">
        <x:f t="shared" si="105"/>
        <x:v>0</x:v>
      </x:c>
      <x:c r="M1512" s="61"/>
    </x:row>
    <x:row r="1513">
      <x:c r="A1513" s="61" t="str">
        <x:f>IF(E1513="","",MAX($A$6:A1512)+1)</x:f>
      </x:c>
      <x:c r="B1513" s="61"/>
      <x:c r="C1513" s="61"/>
      <x:c r="D1513" s="62"/>
      <x:c r="E1513" s="61"/>
      <x:c r="F1513" s="61"/>
      <x:c r="G1513" s="63"/>
      <x:c r="H1513" s="63">
        <x:f t="shared" si="103"/>
        <x:v>0</x:v>
      </x:c>
      <x:c r="I1513" s="64"/>
      <x:c r="J1513" s="63">
        <x:f t="shared" si="104"/>
        <x:v>0</x:v>
      </x:c>
      <x:c r="K1513" s="63" t="str">
        <x:f t="shared" si="102"/>
      </x:c>
      <x:c r="L1513" s="63">
        <x:f t="shared" si="105"/>
        <x:v>0</x:v>
      </x:c>
      <x:c r="M1513" s="61"/>
    </x:row>
    <x:row r="1514">
      <x:c r="A1514" s="61" t="str">
        <x:f>IF(E1514="","",MAX($A$6:A1513)+1)</x:f>
      </x:c>
      <x:c r="B1514" s="61"/>
      <x:c r="C1514" s="61"/>
      <x:c r="D1514" s="62"/>
      <x:c r="E1514" s="61"/>
      <x:c r="F1514" s="61"/>
      <x:c r="G1514" s="63"/>
      <x:c r="H1514" s="63">
        <x:f t="shared" si="103"/>
        <x:v>0</x:v>
      </x:c>
      <x:c r="I1514" s="64"/>
      <x:c r="J1514" s="63">
        <x:f t="shared" si="104"/>
        <x:v>0</x:v>
      </x:c>
      <x:c r="K1514" s="63" t="str">
        <x:f t="shared" si="102"/>
      </x:c>
      <x:c r="L1514" s="63">
        <x:f t="shared" si="105"/>
        <x:v>0</x:v>
      </x:c>
      <x:c r="M1514" s="61"/>
    </x:row>
    <x:row r="1515">
      <x:c r="A1515" s="61" t="str">
        <x:f>IF(E1515="","",MAX($A$6:A1514)+1)</x:f>
      </x:c>
      <x:c r="B1515" s="61"/>
      <x:c r="C1515" s="61"/>
      <x:c r="D1515" s="62"/>
      <x:c r="E1515" s="61"/>
      <x:c r="F1515" s="61"/>
      <x:c r="G1515" s="63"/>
      <x:c r="H1515" s="63">
        <x:f t="shared" si="103"/>
        <x:v>0</x:v>
      </x:c>
      <x:c r="I1515" s="64"/>
      <x:c r="J1515" s="63">
        <x:f t="shared" si="104"/>
        <x:v>0</x:v>
      </x:c>
      <x:c r="K1515" s="63" t="str">
        <x:f t="shared" si="102"/>
      </x:c>
      <x:c r="L1515" s="63">
        <x:f t="shared" si="105"/>
        <x:v>0</x:v>
      </x:c>
      <x:c r="M1515" s="61"/>
    </x:row>
    <x:row r="1516">
      <x:c r="A1516" s="61" t="str">
        <x:f>IF(E1516="","",MAX($A$6:A1515)+1)</x:f>
      </x:c>
      <x:c r="B1516" s="61"/>
      <x:c r="C1516" s="61"/>
      <x:c r="D1516" s="62"/>
      <x:c r="E1516" s="61"/>
      <x:c r="F1516" s="61"/>
      <x:c r="G1516" s="63"/>
      <x:c r="H1516" s="63">
        <x:f t="shared" si="103"/>
        <x:v>0</x:v>
      </x:c>
      <x:c r="I1516" s="64"/>
      <x:c r="J1516" s="63">
        <x:f t="shared" si="104"/>
        <x:v>0</x:v>
      </x:c>
      <x:c r="K1516" s="63" t="str">
        <x:f t="shared" si="102"/>
      </x:c>
      <x:c r="L1516" s="63">
        <x:f t="shared" si="105"/>
        <x:v>0</x:v>
      </x:c>
      <x:c r="M1516" s="61"/>
    </x:row>
    <x:row r="1517">
      <x:c r="A1517" s="61" t="str">
        <x:f>IF(E1517="","",MAX($A$6:A1516)+1)</x:f>
      </x:c>
      <x:c r="B1517" s="61"/>
      <x:c r="C1517" s="61"/>
      <x:c r="D1517" s="62"/>
      <x:c r="E1517" s="61"/>
      <x:c r="F1517" s="61"/>
      <x:c r="G1517" s="63"/>
      <x:c r="H1517" s="63">
        <x:f t="shared" si="103"/>
        <x:v>0</x:v>
      </x:c>
      <x:c r="I1517" s="64"/>
      <x:c r="J1517" s="63">
        <x:f t="shared" si="104"/>
        <x:v>0</x:v>
      </x:c>
      <x:c r="K1517" s="63" t="str">
        <x:f t="shared" si="102"/>
      </x:c>
      <x:c r="L1517" s="63">
        <x:f t="shared" si="105"/>
        <x:v>0</x:v>
      </x:c>
      <x:c r="M1517" s="61"/>
    </x:row>
    <x:row r="1518">
      <x:c r="A1518" s="61" t="str">
        <x:f>IF(E1518="","",MAX($A$6:A1517)+1)</x:f>
      </x:c>
      <x:c r="B1518" s="61"/>
      <x:c r="C1518" s="61"/>
      <x:c r="D1518" s="62"/>
      <x:c r="E1518" s="61"/>
      <x:c r="F1518" s="61"/>
      <x:c r="G1518" s="63"/>
      <x:c r="H1518" s="63">
        <x:f t="shared" si="103"/>
        <x:v>0</x:v>
      </x:c>
      <x:c r="I1518" s="64"/>
      <x:c r="J1518" s="63">
        <x:f t="shared" si="104"/>
        <x:v>0</x:v>
      </x:c>
      <x:c r="K1518" s="63" t="str">
        <x:f t="shared" si="102"/>
      </x:c>
      <x:c r="L1518" s="63">
        <x:f t="shared" si="105"/>
        <x:v>0</x:v>
      </x:c>
      <x:c r="M1518" s="61"/>
    </x:row>
    <x:row r="1519">
      <x:c r="A1519" s="61" t="str">
        <x:f>IF(E1519="","",MAX($A$6:A1518)+1)</x:f>
      </x:c>
      <x:c r="B1519" s="61"/>
      <x:c r="C1519" s="61"/>
      <x:c r="D1519" s="62"/>
      <x:c r="E1519" s="61"/>
      <x:c r="F1519" s="61"/>
      <x:c r="G1519" s="63"/>
      <x:c r="H1519" s="63">
        <x:f t="shared" si="103"/>
        <x:v>0</x:v>
      </x:c>
      <x:c r="I1519" s="64"/>
      <x:c r="J1519" s="63">
        <x:f t="shared" si="104"/>
        <x:v>0</x:v>
      </x:c>
      <x:c r="K1519" s="63" t="str">
        <x:f t="shared" si="102"/>
      </x:c>
      <x:c r="L1519" s="63">
        <x:f t="shared" si="105"/>
        <x:v>0</x:v>
      </x:c>
      <x:c r="M1519" s="61"/>
    </x:row>
    <x:row r="1520">
      <x:c r="A1520" s="61" t="str">
        <x:f>IF(E1520="","",MAX($A$6:A1519)+1)</x:f>
      </x:c>
      <x:c r="B1520" s="61"/>
      <x:c r="C1520" s="61"/>
      <x:c r="D1520" s="62"/>
      <x:c r="E1520" s="61"/>
      <x:c r="F1520" s="61"/>
      <x:c r="G1520" s="63"/>
      <x:c r="H1520" s="63">
        <x:f t="shared" si="103"/>
        <x:v>0</x:v>
      </x:c>
      <x:c r="I1520" s="64"/>
      <x:c r="J1520" s="63">
        <x:f t="shared" si="104"/>
        <x:v>0</x:v>
      </x:c>
      <x:c r="K1520" s="63" t="str">
        <x:f t="shared" si="102"/>
      </x:c>
      <x:c r="L1520" s="63">
        <x:f t="shared" si="105"/>
        <x:v>0</x:v>
      </x:c>
      <x:c r="M1520" s="61"/>
    </x:row>
    <x:row r="1521">
      <x:c r="A1521" s="61" t="str">
        <x:f>IF(E1521="","",MAX($A$6:A1520)+1)</x:f>
      </x:c>
      <x:c r="B1521" s="61"/>
      <x:c r="C1521" s="61"/>
      <x:c r="D1521" s="62"/>
      <x:c r="E1521" s="61"/>
      <x:c r="F1521" s="61"/>
      <x:c r="G1521" s="63"/>
      <x:c r="H1521" s="63">
        <x:f t="shared" si="103"/>
        <x:v>0</x:v>
      </x:c>
      <x:c r="I1521" s="64"/>
      <x:c r="J1521" s="63">
        <x:f t="shared" si="104"/>
        <x:v>0</x:v>
      </x:c>
      <x:c r="K1521" s="63" t="str">
        <x:f t="shared" si="102"/>
      </x:c>
      <x:c r="L1521" s="63">
        <x:f t="shared" si="105"/>
        <x:v>0</x:v>
      </x:c>
      <x:c r="M1521" s="61"/>
    </x:row>
    <x:row r="1522">
      <x:c r="A1522" s="61" t="str">
        <x:f>IF(E1522="","",MAX($A$6:A1521)+1)</x:f>
      </x:c>
      <x:c r="B1522" s="61"/>
      <x:c r="C1522" s="61"/>
      <x:c r="D1522" s="62"/>
      <x:c r="E1522" s="61"/>
      <x:c r="F1522" s="61"/>
      <x:c r="G1522" s="63"/>
      <x:c r="H1522" s="63">
        <x:f t="shared" si="103"/>
        <x:v>0</x:v>
      </x:c>
      <x:c r="I1522" s="64"/>
      <x:c r="J1522" s="63">
        <x:f t="shared" si="104"/>
        <x:v>0</x:v>
      </x:c>
      <x:c r="K1522" s="63" t="str">
        <x:f t="shared" si="102"/>
      </x:c>
      <x:c r="L1522" s="63">
        <x:f t="shared" si="105"/>
        <x:v>0</x:v>
      </x:c>
      <x:c r="M1522" s="61"/>
    </x:row>
    <x:row r="1523">
      <x:c r="A1523" s="61" t="str">
        <x:f>IF(E1523="","",MAX($A$6:A1522)+1)</x:f>
      </x:c>
      <x:c r="B1523" s="61"/>
      <x:c r="C1523" s="61"/>
      <x:c r="D1523" s="62"/>
      <x:c r="E1523" s="61"/>
      <x:c r="F1523" s="61"/>
      <x:c r="G1523" s="63"/>
      <x:c r="H1523" s="63">
        <x:f t="shared" si="103"/>
        <x:v>0</x:v>
      </x:c>
      <x:c r="I1523" s="64"/>
      <x:c r="J1523" s="63">
        <x:f t="shared" si="104"/>
        <x:v>0</x:v>
      </x:c>
      <x:c r="K1523" s="63" t="str">
        <x:f t="shared" si="102"/>
      </x:c>
      <x:c r="L1523" s="63">
        <x:f t="shared" si="105"/>
        <x:v>0</x:v>
      </x:c>
      <x:c r="M1523" s="61"/>
    </x:row>
    <x:row r="1524">
      <x:c r="A1524" s="61" t="str">
        <x:f>IF(E1524="","",MAX($A$6:A1523)+1)</x:f>
      </x:c>
      <x:c r="B1524" s="61"/>
      <x:c r="C1524" s="61"/>
      <x:c r="D1524" s="62"/>
      <x:c r="E1524" s="61"/>
      <x:c r="F1524" s="61"/>
      <x:c r="G1524" s="63"/>
      <x:c r="H1524" s="63">
        <x:f t="shared" si="103"/>
        <x:v>0</x:v>
      </x:c>
      <x:c r="I1524" s="64"/>
      <x:c r="J1524" s="63">
        <x:f t="shared" si="104"/>
        <x:v>0</x:v>
      </x:c>
      <x:c r="K1524" s="63" t="str">
        <x:f t="shared" si="102"/>
      </x:c>
      <x:c r="L1524" s="63">
        <x:f t="shared" si="105"/>
        <x:v>0</x:v>
      </x:c>
      <x:c r="M1524" s="61"/>
    </x:row>
    <x:row r="1525">
      <x:c r="A1525" s="61" t="str">
        <x:f>IF(E1525="","",MAX($A$6:A1524)+1)</x:f>
      </x:c>
      <x:c r="B1525" s="61"/>
      <x:c r="C1525" s="61"/>
      <x:c r="D1525" s="62"/>
      <x:c r="E1525" s="61"/>
      <x:c r="F1525" s="61"/>
      <x:c r="G1525" s="63"/>
      <x:c r="H1525" s="63">
        <x:f t="shared" si="103"/>
        <x:v>0</x:v>
      </x:c>
      <x:c r="I1525" s="64"/>
      <x:c r="J1525" s="63">
        <x:f t="shared" si="104"/>
        <x:v>0</x:v>
      </x:c>
      <x:c r="K1525" s="63" t="str">
        <x:f t="shared" si="102"/>
      </x:c>
      <x:c r="L1525" s="63">
        <x:f t="shared" si="105"/>
        <x:v>0</x:v>
      </x:c>
      <x:c r="M1525" s="61"/>
    </x:row>
    <x:row r="1526">
      <x:c r="A1526" s="61" t="str">
        <x:f>IF(E1526="","",MAX($A$6:A1525)+1)</x:f>
      </x:c>
      <x:c r="B1526" s="61"/>
      <x:c r="C1526" s="61"/>
      <x:c r="D1526" s="62"/>
      <x:c r="E1526" s="61"/>
      <x:c r="F1526" s="61"/>
      <x:c r="G1526" s="63"/>
      <x:c r="H1526" s="63">
        <x:f t="shared" si="103"/>
        <x:v>0</x:v>
      </x:c>
      <x:c r="I1526" s="64"/>
      <x:c r="J1526" s="63">
        <x:f t="shared" si="104"/>
        <x:v>0</x:v>
      </x:c>
      <x:c r="K1526" s="63" t="str">
        <x:f t="shared" ref="K1526:K1589" si="106">IFERROR(IF(G1526="","",MAX(1,G1526-J1526)),0)</x:f>
      </x:c>
      <x:c r="L1526" s="63">
        <x:f t="shared" si="105"/>
        <x:v>0</x:v>
      </x:c>
      <x:c r="M1526" s="61"/>
    </x:row>
    <x:row r="1527">
      <x:c r="A1527" s="61" t="str">
        <x:f>IF(E1527="","",MAX($A$6:A1526)+1)</x:f>
      </x:c>
      <x:c r="B1527" s="61"/>
      <x:c r="C1527" s="61"/>
      <x:c r="D1527" s="62"/>
      <x:c r="E1527" s="61"/>
      <x:c r="F1527" s="61"/>
      <x:c r="G1527" s="63"/>
      <x:c r="H1527" s="63">
        <x:f t="shared" si="103"/>
        <x:v>0</x:v>
      </x:c>
      <x:c r="I1527" s="64"/>
      <x:c r="J1527" s="63">
        <x:f t="shared" si="104"/>
        <x:v>0</x:v>
      </x:c>
      <x:c r="K1527" s="63" t="str">
        <x:f t="shared" si="106"/>
      </x:c>
      <x:c r="L1527" s="63">
        <x:f t="shared" si="105"/>
        <x:v>0</x:v>
      </x:c>
      <x:c r="M1527" s="61"/>
    </x:row>
    <x:row r="1528">
      <x:c r="A1528" s="61" t="str">
        <x:f>IF(E1528="","",MAX($A$6:A1527)+1)</x:f>
      </x:c>
      <x:c r="B1528" s="61"/>
      <x:c r="C1528" s="61"/>
      <x:c r="D1528" s="62"/>
      <x:c r="E1528" s="61"/>
      <x:c r="F1528" s="61"/>
      <x:c r="G1528" s="63"/>
      <x:c r="H1528" s="63">
        <x:f t="shared" si="103"/>
        <x:v>0</x:v>
      </x:c>
      <x:c r="I1528" s="64"/>
      <x:c r="J1528" s="63">
        <x:f t="shared" si="104"/>
        <x:v>0</x:v>
      </x:c>
      <x:c r="K1528" s="63" t="str">
        <x:f t="shared" si="106"/>
      </x:c>
      <x:c r="L1528" s="63">
        <x:f t="shared" si="105"/>
        <x:v>0</x:v>
      </x:c>
      <x:c r="M1528" s="61"/>
    </x:row>
    <x:row r="1529">
      <x:c r="A1529" s="61" t="str">
        <x:f>IF(E1529="","",MAX($A$6:A1528)+1)</x:f>
      </x:c>
      <x:c r="B1529" s="61"/>
      <x:c r="C1529" s="61"/>
      <x:c r="D1529" s="62"/>
      <x:c r="E1529" s="61"/>
      <x:c r="F1529" s="61"/>
      <x:c r="G1529" s="63"/>
      <x:c r="H1529" s="63">
        <x:f t="shared" si="103"/>
        <x:v>0</x:v>
      </x:c>
      <x:c r="I1529" s="64"/>
      <x:c r="J1529" s="63">
        <x:f t="shared" si="104"/>
        <x:v>0</x:v>
      </x:c>
      <x:c r="K1529" s="63" t="str">
        <x:f t="shared" si="106"/>
      </x:c>
      <x:c r="L1529" s="63">
        <x:f t="shared" si="105"/>
        <x:v>0</x:v>
      </x:c>
      <x:c r="M1529" s="61"/>
    </x:row>
    <x:row r="1530">
      <x:c r="A1530" s="61" t="str">
        <x:f>IF(E1530="","",MAX($A$6:A1529)+1)</x:f>
      </x:c>
      <x:c r="B1530" s="61"/>
      <x:c r="C1530" s="61"/>
      <x:c r="D1530" s="62"/>
      <x:c r="E1530" s="61"/>
      <x:c r="F1530" s="61"/>
      <x:c r="G1530" s="63"/>
      <x:c r="H1530" s="63">
        <x:f t="shared" si="103"/>
        <x:v>0</x:v>
      </x:c>
      <x:c r="I1530" s="64"/>
      <x:c r="J1530" s="63">
        <x:f t="shared" si="104"/>
        <x:v>0</x:v>
      </x:c>
      <x:c r="K1530" s="63" t="str">
        <x:f t="shared" si="106"/>
      </x:c>
      <x:c r="L1530" s="63">
        <x:f t="shared" si="105"/>
        <x:v>0</x:v>
      </x:c>
      <x:c r="M1530" s="61"/>
    </x:row>
    <x:row r="1531">
      <x:c r="A1531" s="61" t="str">
        <x:f>IF(E1531="","",MAX($A$6:A1530)+1)</x:f>
      </x:c>
      <x:c r="B1531" s="61"/>
      <x:c r="C1531" s="61"/>
      <x:c r="D1531" s="62"/>
      <x:c r="E1531" s="61"/>
      <x:c r="F1531" s="61"/>
      <x:c r="G1531" s="63"/>
      <x:c r="H1531" s="63">
        <x:f t="shared" si="103"/>
        <x:v>0</x:v>
      </x:c>
      <x:c r="I1531" s="64"/>
      <x:c r="J1531" s="63">
        <x:f t="shared" si="104"/>
        <x:v>0</x:v>
      </x:c>
      <x:c r="K1531" s="63" t="str">
        <x:f t="shared" si="106"/>
      </x:c>
      <x:c r="L1531" s="63">
        <x:f t="shared" si="105"/>
        <x:v>0</x:v>
      </x:c>
      <x:c r="M1531" s="61"/>
    </x:row>
    <x:row r="1532">
      <x:c r="A1532" s="61" t="str">
        <x:f>IF(E1532="","",MAX($A$6:A1531)+1)</x:f>
      </x:c>
      <x:c r="B1532" s="61"/>
      <x:c r="C1532" s="61"/>
      <x:c r="D1532" s="62"/>
      <x:c r="E1532" s="61"/>
      <x:c r="F1532" s="61"/>
      <x:c r="G1532" s="63"/>
      <x:c r="H1532" s="63">
        <x:f t="shared" si="103"/>
        <x:v>0</x:v>
      </x:c>
      <x:c r="I1532" s="64"/>
      <x:c r="J1532" s="63">
        <x:f t="shared" si="104"/>
        <x:v>0</x:v>
      </x:c>
      <x:c r="K1532" s="63" t="str">
        <x:f t="shared" si="106"/>
      </x:c>
      <x:c r="L1532" s="63">
        <x:f t="shared" si="105"/>
        <x:v>0</x:v>
      </x:c>
      <x:c r="M1532" s="61"/>
    </x:row>
    <x:row r="1533">
      <x:c r="A1533" s="61" t="str">
        <x:f>IF(E1533="","",MAX($A$6:A1532)+1)</x:f>
      </x:c>
      <x:c r="B1533" s="61"/>
      <x:c r="C1533" s="61"/>
      <x:c r="D1533" s="62"/>
      <x:c r="E1533" s="61"/>
      <x:c r="F1533" s="61"/>
      <x:c r="G1533" s="63"/>
      <x:c r="H1533" s="63">
        <x:f t="shared" si="103"/>
        <x:v>0</x:v>
      </x:c>
      <x:c r="I1533" s="64"/>
      <x:c r="J1533" s="63">
        <x:f t="shared" si="104"/>
        <x:v>0</x:v>
      </x:c>
      <x:c r="K1533" s="63" t="str">
        <x:f t="shared" si="106"/>
      </x:c>
      <x:c r="L1533" s="63">
        <x:f t="shared" si="105"/>
        <x:v>0</x:v>
      </x:c>
      <x:c r="M1533" s="61"/>
    </x:row>
    <x:row r="1534">
      <x:c r="A1534" s="61" t="str">
        <x:f>IF(E1534="","",MAX($A$6:A1533)+1)</x:f>
      </x:c>
      <x:c r="B1534" s="61"/>
      <x:c r="C1534" s="61"/>
      <x:c r="D1534" s="62"/>
      <x:c r="E1534" s="61"/>
      <x:c r="F1534" s="61"/>
      <x:c r="G1534" s="63"/>
      <x:c r="H1534" s="63">
        <x:f t="shared" si="103"/>
        <x:v>0</x:v>
      </x:c>
      <x:c r="I1534" s="64"/>
      <x:c r="J1534" s="63">
        <x:f t="shared" si="104"/>
        <x:v>0</x:v>
      </x:c>
      <x:c r="K1534" s="63" t="str">
        <x:f t="shared" si="106"/>
      </x:c>
      <x:c r="L1534" s="63">
        <x:f t="shared" si="105"/>
        <x:v>0</x:v>
      </x:c>
      <x:c r="M1534" s="61"/>
    </x:row>
    <x:row r="1535">
      <x:c r="A1535" s="61" t="str">
        <x:f>IF(E1535="","",MAX($A$6:A1534)+1)</x:f>
      </x:c>
      <x:c r="B1535" s="61"/>
      <x:c r="C1535" s="61"/>
      <x:c r="D1535" s="62"/>
      <x:c r="E1535" s="61"/>
      <x:c r="F1535" s="61"/>
      <x:c r="G1535" s="63"/>
      <x:c r="H1535" s="63">
        <x:f t="shared" si="103"/>
        <x:v>0</x:v>
      </x:c>
      <x:c r="I1535" s="64"/>
      <x:c r="J1535" s="63">
        <x:f t="shared" si="104"/>
        <x:v>0</x:v>
      </x:c>
      <x:c r="K1535" s="63" t="str">
        <x:f t="shared" si="106"/>
      </x:c>
      <x:c r="L1535" s="63">
        <x:f t="shared" si="105"/>
        <x:v>0</x:v>
      </x:c>
      <x:c r="M1535" s="61"/>
    </x:row>
    <x:row r="1536">
      <x:c r="A1536" s="61" t="str">
        <x:f>IF(E1536="","",MAX($A$6:A1535)+1)</x:f>
      </x:c>
      <x:c r="B1536" s="61"/>
      <x:c r="C1536" s="61"/>
      <x:c r="D1536" s="62"/>
      <x:c r="E1536" s="61"/>
      <x:c r="F1536" s="61"/>
      <x:c r="G1536" s="63"/>
      <x:c r="H1536" s="63">
        <x:f t="shared" si="103"/>
        <x:v>0</x:v>
      </x:c>
      <x:c r="I1536" s="64"/>
      <x:c r="J1536" s="63">
        <x:f t="shared" si="104"/>
        <x:v>0</x:v>
      </x:c>
      <x:c r="K1536" s="63" t="str">
        <x:f t="shared" si="106"/>
      </x:c>
      <x:c r="L1536" s="63">
        <x:f t="shared" si="105"/>
        <x:v>0</x:v>
      </x:c>
      <x:c r="M1536" s="61"/>
    </x:row>
    <x:row r="1537">
      <x:c r="A1537" s="61" t="str">
        <x:f>IF(E1537="","",MAX($A$6:A1536)+1)</x:f>
      </x:c>
      <x:c r="B1537" s="61"/>
      <x:c r="C1537" s="61"/>
      <x:c r="D1537" s="62"/>
      <x:c r="E1537" s="61"/>
      <x:c r="F1537" s="61"/>
      <x:c r="G1537" s="63"/>
      <x:c r="H1537" s="63">
        <x:f t="shared" si="103"/>
        <x:v>0</x:v>
      </x:c>
      <x:c r="I1537" s="64"/>
      <x:c r="J1537" s="63">
        <x:f t="shared" si="104"/>
        <x:v>0</x:v>
      </x:c>
      <x:c r="K1537" s="63" t="str">
        <x:f t="shared" si="106"/>
      </x:c>
      <x:c r="L1537" s="63">
        <x:f t="shared" si="105"/>
        <x:v>0</x:v>
      </x:c>
      <x:c r="M1537" s="61"/>
    </x:row>
    <x:row r="1538">
      <x:c r="A1538" s="61" t="str">
        <x:f>IF(E1538="","",MAX($A$6:A1537)+1)</x:f>
      </x:c>
      <x:c r="B1538" s="61"/>
      <x:c r="C1538" s="61"/>
      <x:c r="D1538" s="62"/>
      <x:c r="E1538" s="61"/>
      <x:c r="F1538" s="61"/>
      <x:c r="G1538" s="63"/>
      <x:c r="H1538" s="63">
        <x:f t="shared" si="103"/>
        <x:v>0</x:v>
      </x:c>
      <x:c r="I1538" s="64"/>
      <x:c r="J1538" s="63">
        <x:f t="shared" si="104"/>
        <x:v>0</x:v>
      </x:c>
      <x:c r="K1538" s="63" t="str">
        <x:f t="shared" si="106"/>
      </x:c>
      <x:c r="L1538" s="63">
        <x:f t="shared" si="105"/>
        <x:v>0</x:v>
      </x:c>
      <x:c r="M1538" s="61"/>
    </x:row>
    <x:row r="1539">
      <x:c r="A1539" s="61" t="str">
        <x:f>IF(E1539="","",MAX($A$6:A1538)+1)</x:f>
      </x:c>
      <x:c r="B1539" s="61"/>
      <x:c r="C1539" s="61"/>
      <x:c r="D1539" s="62"/>
      <x:c r="E1539" s="61"/>
      <x:c r="F1539" s="61"/>
      <x:c r="G1539" s="63"/>
      <x:c r="H1539" s="63">
        <x:f t="shared" si="103"/>
        <x:v>0</x:v>
      </x:c>
      <x:c r="I1539" s="64"/>
      <x:c r="J1539" s="63">
        <x:f t="shared" si="104"/>
        <x:v>0</x:v>
      </x:c>
      <x:c r="K1539" s="63" t="str">
        <x:f t="shared" si="106"/>
      </x:c>
      <x:c r="L1539" s="63">
        <x:f t="shared" si="105"/>
        <x:v>0</x:v>
      </x:c>
      <x:c r="M1539" s="61"/>
    </x:row>
    <x:row r="1540">
      <x:c r="A1540" s="61" t="str">
        <x:f>IF(E1540="","",MAX($A$6:A1539)+1)</x:f>
      </x:c>
      <x:c r="B1540" s="61"/>
      <x:c r="C1540" s="61"/>
      <x:c r="D1540" s="62"/>
      <x:c r="E1540" s="61"/>
      <x:c r="F1540" s="61"/>
      <x:c r="G1540" s="63"/>
      <x:c r="H1540" s="63">
        <x:f t="shared" si="103"/>
        <x:v>0</x:v>
      </x:c>
      <x:c r="I1540" s="64"/>
      <x:c r="J1540" s="63">
        <x:f t="shared" si="104"/>
        <x:v>0</x:v>
      </x:c>
      <x:c r="K1540" s="63" t="str">
        <x:f t="shared" si="106"/>
      </x:c>
      <x:c r="L1540" s="63">
        <x:f t="shared" si="105"/>
        <x:v>0</x:v>
      </x:c>
      <x:c r="M1540" s="61"/>
    </x:row>
    <x:row r="1541">
      <x:c r="A1541" s="61" t="str">
        <x:f>IF(E1541="","",MAX($A$6:A1540)+1)</x:f>
      </x:c>
      <x:c r="B1541" s="61"/>
      <x:c r="C1541" s="61"/>
      <x:c r="D1541" s="62"/>
      <x:c r="E1541" s="61"/>
      <x:c r="F1541" s="61"/>
      <x:c r="G1541" s="63"/>
      <x:c r="H1541" s="63">
        <x:f t="shared" si="103"/>
        <x:v>0</x:v>
      </x:c>
      <x:c r="I1541" s="64"/>
      <x:c r="J1541" s="63">
        <x:f t="shared" si="104"/>
        <x:v>0</x:v>
      </x:c>
      <x:c r="K1541" s="63" t="str">
        <x:f t="shared" si="106"/>
      </x:c>
      <x:c r="L1541" s="63">
        <x:f t="shared" si="105"/>
        <x:v>0</x:v>
      </x:c>
      <x:c r="M1541" s="61"/>
    </x:row>
    <x:row r="1542">
      <x:c r="A1542" s="61" t="str">
        <x:f>IF(E1542="","",MAX($A$6:A1541)+1)</x:f>
      </x:c>
      <x:c r="B1542" s="61"/>
      <x:c r="C1542" s="61"/>
      <x:c r="D1542" s="62"/>
      <x:c r="E1542" s="61"/>
      <x:c r="F1542" s="61"/>
      <x:c r="G1542" s="63"/>
      <x:c r="H1542" s="63" t="n">
        <x:f t="shared" ref="H1542:H1605" si="107">IFERROR(IF(OR($F$1="",D1542=""),0,MAX(0,$F$1-D1542)),0)</x:f>
        <x:v>0</x:v>
      </x:c>
      <x:c r="I1542" s="64"/>
      <x:c r="J1542" s="63" t="n">
        <x:f t="shared" ref="J1542:J1605" si="108">IFERROR(IF(OR(G1542="",I1542="",D1542="",$F$1=""),0,IF($F$1&lt;D1542,0,MIN(MAX(G1542-1,0),MAX(0,(G1542*I1542/365)*H1542)))),0)</x:f>
        <x:v>0</x:v>
      </x:c>
      <x:c r="K1542" s="63" t="str">
        <x:f t="shared" si="106"/>
      </x:c>
      <x:c r="L1542" s="63" t="n">
        <x:f t="shared" ref="L1542:L1605" si="109">IFERROR(IF(OR(G1542="",I1542="",D1542="",$F$1=""),0,IF($F$1&lt;D1542,0,IF(K1542&lt;=1,0,MIN(G1542*I1542/12,K1542-1)))),0)</x:f>
        <x:v>0</x:v>
      </x:c>
      <x:c r="M1542" s="61"/>
    </x:row>
    <x:row r="1543">
      <x:c r="A1543" s="61" t="str">
        <x:f>IF(E1543="","",MAX($A$6:A1542)+1)</x:f>
      </x:c>
      <x:c r="B1543" s="61"/>
      <x:c r="C1543" s="61"/>
      <x:c r="D1543" s="62"/>
      <x:c r="E1543" s="61"/>
      <x:c r="F1543" s="61"/>
      <x:c r="G1543" s="63"/>
      <x:c r="H1543" s="63">
        <x:f t="shared" si="107"/>
        <x:v>0</x:v>
      </x:c>
      <x:c r="I1543" s="64"/>
      <x:c r="J1543" s="63">
        <x:f t="shared" si="108"/>
        <x:v>0</x:v>
      </x:c>
      <x:c r="K1543" s="63" t="str">
        <x:f t="shared" si="106"/>
      </x:c>
      <x:c r="L1543" s="63">
        <x:f t="shared" si="109"/>
        <x:v>0</x:v>
      </x:c>
      <x:c r="M1543" s="61"/>
    </x:row>
    <x:row r="1544">
      <x:c r="A1544" s="61" t="str">
        <x:f>IF(E1544="","",MAX($A$6:A1543)+1)</x:f>
      </x:c>
      <x:c r="B1544" s="61"/>
      <x:c r="C1544" s="61"/>
      <x:c r="D1544" s="62"/>
      <x:c r="E1544" s="61"/>
      <x:c r="F1544" s="61"/>
      <x:c r="G1544" s="63"/>
      <x:c r="H1544" s="63">
        <x:f t="shared" si="107"/>
        <x:v>0</x:v>
      </x:c>
      <x:c r="I1544" s="64"/>
      <x:c r="J1544" s="63">
        <x:f t="shared" si="108"/>
        <x:v>0</x:v>
      </x:c>
      <x:c r="K1544" s="63" t="str">
        <x:f t="shared" si="106"/>
      </x:c>
      <x:c r="L1544" s="63">
        <x:f t="shared" si="109"/>
        <x:v>0</x:v>
      </x:c>
      <x:c r="M1544" s="61"/>
    </x:row>
    <x:row r="1545">
      <x:c r="A1545" s="61" t="str">
        <x:f>IF(E1545="","",MAX($A$6:A1544)+1)</x:f>
      </x:c>
      <x:c r="B1545" s="61"/>
      <x:c r="C1545" s="61"/>
      <x:c r="D1545" s="62"/>
      <x:c r="E1545" s="61"/>
      <x:c r="F1545" s="61"/>
      <x:c r="G1545" s="63"/>
      <x:c r="H1545" s="63">
        <x:f t="shared" si="107"/>
        <x:v>0</x:v>
      </x:c>
      <x:c r="I1545" s="64"/>
      <x:c r="J1545" s="63">
        <x:f t="shared" si="108"/>
        <x:v>0</x:v>
      </x:c>
      <x:c r="K1545" s="63" t="str">
        <x:f t="shared" si="106"/>
      </x:c>
      <x:c r="L1545" s="63">
        <x:f t="shared" si="109"/>
        <x:v>0</x:v>
      </x:c>
      <x:c r="M1545" s="61"/>
    </x:row>
    <x:row r="1546">
      <x:c r="A1546" s="61" t="str">
        <x:f>IF(E1546="","",MAX($A$6:A1545)+1)</x:f>
      </x:c>
      <x:c r="B1546" s="61"/>
      <x:c r="C1546" s="61"/>
      <x:c r="D1546" s="62"/>
      <x:c r="E1546" s="61"/>
      <x:c r="F1546" s="61"/>
      <x:c r="G1546" s="63"/>
      <x:c r="H1546" s="63">
        <x:f t="shared" si="107"/>
        <x:v>0</x:v>
      </x:c>
      <x:c r="I1546" s="64"/>
      <x:c r="J1546" s="63">
        <x:f t="shared" si="108"/>
        <x:v>0</x:v>
      </x:c>
      <x:c r="K1546" s="63" t="str">
        <x:f t="shared" si="106"/>
      </x:c>
      <x:c r="L1546" s="63">
        <x:f t="shared" si="109"/>
        <x:v>0</x:v>
      </x:c>
      <x:c r="M1546" s="61"/>
    </x:row>
    <x:row r="1547">
      <x:c r="A1547" s="61" t="str">
        <x:f>IF(E1547="","",MAX($A$6:A1546)+1)</x:f>
      </x:c>
      <x:c r="B1547" s="61"/>
      <x:c r="C1547" s="61"/>
      <x:c r="D1547" s="62"/>
      <x:c r="E1547" s="61"/>
      <x:c r="F1547" s="61"/>
      <x:c r="G1547" s="63"/>
      <x:c r="H1547" s="63">
        <x:f t="shared" si="107"/>
        <x:v>0</x:v>
      </x:c>
      <x:c r="I1547" s="64"/>
      <x:c r="J1547" s="63">
        <x:f t="shared" si="108"/>
        <x:v>0</x:v>
      </x:c>
      <x:c r="K1547" s="63" t="str">
        <x:f t="shared" si="106"/>
      </x:c>
      <x:c r="L1547" s="63">
        <x:f t="shared" si="109"/>
        <x:v>0</x:v>
      </x:c>
      <x:c r="M1547" s="61"/>
    </x:row>
    <x:row r="1548">
      <x:c r="A1548" s="61" t="str">
        <x:f>IF(E1548="","",MAX($A$6:A1547)+1)</x:f>
      </x:c>
      <x:c r="B1548" s="61"/>
      <x:c r="C1548" s="61"/>
      <x:c r="D1548" s="62"/>
      <x:c r="E1548" s="61"/>
      <x:c r="F1548" s="61"/>
      <x:c r="G1548" s="63"/>
      <x:c r="H1548" s="63">
        <x:f t="shared" si="107"/>
        <x:v>0</x:v>
      </x:c>
      <x:c r="I1548" s="64"/>
      <x:c r="J1548" s="63">
        <x:f t="shared" si="108"/>
        <x:v>0</x:v>
      </x:c>
      <x:c r="K1548" s="63" t="str">
        <x:f t="shared" si="106"/>
      </x:c>
      <x:c r="L1548" s="63">
        <x:f t="shared" si="109"/>
        <x:v>0</x:v>
      </x:c>
      <x:c r="M1548" s="61"/>
    </x:row>
    <x:row r="1549">
      <x:c r="A1549" s="61" t="str">
        <x:f>IF(E1549="","",MAX($A$6:A1548)+1)</x:f>
      </x:c>
      <x:c r="B1549" s="61"/>
      <x:c r="C1549" s="61"/>
      <x:c r="D1549" s="62"/>
      <x:c r="E1549" s="61"/>
      <x:c r="F1549" s="61"/>
      <x:c r="G1549" s="63"/>
      <x:c r="H1549" s="63">
        <x:f t="shared" si="107"/>
        <x:v>0</x:v>
      </x:c>
      <x:c r="I1549" s="64"/>
      <x:c r="J1549" s="63">
        <x:f t="shared" si="108"/>
        <x:v>0</x:v>
      </x:c>
      <x:c r="K1549" s="63" t="str">
        <x:f t="shared" si="106"/>
      </x:c>
      <x:c r="L1549" s="63">
        <x:f t="shared" si="109"/>
        <x:v>0</x:v>
      </x:c>
      <x:c r="M1549" s="61"/>
    </x:row>
    <x:row r="1550">
      <x:c r="A1550" s="61" t="str">
        <x:f>IF(E1550="","",MAX($A$6:A1549)+1)</x:f>
      </x:c>
      <x:c r="B1550" s="61"/>
      <x:c r="C1550" s="61"/>
      <x:c r="D1550" s="62"/>
      <x:c r="E1550" s="61"/>
      <x:c r="F1550" s="61"/>
      <x:c r="G1550" s="63"/>
      <x:c r="H1550" s="63">
        <x:f t="shared" si="107"/>
        <x:v>0</x:v>
      </x:c>
      <x:c r="I1550" s="64"/>
      <x:c r="J1550" s="63">
        <x:f t="shared" si="108"/>
        <x:v>0</x:v>
      </x:c>
      <x:c r="K1550" s="63" t="str">
        <x:f t="shared" si="106"/>
      </x:c>
      <x:c r="L1550" s="63">
        <x:f t="shared" si="109"/>
        <x:v>0</x:v>
      </x:c>
      <x:c r="M1550" s="61"/>
    </x:row>
    <x:row r="1551">
      <x:c r="A1551" s="61" t="str">
        <x:f>IF(E1551="","",MAX($A$6:A1550)+1)</x:f>
      </x:c>
      <x:c r="B1551" s="61"/>
      <x:c r="C1551" s="61"/>
      <x:c r="D1551" s="62"/>
      <x:c r="E1551" s="61"/>
      <x:c r="F1551" s="61"/>
      <x:c r="G1551" s="63"/>
      <x:c r="H1551" s="63">
        <x:f t="shared" si="107"/>
        <x:v>0</x:v>
      </x:c>
      <x:c r="I1551" s="64"/>
      <x:c r="J1551" s="63">
        <x:f t="shared" si="108"/>
        <x:v>0</x:v>
      </x:c>
      <x:c r="K1551" s="63" t="str">
        <x:f t="shared" si="106"/>
      </x:c>
      <x:c r="L1551" s="63">
        <x:f t="shared" si="109"/>
        <x:v>0</x:v>
      </x:c>
      <x:c r="M1551" s="61"/>
    </x:row>
    <x:row r="1552">
      <x:c r="A1552" s="61" t="str">
        <x:f>IF(E1552="","",MAX($A$6:A1551)+1)</x:f>
      </x:c>
      <x:c r="B1552" s="61"/>
      <x:c r="C1552" s="61"/>
      <x:c r="D1552" s="62"/>
      <x:c r="E1552" s="61"/>
      <x:c r="F1552" s="61"/>
      <x:c r="G1552" s="63"/>
      <x:c r="H1552" s="63">
        <x:f t="shared" si="107"/>
        <x:v>0</x:v>
      </x:c>
      <x:c r="I1552" s="64"/>
      <x:c r="J1552" s="63">
        <x:f t="shared" si="108"/>
        <x:v>0</x:v>
      </x:c>
      <x:c r="K1552" s="63" t="str">
        <x:f t="shared" si="106"/>
      </x:c>
      <x:c r="L1552" s="63">
        <x:f t="shared" si="109"/>
        <x:v>0</x:v>
      </x:c>
      <x:c r="M1552" s="61"/>
    </x:row>
    <x:row r="1553">
      <x:c r="A1553" s="61" t="str">
        <x:f>IF(E1553="","",MAX($A$6:A1552)+1)</x:f>
      </x:c>
      <x:c r="B1553" s="61"/>
      <x:c r="C1553" s="61"/>
      <x:c r="D1553" s="62"/>
      <x:c r="E1553" s="61"/>
      <x:c r="F1553" s="61"/>
      <x:c r="G1553" s="63"/>
      <x:c r="H1553" s="63">
        <x:f t="shared" si="107"/>
        <x:v>0</x:v>
      </x:c>
      <x:c r="I1553" s="64"/>
      <x:c r="J1553" s="63">
        <x:f t="shared" si="108"/>
        <x:v>0</x:v>
      </x:c>
      <x:c r="K1553" s="63" t="str">
        <x:f t="shared" si="106"/>
      </x:c>
      <x:c r="L1553" s="63">
        <x:f t="shared" si="109"/>
        <x:v>0</x:v>
      </x:c>
      <x:c r="M1553" s="61"/>
    </x:row>
    <x:row r="1554">
      <x:c r="A1554" s="61" t="str">
        <x:f>IF(E1554="","",MAX($A$6:A1553)+1)</x:f>
      </x:c>
      <x:c r="B1554" s="61"/>
      <x:c r="C1554" s="61"/>
      <x:c r="D1554" s="62"/>
      <x:c r="E1554" s="61"/>
      <x:c r="F1554" s="61"/>
      <x:c r="G1554" s="63"/>
      <x:c r="H1554" s="63">
        <x:f t="shared" si="107"/>
        <x:v>0</x:v>
      </x:c>
      <x:c r="I1554" s="64"/>
      <x:c r="J1554" s="63">
        <x:f t="shared" si="108"/>
        <x:v>0</x:v>
      </x:c>
      <x:c r="K1554" s="63" t="str">
        <x:f t="shared" si="106"/>
      </x:c>
      <x:c r="L1554" s="63">
        <x:f t="shared" si="109"/>
        <x:v>0</x:v>
      </x:c>
      <x:c r="M1554" s="61"/>
    </x:row>
    <x:row r="1555">
      <x:c r="A1555" s="61" t="str">
        <x:f>IF(E1555="","",MAX($A$6:A1554)+1)</x:f>
      </x:c>
      <x:c r="B1555" s="61"/>
      <x:c r="C1555" s="61"/>
      <x:c r="D1555" s="62"/>
      <x:c r="E1555" s="61"/>
      <x:c r="F1555" s="61"/>
      <x:c r="G1555" s="63"/>
      <x:c r="H1555" s="63">
        <x:f t="shared" si="107"/>
        <x:v>0</x:v>
      </x:c>
      <x:c r="I1555" s="64"/>
      <x:c r="J1555" s="63">
        <x:f t="shared" si="108"/>
        <x:v>0</x:v>
      </x:c>
      <x:c r="K1555" s="63" t="str">
        <x:f t="shared" si="106"/>
      </x:c>
      <x:c r="L1555" s="63">
        <x:f t="shared" si="109"/>
        <x:v>0</x:v>
      </x:c>
      <x:c r="M1555" s="61"/>
    </x:row>
    <x:row r="1556">
      <x:c r="A1556" s="61" t="str">
        <x:f>IF(E1556="","",MAX($A$6:A1555)+1)</x:f>
      </x:c>
      <x:c r="B1556" s="61"/>
      <x:c r="C1556" s="61"/>
      <x:c r="D1556" s="62"/>
      <x:c r="E1556" s="61"/>
      <x:c r="F1556" s="61"/>
      <x:c r="G1556" s="63"/>
      <x:c r="H1556" s="63">
        <x:f t="shared" si="107"/>
        <x:v>0</x:v>
      </x:c>
      <x:c r="I1556" s="64"/>
      <x:c r="J1556" s="63">
        <x:f t="shared" si="108"/>
        <x:v>0</x:v>
      </x:c>
      <x:c r="K1556" s="63" t="str">
        <x:f t="shared" si="106"/>
      </x:c>
      <x:c r="L1556" s="63">
        <x:f t="shared" si="109"/>
        <x:v>0</x:v>
      </x:c>
      <x:c r="M1556" s="61"/>
    </x:row>
    <x:row r="1557">
      <x:c r="A1557" s="61" t="str">
        <x:f>IF(E1557="","",MAX($A$6:A1556)+1)</x:f>
      </x:c>
      <x:c r="B1557" s="61"/>
      <x:c r="C1557" s="61"/>
      <x:c r="D1557" s="62"/>
      <x:c r="E1557" s="61"/>
      <x:c r="F1557" s="61"/>
      <x:c r="G1557" s="63"/>
      <x:c r="H1557" s="63">
        <x:f t="shared" si="107"/>
        <x:v>0</x:v>
      </x:c>
      <x:c r="I1557" s="64"/>
      <x:c r="J1557" s="63">
        <x:f t="shared" si="108"/>
        <x:v>0</x:v>
      </x:c>
      <x:c r="K1557" s="63" t="str">
        <x:f t="shared" si="106"/>
      </x:c>
      <x:c r="L1557" s="63">
        <x:f t="shared" si="109"/>
        <x:v>0</x:v>
      </x:c>
      <x:c r="M1557" s="61"/>
    </x:row>
    <x:row r="1558">
      <x:c r="A1558" s="61" t="str">
        <x:f>IF(E1558="","",MAX($A$6:A1557)+1)</x:f>
      </x:c>
      <x:c r="B1558" s="61"/>
      <x:c r="C1558" s="61"/>
      <x:c r="D1558" s="62"/>
      <x:c r="E1558" s="61"/>
      <x:c r="F1558" s="61"/>
      <x:c r="G1558" s="63"/>
      <x:c r="H1558" s="63">
        <x:f t="shared" si="107"/>
        <x:v>0</x:v>
      </x:c>
      <x:c r="I1558" s="64"/>
      <x:c r="J1558" s="63">
        <x:f t="shared" si="108"/>
        <x:v>0</x:v>
      </x:c>
      <x:c r="K1558" s="63" t="str">
        <x:f t="shared" si="106"/>
      </x:c>
      <x:c r="L1558" s="63">
        <x:f t="shared" si="109"/>
        <x:v>0</x:v>
      </x:c>
      <x:c r="M1558" s="61"/>
    </x:row>
    <x:row r="1559">
      <x:c r="A1559" s="61" t="str">
        <x:f>IF(E1559="","",MAX($A$6:A1558)+1)</x:f>
      </x:c>
      <x:c r="B1559" s="61"/>
      <x:c r="C1559" s="61"/>
      <x:c r="D1559" s="62"/>
      <x:c r="E1559" s="61"/>
      <x:c r="F1559" s="61"/>
      <x:c r="G1559" s="63"/>
      <x:c r="H1559" s="63">
        <x:f t="shared" si="107"/>
        <x:v>0</x:v>
      </x:c>
      <x:c r="I1559" s="64"/>
      <x:c r="J1559" s="63">
        <x:f t="shared" si="108"/>
        <x:v>0</x:v>
      </x:c>
      <x:c r="K1559" s="63" t="str">
        <x:f t="shared" si="106"/>
      </x:c>
      <x:c r="L1559" s="63">
        <x:f t="shared" si="109"/>
        <x:v>0</x:v>
      </x:c>
      <x:c r="M1559" s="61"/>
    </x:row>
    <x:row r="1560">
      <x:c r="A1560" s="61" t="str">
        <x:f>IF(E1560="","",MAX($A$6:A1559)+1)</x:f>
      </x:c>
      <x:c r="B1560" s="61"/>
      <x:c r="C1560" s="61"/>
      <x:c r="D1560" s="62"/>
      <x:c r="E1560" s="61"/>
      <x:c r="F1560" s="61"/>
      <x:c r="G1560" s="63"/>
      <x:c r="H1560" s="63">
        <x:f t="shared" si="107"/>
        <x:v>0</x:v>
      </x:c>
      <x:c r="I1560" s="64"/>
      <x:c r="J1560" s="63">
        <x:f t="shared" si="108"/>
        <x:v>0</x:v>
      </x:c>
      <x:c r="K1560" s="63" t="str">
        <x:f t="shared" si="106"/>
      </x:c>
      <x:c r="L1560" s="63">
        <x:f t="shared" si="109"/>
        <x:v>0</x:v>
      </x:c>
      <x:c r="M1560" s="61"/>
    </x:row>
    <x:row r="1561">
      <x:c r="A1561" s="61" t="str">
        <x:f>IF(E1561="","",MAX($A$6:A1560)+1)</x:f>
      </x:c>
      <x:c r="B1561" s="61"/>
      <x:c r="C1561" s="61"/>
      <x:c r="D1561" s="62"/>
      <x:c r="E1561" s="61"/>
      <x:c r="F1561" s="61"/>
      <x:c r="G1561" s="63"/>
      <x:c r="H1561" s="63">
        <x:f t="shared" si="107"/>
        <x:v>0</x:v>
      </x:c>
      <x:c r="I1561" s="64"/>
      <x:c r="J1561" s="63">
        <x:f t="shared" si="108"/>
        <x:v>0</x:v>
      </x:c>
      <x:c r="K1561" s="63" t="str">
        <x:f t="shared" si="106"/>
      </x:c>
      <x:c r="L1561" s="63">
        <x:f t="shared" si="109"/>
        <x:v>0</x:v>
      </x:c>
      <x:c r="M1561" s="61"/>
    </x:row>
    <x:row r="1562">
      <x:c r="A1562" s="61" t="str">
        <x:f>IF(E1562="","",MAX($A$6:A1561)+1)</x:f>
      </x:c>
      <x:c r="B1562" s="61"/>
      <x:c r="C1562" s="61"/>
      <x:c r="D1562" s="62"/>
      <x:c r="E1562" s="61"/>
      <x:c r="F1562" s="61"/>
      <x:c r="G1562" s="63"/>
      <x:c r="H1562" s="63">
        <x:f t="shared" si="107"/>
        <x:v>0</x:v>
      </x:c>
      <x:c r="I1562" s="64"/>
      <x:c r="J1562" s="63">
        <x:f t="shared" si="108"/>
        <x:v>0</x:v>
      </x:c>
      <x:c r="K1562" s="63" t="str">
        <x:f t="shared" si="106"/>
      </x:c>
      <x:c r="L1562" s="63">
        <x:f t="shared" si="109"/>
        <x:v>0</x:v>
      </x:c>
      <x:c r="M1562" s="61"/>
    </x:row>
    <x:row r="1563">
      <x:c r="A1563" s="61" t="str">
        <x:f>IF(E1563="","",MAX($A$6:A1562)+1)</x:f>
      </x:c>
      <x:c r="B1563" s="61"/>
      <x:c r="C1563" s="61"/>
      <x:c r="D1563" s="62"/>
      <x:c r="E1563" s="61"/>
      <x:c r="F1563" s="61"/>
      <x:c r="G1563" s="63"/>
      <x:c r="H1563" s="63">
        <x:f t="shared" si="107"/>
        <x:v>0</x:v>
      </x:c>
      <x:c r="I1563" s="64"/>
      <x:c r="J1563" s="63">
        <x:f t="shared" si="108"/>
        <x:v>0</x:v>
      </x:c>
      <x:c r="K1563" s="63" t="str">
        <x:f t="shared" si="106"/>
      </x:c>
      <x:c r="L1563" s="63">
        <x:f t="shared" si="109"/>
        <x:v>0</x:v>
      </x:c>
      <x:c r="M1563" s="61"/>
    </x:row>
    <x:row r="1564">
      <x:c r="A1564" s="61" t="str">
        <x:f>IF(E1564="","",MAX($A$6:A1563)+1)</x:f>
      </x:c>
      <x:c r="B1564" s="61"/>
      <x:c r="C1564" s="61"/>
      <x:c r="D1564" s="62"/>
      <x:c r="E1564" s="61"/>
      <x:c r="F1564" s="61"/>
      <x:c r="G1564" s="63"/>
      <x:c r="H1564" s="63">
        <x:f t="shared" si="107"/>
        <x:v>0</x:v>
      </x:c>
      <x:c r="I1564" s="64"/>
      <x:c r="J1564" s="63">
        <x:f t="shared" si="108"/>
        <x:v>0</x:v>
      </x:c>
      <x:c r="K1564" s="63" t="str">
        <x:f t="shared" si="106"/>
      </x:c>
      <x:c r="L1564" s="63">
        <x:f t="shared" si="109"/>
        <x:v>0</x:v>
      </x:c>
      <x:c r="M1564" s="61"/>
    </x:row>
    <x:row r="1565">
      <x:c r="A1565" s="61" t="str">
        <x:f>IF(E1565="","",MAX($A$6:A1564)+1)</x:f>
      </x:c>
      <x:c r="B1565" s="61"/>
      <x:c r="C1565" s="61"/>
      <x:c r="D1565" s="62"/>
      <x:c r="E1565" s="61"/>
      <x:c r="F1565" s="61"/>
      <x:c r="G1565" s="63"/>
      <x:c r="H1565" s="63">
        <x:f t="shared" si="107"/>
        <x:v>0</x:v>
      </x:c>
      <x:c r="I1565" s="64"/>
      <x:c r="J1565" s="63">
        <x:f t="shared" si="108"/>
        <x:v>0</x:v>
      </x:c>
      <x:c r="K1565" s="63" t="str">
        <x:f t="shared" si="106"/>
      </x:c>
      <x:c r="L1565" s="63">
        <x:f t="shared" si="109"/>
        <x:v>0</x:v>
      </x:c>
      <x:c r="M1565" s="61"/>
    </x:row>
    <x:row r="1566">
      <x:c r="A1566" s="61" t="str">
        <x:f>IF(E1566="","",MAX($A$6:A1565)+1)</x:f>
      </x:c>
      <x:c r="B1566" s="61"/>
      <x:c r="C1566" s="61"/>
      <x:c r="D1566" s="62"/>
      <x:c r="E1566" s="61"/>
      <x:c r="F1566" s="61"/>
      <x:c r="G1566" s="63"/>
      <x:c r="H1566" s="63">
        <x:f t="shared" si="107"/>
        <x:v>0</x:v>
      </x:c>
      <x:c r="I1566" s="64"/>
      <x:c r="J1566" s="63">
        <x:f t="shared" si="108"/>
        <x:v>0</x:v>
      </x:c>
      <x:c r="K1566" s="63" t="str">
        <x:f t="shared" si="106"/>
      </x:c>
      <x:c r="L1566" s="63">
        <x:f t="shared" si="109"/>
        <x:v>0</x:v>
      </x:c>
      <x:c r="M1566" s="61"/>
    </x:row>
    <x:row r="1567">
      <x:c r="A1567" s="61" t="str">
        <x:f>IF(E1567="","",MAX($A$6:A1566)+1)</x:f>
      </x:c>
      <x:c r="B1567" s="61"/>
      <x:c r="C1567" s="61"/>
      <x:c r="D1567" s="62"/>
      <x:c r="E1567" s="61"/>
      <x:c r="F1567" s="61"/>
      <x:c r="G1567" s="63"/>
      <x:c r="H1567" s="63">
        <x:f t="shared" si="107"/>
        <x:v>0</x:v>
      </x:c>
      <x:c r="I1567" s="64"/>
      <x:c r="J1567" s="63">
        <x:f t="shared" si="108"/>
        <x:v>0</x:v>
      </x:c>
      <x:c r="K1567" s="63" t="str">
        <x:f t="shared" si="106"/>
      </x:c>
      <x:c r="L1567" s="63">
        <x:f t="shared" si="109"/>
        <x:v>0</x:v>
      </x:c>
      <x:c r="M1567" s="61"/>
    </x:row>
    <x:row r="1568">
      <x:c r="A1568" s="61" t="str">
        <x:f>IF(E1568="","",MAX($A$6:A1567)+1)</x:f>
      </x:c>
      <x:c r="B1568" s="61"/>
      <x:c r="C1568" s="61"/>
      <x:c r="D1568" s="62"/>
      <x:c r="E1568" s="61"/>
      <x:c r="F1568" s="61"/>
      <x:c r="G1568" s="63"/>
      <x:c r="H1568" s="63">
        <x:f t="shared" si="107"/>
        <x:v>0</x:v>
      </x:c>
      <x:c r="I1568" s="64"/>
      <x:c r="J1568" s="63">
        <x:f t="shared" si="108"/>
        <x:v>0</x:v>
      </x:c>
      <x:c r="K1568" s="63" t="str">
        <x:f t="shared" si="106"/>
      </x:c>
      <x:c r="L1568" s="63">
        <x:f t="shared" si="109"/>
        <x:v>0</x:v>
      </x:c>
      <x:c r="M1568" s="61"/>
    </x:row>
    <x:row r="1569">
      <x:c r="A1569" s="61" t="str">
        <x:f>IF(E1569="","",MAX($A$6:A1568)+1)</x:f>
      </x:c>
      <x:c r="B1569" s="61"/>
      <x:c r="C1569" s="61"/>
      <x:c r="D1569" s="62"/>
      <x:c r="E1569" s="61"/>
      <x:c r="F1569" s="61"/>
      <x:c r="G1569" s="63"/>
      <x:c r="H1569" s="63">
        <x:f t="shared" si="107"/>
        <x:v>0</x:v>
      </x:c>
      <x:c r="I1569" s="64"/>
      <x:c r="J1569" s="63">
        <x:f t="shared" si="108"/>
        <x:v>0</x:v>
      </x:c>
      <x:c r="K1569" s="63" t="str">
        <x:f t="shared" si="106"/>
      </x:c>
      <x:c r="L1569" s="63">
        <x:f t="shared" si="109"/>
        <x:v>0</x:v>
      </x:c>
      <x:c r="M1569" s="61"/>
    </x:row>
    <x:row r="1570">
      <x:c r="A1570" s="61" t="str">
        <x:f>IF(E1570="","",MAX($A$6:A1569)+1)</x:f>
      </x:c>
      <x:c r="B1570" s="61"/>
      <x:c r="C1570" s="61"/>
      <x:c r="D1570" s="62"/>
      <x:c r="E1570" s="61"/>
      <x:c r="F1570" s="61"/>
      <x:c r="G1570" s="63"/>
      <x:c r="H1570" s="63">
        <x:f t="shared" si="107"/>
        <x:v>0</x:v>
      </x:c>
      <x:c r="I1570" s="64"/>
      <x:c r="J1570" s="63">
        <x:f t="shared" si="108"/>
        <x:v>0</x:v>
      </x:c>
      <x:c r="K1570" s="63" t="str">
        <x:f t="shared" si="106"/>
      </x:c>
      <x:c r="L1570" s="63">
        <x:f t="shared" si="109"/>
        <x:v>0</x:v>
      </x:c>
      <x:c r="M1570" s="61"/>
    </x:row>
    <x:row r="1571">
      <x:c r="A1571" s="61" t="str">
        <x:f>IF(E1571="","",MAX($A$6:A1570)+1)</x:f>
      </x:c>
      <x:c r="B1571" s="61"/>
      <x:c r="C1571" s="61"/>
      <x:c r="D1571" s="62"/>
      <x:c r="E1571" s="61"/>
      <x:c r="F1571" s="61"/>
      <x:c r="G1571" s="63"/>
      <x:c r="H1571" s="63">
        <x:f t="shared" si="107"/>
        <x:v>0</x:v>
      </x:c>
      <x:c r="I1571" s="64"/>
      <x:c r="J1571" s="63">
        <x:f t="shared" si="108"/>
        <x:v>0</x:v>
      </x:c>
      <x:c r="K1571" s="63" t="str">
        <x:f t="shared" si="106"/>
      </x:c>
      <x:c r="L1571" s="63">
        <x:f t="shared" si="109"/>
        <x:v>0</x:v>
      </x:c>
      <x:c r="M1571" s="61"/>
    </x:row>
    <x:row r="1572">
      <x:c r="A1572" s="61" t="str">
        <x:f>IF(E1572="","",MAX($A$6:A1571)+1)</x:f>
      </x:c>
      <x:c r="B1572" s="61"/>
      <x:c r="C1572" s="61"/>
      <x:c r="D1572" s="62"/>
      <x:c r="E1572" s="61"/>
      <x:c r="F1572" s="61"/>
      <x:c r="G1572" s="63"/>
      <x:c r="H1572" s="63">
        <x:f t="shared" si="107"/>
        <x:v>0</x:v>
      </x:c>
      <x:c r="I1572" s="64"/>
      <x:c r="J1572" s="63">
        <x:f t="shared" si="108"/>
        <x:v>0</x:v>
      </x:c>
      <x:c r="K1572" s="63" t="str">
        <x:f t="shared" si="106"/>
      </x:c>
      <x:c r="L1572" s="63">
        <x:f t="shared" si="109"/>
        <x:v>0</x:v>
      </x:c>
      <x:c r="M1572" s="61"/>
    </x:row>
    <x:row r="1573">
      <x:c r="A1573" s="61" t="str">
        <x:f>IF(E1573="","",MAX($A$6:A1572)+1)</x:f>
      </x:c>
      <x:c r="B1573" s="61"/>
      <x:c r="C1573" s="61"/>
      <x:c r="D1573" s="62"/>
      <x:c r="E1573" s="61"/>
      <x:c r="F1573" s="61"/>
      <x:c r="G1573" s="63"/>
      <x:c r="H1573" s="63">
        <x:f t="shared" si="107"/>
        <x:v>0</x:v>
      </x:c>
      <x:c r="I1573" s="64"/>
      <x:c r="J1573" s="63">
        <x:f t="shared" si="108"/>
        <x:v>0</x:v>
      </x:c>
      <x:c r="K1573" s="63" t="str">
        <x:f t="shared" si="106"/>
      </x:c>
      <x:c r="L1573" s="63">
        <x:f t="shared" si="109"/>
        <x:v>0</x:v>
      </x:c>
      <x:c r="M1573" s="61"/>
    </x:row>
    <x:row r="1574">
      <x:c r="A1574" s="61" t="str">
        <x:f>IF(E1574="","",MAX($A$6:A1573)+1)</x:f>
      </x:c>
      <x:c r="B1574" s="61"/>
      <x:c r="C1574" s="61"/>
      <x:c r="D1574" s="62"/>
      <x:c r="E1574" s="61"/>
      <x:c r="F1574" s="61"/>
      <x:c r="G1574" s="63"/>
      <x:c r="H1574" s="63">
        <x:f t="shared" si="107"/>
        <x:v>0</x:v>
      </x:c>
      <x:c r="I1574" s="64"/>
      <x:c r="J1574" s="63">
        <x:f t="shared" si="108"/>
        <x:v>0</x:v>
      </x:c>
      <x:c r="K1574" s="63" t="str">
        <x:f t="shared" si="106"/>
      </x:c>
      <x:c r="L1574" s="63">
        <x:f t="shared" si="109"/>
        <x:v>0</x:v>
      </x:c>
      <x:c r="M1574" s="61"/>
    </x:row>
    <x:row r="1575">
      <x:c r="A1575" s="61" t="str">
        <x:f>IF(E1575="","",MAX($A$6:A1574)+1)</x:f>
      </x:c>
      <x:c r="B1575" s="61"/>
      <x:c r="C1575" s="61"/>
      <x:c r="D1575" s="62"/>
      <x:c r="E1575" s="61"/>
      <x:c r="F1575" s="61"/>
      <x:c r="G1575" s="63"/>
      <x:c r="H1575" s="63">
        <x:f t="shared" si="107"/>
        <x:v>0</x:v>
      </x:c>
      <x:c r="I1575" s="64"/>
      <x:c r="J1575" s="63">
        <x:f t="shared" si="108"/>
        <x:v>0</x:v>
      </x:c>
      <x:c r="K1575" s="63" t="str">
        <x:f t="shared" si="106"/>
      </x:c>
      <x:c r="L1575" s="63">
        <x:f t="shared" si="109"/>
        <x:v>0</x:v>
      </x:c>
      <x:c r="M1575" s="61"/>
    </x:row>
    <x:row r="1576">
      <x:c r="A1576" s="61" t="str">
        <x:f>IF(E1576="","",MAX($A$6:A1575)+1)</x:f>
      </x:c>
      <x:c r="B1576" s="61"/>
      <x:c r="C1576" s="61"/>
      <x:c r="D1576" s="62"/>
      <x:c r="E1576" s="61"/>
      <x:c r="F1576" s="61"/>
      <x:c r="G1576" s="63"/>
      <x:c r="H1576" s="63">
        <x:f t="shared" si="107"/>
        <x:v>0</x:v>
      </x:c>
      <x:c r="I1576" s="64"/>
      <x:c r="J1576" s="63">
        <x:f t="shared" si="108"/>
        <x:v>0</x:v>
      </x:c>
      <x:c r="K1576" s="63" t="str">
        <x:f t="shared" si="106"/>
      </x:c>
      <x:c r="L1576" s="63">
        <x:f t="shared" si="109"/>
        <x:v>0</x:v>
      </x:c>
      <x:c r="M1576" s="61"/>
    </x:row>
    <x:row r="1577">
      <x:c r="A1577" s="61" t="str">
        <x:f>IF(E1577="","",MAX($A$6:A1576)+1)</x:f>
      </x:c>
      <x:c r="B1577" s="61"/>
      <x:c r="C1577" s="61"/>
      <x:c r="D1577" s="62"/>
      <x:c r="E1577" s="61"/>
      <x:c r="F1577" s="61"/>
      <x:c r="G1577" s="63"/>
      <x:c r="H1577" s="63">
        <x:f t="shared" si="107"/>
        <x:v>0</x:v>
      </x:c>
      <x:c r="I1577" s="64"/>
      <x:c r="J1577" s="63">
        <x:f t="shared" si="108"/>
        <x:v>0</x:v>
      </x:c>
      <x:c r="K1577" s="63" t="str">
        <x:f t="shared" si="106"/>
      </x:c>
      <x:c r="L1577" s="63">
        <x:f t="shared" si="109"/>
        <x:v>0</x:v>
      </x:c>
      <x:c r="M1577" s="61"/>
    </x:row>
    <x:row r="1578">
      <x:c r="A1578" s="61" t="str">
        <x:f>IF(E1578="","",MAX($A$6:A1577)+1)</x:f>
      </x:c>
      <x:c r="B1578" s="61"/>
      <x:c r="C1578" s="61"/>
      <x:c r="D1578" s="62"/>
      <x:c r="E1578" s="61"/>
      <x:c r="F1578" s="61"/>
      <x:c r="G1578" s="63"/>
      <x:c r="H1578" s="63">
        <x:f t="shared" si="107"/>
        <x:v>0</x:v>
      </x:c>
      <x:c r="I1578" s="64"/>
      <x:c r="J1578" s="63">
        <x:f t="shared" si="108"/>
        <x:v>0</x:v>
      </x:c>
      <x:c r="K1578" s="63" t="str">
        <x:f t="shared" si="106"/>
      </x:c>
      <x:c r="L1578" s="63">
        <x:f t="shared" si="109"/>
        <x:v>0</x:v>
      </x:c>
      <x:c r="M1578" s="61"/>
    </x:row>
    <x:row r="1579">
      <x:c r="A1579" s="61" t="str">
        <x:f>IF(E1579="","",MAX($A$6:A1578)+1)</x:f>
      </x:c>
      <x:c r="B1579" s="61"/>
      <x:c r="C1579" s="61"/>
      <x:c r="D1579" s="62"/>
      <x:c r="E1579" s="61"/>
      <x:c r="F1579" s="61"/>
      <x:c r="G1579" s="63"/>
      <x:c r="H1579" s="63">
        <x:f t="shared" si="107"/>
        <x:v>0</x:v>
      </x:c>
      <x:c r="I1579" s="64"/>
      <x:c r="J1579" s="63">
        <x:f t="shared" si="108"/>
        <x:v>0</x:v>
      </x:c>
      <x:c r="K1579" s="63" t="str">
        <x:f t="shared" si="106"/>
      </x:c>
      <x:c r="L1579" s="63">
        <x:f t="shared" si="109"/>
        <x:v>0</x:v>
      </x:c>
      <x:c r="M1579" s="61"/>
    </x:row>
    <x:row r="1580">
      <x:c r="A1580" s="61" t="str">
        <x:f>IF(E1580="","",MAX($A$6:A1579)+1)</x:f>
      </x:c>
      <x:c r="B1580" s="61"/>
      <x:c r="C1580" s="61"/>
      <x:c r="D1580" s="62"/>
      <x:c r="E1580" s="61"/>
      <x:c r="F1580" s="61"/>
      <x:c r="G1580" s="63"/>
      <x:c r="H1580" s="63">
        <x:f t="shared" si="107"/>
        <x:v>0</x:v>
      </x:c>
      <x:c r="I1580" s="64"/>
      <x:c r="J1580" s="63">
        <x:f t="shared" si="108"/>
        <x:v>0</x:v>
      </x:c>
      <x:c r="K1580" s="63" t="str">
        <x:f t="shared" si="106"/>
      </x:c>
      <x:c r="L1580" s="63">
        <x:f t="shared" si="109"/>
        <x:v>0</x:v>
      </x:c>
      <x:c r="M1580" s="61"/>
    </x:row>
    <x:row r="1581">
      <x:c r="A1581" s="61" t="str">
        <x:f>IF(E1581="","",MAX($A$6:A1580)+1)</x:f>
      </x:c>
      <x:c r="B1581" s="61"/>
      <x:c r="C1581" s="61"/>
      <x:c r="D1581" s="62"/>
      <x:c r="E1581" s="61"/>
      <x:c r="F1581" s="61"/>
      <x:c r="G1581" s="63"/>
      <x:c r="H1581" s="63">
        <x:f t="shared" si="107"/>
        <x:v>0</x:v>
      </x:c>
      <x:c r="I1581" s="64"/>
      <x:c r="J1581" s="63">
        <x:f t="shared" si="108"/>
        <x:v>0</x:v>
      </x:c>
      <x:c r="K1581" s="63" t="str">
        <x:f t="shared" si="106"/>
      </x:c>
      <x:c r="L1581" s="63">
        <x:f t="shared" si="109"/>
        <x:v>0</x:v>
      </x:c>
      <x:c r="M1581" s="61"/>
    </x:row>
    <x:row r="1582">
      <x:c r="A1582" s="61" t="str">
        <x:f>IF(E1582="","",MAX($A$6:A1581)+1)</x:f>
      </x:c>
      <x:c r="B1582" s="61"/>
      <x:c r="C1582" s="61"/>
      <x:c r="D1582" s="62"/>
      <x:c r="E1582" s="61"/>
      <x:c r="F1582" s="61"/>
      <x:c r="G1582" s="63"/>
      <x:c r="H1582" s="63">
        <x:f t="shared" si="107"/>
        <x:v>0</x:v>
      </x:c>
      <x:c r="I1582" s="64"/>
      <x:c r="J1582" s="63">
        <x:f t="shared" si="108"/>
        <x:v>0</x:v>
      </x:c>
      <x:c r="K1582" s="63" t="str">
        <x:f t="shared" si="106"/>
      </x:c>
      <x:c r="L1582" s="63">
        <x:f t="shared" si="109"/>
        <x:v>0</x:v>
      </x:c>
      <x:c r="M1582" s="61"/>
    </x:row>
    <x:row r="1583">
      <x:c r="A1583" s="61" t="str">
        <x:f>IF(E1583="","",MAX($A$6:A1582)+1)</x:f>
      </x:c>
      <x:c r="B1583" s="61"/>
      <x:c r="C1583" s="61"/>
      <x:c r="D1583" s="62"/>
      <x:c r="E1583" s="61"/>
      <x:c r="F1583" s="61"/>
      <x:c r="G1583" s="63"/>
      <x:c r="H1583" s="63">
        <x:f t="shared" si="107"/>
        <x:v>0</x:v>
      </x:c>
      <x:c r="I1583" s="64"/>
      <x:c r="J1583" s="63">
        <x:f t="shared" si="108"/>
        <x:v>0</x:v>
      </x:c>
      <x:c r="K1583" s="63" t="str">
        <x:f t="shared" si="106"/>
      </x:c>
      <x:c r="L1583" s="63">
        <x:f t="shared" si="109"/>
        <x:v>0</x:v>
      </x:c>
      <x:c r="M1583" s="61"/>
    </x:row>
    <x:row r="1584">
      <x:c r="A1584" s="61" t="str">
        <x:f>IF(E1584="","",MAX($A$6:A1583)+1)</x:f>
      </x:c>
      <x:c r="B1584" s="61"/>
      <x:c r="C1584" s="61"/>
      <x:c r="D1584" s="62"/>
      <x:c r="E1584" s="61"/>
      <x:c r="F1584" s="61"/>
      <x:c r="G1584" s="63"/>
      <x:c r="H1584" s="63">
        <x:f t="shared" si="107"/>
        <x:v>0</x:v>
      </x:c>
      <x:c r="I1584" s="64"/>
      <x:c r="J1584" s="63">
        <x:f t="shared" si="108"/>
        <x:v>0</x:v>
      </x:c>
      <x:c r="K1584" s="63" t="str">
        <x:f t="shared" si="106"/>
      </x:c>
      <x:c r="L1584" s="63">
        <x:f t="shared" si="109"/>
        <x:v>0</x:v>
      </x:c>
      <x:c r="M1584" s="61"/>
    </x:row>
    <x:row r="1585">
      <x:c r="A1585" s="61" t="str">
        <x:f>IF(E1585="","",MAX($A$6:A1584)+1)</x:f>
      </x:c>
      <x:c r="B1585" s="61"/>
      <x:c r="C1585" s="61"/>
      <x:c r="D1585" s="62"/>
      <x:c r="E1585" s="61"/>
      <x:c r="F1585" s="61"/>
      <x:c r="G1585" s="63"/>
      <x:c r="H1585" s="63">
        <x:f t="shared" si="107"/>
        <x:v>0</x:v>
      </x:c>
      <x:c r="I1585" s="64"/>
      <x:c r="J1585" s="63">
        <x:f t="shared" si="108"/>
        <x:v>0</x:v>
      </x:c>
      <x:c r="K1585" s="63" t="str">
        <x:f t="shared" si="106"/>
      </x:c>
      <x:c r="L1585" s="63">
        <x:f t="shared" si="109"/>
        <x:v>0</x:v>
      </x:c>
      <x:c r="M1585" s="61"/>
    </x:row>
    <x:row r="1586">
      <x:c r="A1586" s="61" t="str">
        <x:f>IF(E1586="","",MAX($A$6:A1585)+1)</x:f>
      </x:c>
      <x:c r="B1586" s="61"/>
      <x:c r="C1586" s="61"/>
      <x:c r="D1586" s="62"/>
      <x:c r="E1586" s="61"/>
      <x:c r="F1586" s="61"/>
      <x:c r="G1586" s="63"/>
      <x:c r="H1586" s="63">
        <x:f t="shared" si="107"/>
        <x:v>0</x:v>
      </x:c>
      <x:c r="I1586" s="64"/>
      <x:c r="J1586" s="63">
        <x:f t="shared" si="108"/>
        <x:v>0</x:v>
      </x:c>
      <x:c r="K1586" s="63" t="str">
        <x:f t="shared" si="106"/>
      </x:c>
      <x:c r="L1586" s="63">
        <x:f t="shared" si="109"/>
        <x:v>0</x:v>
      </x:c>
      <x:c r="M1586" s="61"/>
    </x:row>
    <x:row r="1587">
      <x:c r="A1587" s="61" t="str">
        <x:f>IF(E1587="","",MAX($A$6:A1586)+1)</x:f>
      </x:c>
      <x:c r="B1587" s="61"/>
      <x:c r="C1587" s="61"/>
      <x:c r="D1587" s="62"/>
      <x:c r="E1587" s="61"/>
      <x:c r="F1587" s="61"/>
      <x:c r="G1587" s="63"/>
      <x:c r="H1587" s="63">
        <x:f t="shared" si="107"/>
        <x:v>0</x:v>
      </x:c>
      <x:c r="I1587" s="64"/>
      <x:c r="J1587" s="63">
        <x:f t="shared" si="108"/>
        <x:v>0</x:v>
      </x:c>
      <x:c r="K1587" s="63" t="str">
        <x:f t="shared" si="106"/>
      </x:c>
      <x:c r="L1587" s="63">
        <x:f t="shared" si="109"/>
        <x:v>0</x:v>
      </x:c>
      <x:c r="M1587" s="61"/>
    </x:row>
    <x:row r="1588">
      <x:c r="A1588" s="61" t="str">
        <x:f>IF(E1588="","",MAX($A$6:A1587)+1)</x:f>
      </x:c>
      <x:c r="B1588" s="61"/>
      <x:c r="C1588" s="61"/>
      <x:c r="D1588" s="62"/>
      <x:c r="E1588" s="61"/>
      <x:c r="F1588" s="61"/>
      <x:c r="G1588" s="63"/>
      <x:c r="H1588" s="63">
        <x:f t="shared" si="107"/>
        <x:v>0</x:v>
      </x:c>
      <x:c r="I1588" s="64"/>
      <x:c r="J1588" s="63">
        <x:f t="shared" si="108"/>
        <x:v>0</x:v>
      </x:c>
      <x:c r="K1588" s="63" t="str">
        <x:f t="shared" si="106"/>
      </x:c>
      <x:c r="L1588" s="63">
        <x:f t="shared" si="109"/>
        <x:v>0</x:v>
      </x:c>
      <x:c r="M1588" s="61"/>
    </x:row>
    <x:row r="1589">
      <x:c r="A1589" s="61" t="str">
        <x:f>IF(E1589="","",MAX($A$6:A1588)+1)</x:f>
      </x:c>
      <x:c r="B1589" s="61"/>
      <x:c r="C1589" s="61"/>
      <x:c r="D1589" s="62"/>
      <x:c r="E1589" s="61"/>
      <x:c r="F1589" s="61"/>
      <x:c r="G1589" s="63"/>
      <x:c r="H1589" s="63">
        <x:f t="shared" si="107"/>
        <x:v>0</x:v>
      </x:c>
      <x:c r="I1589" s="64"/>
      <x:c r="J1589" s="63">
        <x:f t="shared" si="108"/>
        <x:v>0</x:v>
      </x:c>
      <x:c r="K1589" s="63" t="str">
        <x:f t="shared" si="106"/>
      </x:c>
      <x:c r="L1589" s="63">
        <x:f t="shared" si="109"/>
        <x:v>0</x:v>
      </x:c>
      <x:c r="M1589" s="61"/>
    </x:row>
    <x:row r="1590">
      <x:c r="A1590" s="61" t="str">
        <x:f>IF(E1590="","",MAX($A$6:A1589)+1)</x:f>
      </x:c>
      <x:c r="B1590" s="61"/>
      <x:c r="C1590" s="61"/>
      <x:c r="D1590" s="62"/>
      <x:c r="E1590" s="61"/>
      <x:c r="F1590" s="61"/>
      <x:c r="G1590" s="63"/>
      <x:c r="H1590" s="63">
        <x:f t="shared" si="107"/>
        <x:v>0</x:v>
      </x:c>
      <x:c r="I1590" s="64"/>
      <x:c r="J1590" s="63">
        <x:f t="shared" si="108"/>
        <x:v>0</x:v>
      </x:c>
      <x:c r="K1590" s="63" t="str">
        <x:f t="shared" ref="K1590:K1653" si="110">IFERROR(IF(G1590="","",MAX(1,G1590-J1590)),0)</x:f>
      </x:c>
      <x:c r="L1590" s="63">
        <x:f t="shared" si="109"/>
        <x:v>0</x:v>
      </x:c>
      <x:c r="M1590" s="61"/>
    </x:row>
    <x:row r="1591">
      <x:c r="A1591" s="61" t="str">
        <x:f>IF(E1591="","",MAX($A$6:A1590)+1)</x:f>
      </x:c>
      <x:c r="B1591" s="61"/>
      <x:c r="C1591" s="61"/>
      <x:c r="D1591" s="62"/>
      <x:c r="E1591" s="61"/>
      <x:c r="F1591" s="61"/>
      <x:c r="G1591" s="63"/>
      <x:c r="H1591" s="63">
        <x:f t="shared" si="107"/>
        <x:v>0</x:v>
      </x:c>
      <x:c r="I1591" s="64"/>
      <x:c r="J1591" s="63">
        <x:f t="shared" si="108"/>
        <x:v>0</x:v>
      </x:c>
      <x:c r="K1591" s="63" t="str">
        <x:f t="shared" si="110"/>
      </x:c>
      <x:c r="L1591" s="63">
        <x:f t="shared" si="109"/>
        <x:v>0</x:v>
      </x:c>
      <x:c r="M1591" s="61"/>
    </x:row>
    <x:row r="1592">
      <x:c r="A1592" s="61" t="str">
        <x:f>IF(E1592="","",MAX($A$6:A1591)+1)</x:f>
      </x:c>
      <x:c r="B1592" s="61"/>
      <x:c r="C1592" s="61"/>
      <x:c r="D1592" s="62"/>
      <x:c r="E1592" s="61"/>
      <x:c r="F1592" s="61"/>
      <x:c r="G1592" s="63"/>
      <x:c r="H1592" s="63">
        <x:f t="shared" si="107"/>
        <x:v>0</x:v>
      </x:c>
      <x:c r="I1592" s="64"/>
      <x:c r="J1592" s="63">
        <x:f t="shared" si="108"/>
        <x:v>0</x:v>
      </x:c>
      <x:c r="K1592" s="63" t="str">
        <x:f t="shared" si="110"/>
      </x:c>
      <x:c r="L1592" s="63">
        <x:f t="shared" si="109"/>
        <x:v>0</x:v>
      </x:c>
      <x:c r="M1592" s="61"/>
    </x:row>
    <x:row r="1593">
      <x:c r="A1593" s="61" t="str">
        <x:f>IF(E1593="","",MAX($A$6:A1592)+1)</x:f>
      </x:c>
      <x:c r="B1593" s="61"/>
      <x:c r="C1593" s="61"/>
      <x:c r="D1593" s="62"/>
      <x:c r="E1593" s="61"/>
      <x:c r="F1593" s="61"/>
      <x:c r="G1593" s="63"/>
      <x:c r="H1593" s="63">
        <x:f t="shared" si="107"/>
        <x:v>0</x:v>
      </x:c>
      <x:c r="I1593" s="64"/>
      <x:c r="J1593" s="63">
        <x:f t="shared" si="108"/>
        <x:v>0</x:v>
      </x:c>
      <x:c r="K1593" s="63" t="str">
        <x:f t="shared" si="110"/>
      </x:c>
      <x:c r="L1593" s="63">
        <x:f t="shared" si="109"/>
        <x:v>0</x:v>
      </x:c>
      <x:c r="M1593" s="61"/>
    </x:row>
    <x:row r="1594">
      <x:c r="A1594" s="61" t="str">
        <x:f>IF(E1594="","",MAX($A$6:A1593)+1)</x:f>
      </x:c>
      <x:c r="B1594" s="61"/>
      <x:c r="C1594" s="61"/>
      <x:c r="D1594" s="62"/>
      <x:c r="E1594" s="61"/>
      <x:c r="F1594" s="61"/>
      <x:c r="G1594" s="63"/>
      <x:c r="H1594" s="63">
        <x:f t="shared" si="107"/>
        <x:v>0</x:v>
      </x:c>
      <x:c r="I1594" s="64"/>
      <x:c r="J1594" s="63">
        <x:f t="shared" si="108"/>
        <x:v>0</x:v>
      </x:c>
      <x:c r="K1594" s="63" t="str">
        <x:f t="shared" si="110"/>
      </x:c>
      <x:c r="L1594" s="63">
        <x:f t="shared" si="109"/>
        <x:v>0</x:v>
      </x:c>
      <x:c r="M1594" s="61"/>
    </x:row>
    <x:row r="1595">
      <x:c r="A1595" s="61" t="str">
        <x:f>IF(E1595="","",MAX($A$6:A1594)+1)</x:f>
      </x:c>
      <x:c r="B1595" s="61"/>
      <x:c r="C1595" s="61"/>
      <x:c r="D1595" s="62"/>
      <x:c r="E1595" s="61"/>
      <x:c r="F1595" s="61"/>
      <x:c r="G1595" s="63"/>
      <x:c r="H1595" s="63">
        <x:f t="shared" si="107"/>
        <x:v>0</x:v>
      </x:c>
      <x:c r="I1595" s="64"/>
      <x:c r="J1595" s="63">
        <x:f t="shared" si="108"/>
        <x:v>0</x:v>
      </x:c>
      <x:c r="K1595" s="63" t="str">
        <x:f t="shared" si="110"/>
      </x:c>
      <x:c r="L1595" s="63">
        <x:f t="shared" si="109"/>
        <x:v>0</x:v>
      </x:c>
      <x:c r="M1595" s="61"/>
    </x:row>
    <x:row r="1596">
      <x:c r="A1596" s="61" t="str">
        <x:f>IF(E1596="","",MAX($A$6:A1595)+1)</x:f>
      </x:c>
      <x:c r="B1596" s="61"/>
      <x:c r="C1596" s="61"/>
      <x:c r="D1596" s="62"/>
      <x:c r="E1596" s="61"/>
      <x:c r="F1596" s="61"/>
      <x:c r="G1596" s="63"/>
      <x:c r="H1596" s="63">
        <x:f t="shared" si="107"/>
        <x:v>0</x:v>
      </x:c>
      <x:c r="I1596" s="64"/>
      <x:c r="J1596" s="63">
        <x:f t="shared" si="108"/>
        <x:v>0</x:v>
      </x:c>
      <x:c r="K1596" s="63" t="str">
        <x:f t="shared" si="110"/>
      </x:c>
      <x:c r="L1596" s="63">
        <x:f t="shared" si="109"/>
        <x:v>0</x:v>
      </x:c>
      <x:c r="M1596" s="61"/>
    </x:row>
    <x:row r="1597">
      <x:c r="A1597" s="61" t="str">
        <x:f>IF(E1597="","",MAX($A$6:A1596)+1)</x:f>
      </x:c>
      <x:c r="B1597" s="61"/>
      <x:c r="C1597" s="61"/>
      <x:c r="D1597" s="62"/>
      <x:c r="E1597" s="61"/>
      <x:c r="F1597" s="61"/>
      <x:c r="G1597" s="63"/>
      <x:c r="H1597" s="63">
        <x:f t="shared" si="107"/>
        <x:v>0</x:v>
      </x:c>
      <x:c r="I1597" s="64"/>
      <x:c r="J1597" s="63">
        <x:f t="shared" si="108"/>
        <x:v>0</x:v>
      </x:c>
      <x:c r="K1597" s="63" t="str">
        <x:f t="shared" si="110"/>
      </x:c>
      <x:c r="L1597" s="63">
        <x:f t="shared" si="109"/>
        <x:v>0</x:v>
      </x:c>
      <x:c r="M1597" s="61"/>
    </x:row>
    <x:row r="1598">
      <x:c r="A1598" s="61" t="str">
        <x:f>IF(E1598="","",MAX($A$6:A1597)+1)</x:f>
      </x:c>
      <x:c r="B1598" s="61"/>
      <x:c r="C1598" s="61"/>
      <x:c r="D1598" s="62"/>
      <x:c r="E1598" s="61"/>
      <x:c r="F1598" s="61"/>
      <x:c r="G1598" s="63"/>
      <x:c r="H1598" s="63">
        <x:f t="shared" si="107"/>
        <x:v>0</x:v>
      </x:c>
      <x:c r="I1598" s="64"/>
      <x:c r="J1598" s="63">
        <x:f t="shared" si="108"/>
        <x:v>0</x:v>
      </x:c>
      <x:c r="K1598" s="63" t="str">
        <x:f t="shared" si="110"/>
      </x:c>
      <x:c r="L1598" s="63">
        <x:f t="shared" si="109"/>
        <x:v>0</x:v>
      </x:c>
      <x:c r="M1598" s="61"/>
    </x:row>
    <x:row r="1599">
      <x:c r="A1599" s="61" t="str">
        <x:f>IF(E1599="","",MAX($A$6:A1598)+1)</x:f>
      </x:c>
      <x:c r="B1599" s="61"/>
      <x:c r="C1599" s="61"/>
      <x:c r="D1599" s="62"/>
      <x:c r="E1599" s="61"/>
      <x:c r="F1599" s="61"/>
      <x:c r="G1599" s="63"/>
      <x:c r="H1599" s="63">
        <x:f t="shared" si="107"/>
        <x:v>0</x:v>
      </x:c>
      <x:c r="I1599" s="64"/>
      <x:c r="J1599" s="63">
        <x:f t="shared" si="108"/>
        <x:v>0</x:v>
      </x:c>
      <x:c r="K1599" s="63" t="str">
        <x:f t="shared" si="110"/>
      </x:c>
      <x:c r="L1599" s="63">
        <x:f t="shared" si="109"/>
        <x:v>0</x:v>
      </x:c>
      <x:c r="M1599" s="61"/>
    </x:row>
    <x:row r="1600">
      <x:c r="A1600" s="61" t="str">
        <x:f>IF(E1600="","",MAX($A$6:A1599)+1)</x:f>
      </x:c>
      <x:c r="B1600" s="61"/>
      <x:c r="C1600" s="61"/>
      <x:c r="D1600" s="62"/>
      <x:c r="E1600" s="61"/>
      <x:c r="F1600" s="61"/>
      <x:c r="G1600" s="63"/>
      <x:c r="H1600" s="63">
        <x:f t="shared" si="107"/>
        <x:v>0</x:v>
      </x:c>
      <x:c r="I1600" s="64"/>
      <x:c r="J1600" s="63">
        <x:f t="shared" si="108"/>
        <x:v>0</x:v>
      </x:c>
      <x:c r="K1600" s="63" t="str">
        <x:f t="shared" si="110"/>
      </x:c>
      <x:c r="L1600" s="63">
        <x:f t="shared" si="109"/>
        <x:v>0</x:v>
      </x:c>
      <x:c r="M1600" s="61"/>
    </x:row>
    <x:row r="1601">
      <x:c r="A1601" s="61" t="str">
        <x:f>IF(E1601="","",MAX($A$6:A1600)+1)</x:f>
      </x:c>
      <x:c r="B1601" s="61"/>
      <x:c r="C1601" s="61"/>
      <x:c r="D1601" s="62"/>
      <x:c r="E1601" s="61"/>
      <x:c r="F1601" s="61"/>
      <x:c r="G1601" s="63"/>
      <x:c r="H1601" s="63">
        <x:f t="shared" si="107"/>
        <x:v>0</x:v>
      </x:c>
      <x:c r="I1601" s="64"/>
      <x:c r="J1601" s="63">
        <x:f t="shared" si="108"/>
        <x:v>0</x:v>
      </x:c>
      <x:c r="K1601" s="63" t="str">
        <x:f t="shared" si="110"/>
      </x:c>
      <x:c r="L1601" s="63">
        <x:f t="shared" si="109"/>
        <x:v>0</x:v>
      </x:c>
      <x:c r="M1601" s="61"/>
    </x:row>
    <x:row r="1602">
      <x:c r="A1602" s="61" t="str">
        <x:f>IF(E1602="","",MAX($A$6:A1601)+1)</x:f>
      </x:c>
      <x:c r="B1602" s="61"/>
      <x:c r="C1602" s="61"/>
      <x:c r="D1602" s="62"/>
      <x:c r="E1602" s="61"/>
      <x:c r="F1602" s="61"/>
      <x:c r="G1602" s="63"/>
      <x:c r="H1602" s="63">
        <x:f t="shared" si="107"/>
        <x:v>0</x:v>
      </x:c>
      <x:c r="I1602" s="64"/>
      <x:c r="J1602" s="63">
        <x:f t="shared" si="108"/>
        <x:v>0</x:v>
      </x:c>
      <x:c r="K1602" s="63" t="str">
        <x:f t="shared" si="110"/>
      </x:c>
      <x:c r="L1602" s="63">
        <x:f t="shared" si="109"/>
        <x:v>0</x:v>
      </x:c>
      <x:c r="M1602" s="61"/>
    </x:row>
    <x:row r="1603">
      <x:c r="A1603" s="61" t="str">
        <x:f>IF(E1603="","",MAX($A$6:A1602)+1)</x:f>
      </x:c>
      <x:c r="B1603" s="61"/>
      <x:c r="C1603" s="61"/>
      <x:c r="D1603" s="62"/>
      <x:c r="E1603" s="61"/>
      <x:c r="F1603" s="61"/>
      <x:c r="G1603" s="63"/>
      <x:c r="H1603" s="63">
        <x:f t="shared" si="107"/>
        <x:v>0</x:v>
      </x:c>
      <x:c r="I1603" s="64"/>
      <x:c r="J1603" s="63">
        <x:f t="shared" si="108"/>
        <x:v>0</x:v>
      </x:c>
      <x:c r="K1603" s="63" t="str">
        <x:f t="shared" si="110"/>
      </x:c>
      <x:c r="L1603" s="63">
        <x:f t="shared" si="109"/>
        <x:v>0</x:v>
      </x:c>
      <x:c r="M1603" s="61"/>
    </x:row>
    <x:row r="1604">
      <x:c r="A1604" s="61" t="str">
        <x:f>IF(E1604="","",MAX($A$6:A1603)+1)</x:f>
      </x:c>
      <x:c r="B1604" s="61"/>
      <x:c r="C1604" s="61"/>
      <x:c r="D1604" s="62"/>
      <x:c r="E1604" s="61"/>
      <x:c r="F1604" s="61"/>
      <x:c r="G1604" s="63"/>
      <x:c r="H1604" s="63">
        <x:f t="shared" si="107"/>
        <x:v>0</x:v>
      </x:c>
      <x:c r="I1604" s="64"/>
      <x:c r="J1604" s="63">
        <x:f t="shared" si="108"/>
        <x:v>0</x:v>
      </x:c>
      <x:c r="K1604" s="63" t="str">
        <x:f t="shared" si="110"/>
      </x:c>
      <x:c r="L1604" s="63">
        <x:f t="shared" si="109"/>
        <x:v>0</x:v>
      </x:c>
      <x:c r="M1604" s="61"/>
    </x:row>
    <x:row r="1605">
      <x:c r="A1605" s="61" t="str">
        <x:f>IF(E1605="","",MAX($A$6:A1604)+1)</x:f>
      </x:c>
      <x:c r="B1605" s="61"/>
      <x:c r="C1605" s="61"/>
      <x:c r="D1605" s="62"/>
      <x:c r="E1605" s="61"/>
      <x:c r="F1605" s="61"/>
      <x:c r="G1605" s="63"/>
      <x:c r="H1605" s="63">
        <x:f t="shared" si="107"/>
        <x:v>0</x:v>
      </x:c>
      <x:c r="I1605" s="64"/>
      <x:c r="J1605" s="63">
        <x:f t="shared" si="108"/>
        <x:v>0</x:v>
      </x:c>
      <x:c r="K1605" s="63" t="str">
        <x:f t="shared" si="110"/>
      </x:c>
      <x:c r="L1605" s="63">
        <x:f t="shared" si="109"/>
        <x:v>0</x:v>
      </x:c>
      <x:c r="M1605" s="61"/>
    </x:row>
    <x:row r="1606">
      <x:c r="A1606" s="61" t="str">
        <x:f>IF(E1606="","",MAX($A$6:A1605)+1)</x:f>
      </x:c>
      <x:c r="B1606" s="61"/>
      <x:c r="C1606" s="61"/>
      <x:c r="D1606" s="62"/>
      <x:c r="E1606" s="61"/>
      <x:c r="F1606" s="61"/>
      <x:c r="G1606" s="63"/>
      <x:c r="H1606" s="63" t="n">
        <x:f t="shared" ref="H1606:H1669" si="111">IFERROR(IF(OR($F$1="",D1606=""),0,MAX(0,$F$1-D1606)),0)</x:f>
        <x:v>0</x:v>
      </x:c>
      <x:c r="I1606" s="64"/>
      <x:c r="J1606" s="63" t="n">
        <x:f t="shared" ref="J1606:J1669" si="112">IFERROR(IF(OR(G1606="",I1606="",D1606="",$F$1=""),0,IF($F$1&lt;D1606,0,MIN(MAX(G1606-1,0),MAX(0,(G1606*I1606/365)*H1606)))),0)</x:f>
        <x:v>0</x:v>
      </x:c>
      <x:c r="K1606" s="63" t="str">
        <x:f t="shared" si="110"/>
      </x:c>
      <x:c r="L1606" s="63" t="n">
        <x:f t="shared" ref="L1606:L1669" si="113">IFERROR(IF(OR(G1606="",I1606="",D1606="",$F$1=""),0,IF($F$1&lt;D1606,0,IF(K1606&lt;=1,0,MIN(G1606*I1606/12,K1606-1)))),0)</x:f>
        <x:v>0</x:v>
      </x:c>
      <x:c r="M1606" s="61"/>
    </x:row>
    <x:row r="1607">
      <x:c r="A1607" s="61" t="str">
        <x:f>IF(E1607="","",MAX($A$6:A1606)+1)</x:f>
      </x:c>
      <x:c r="B1607" s="61"/>
      <x:c r="C1607" s="61"/>
      <x:c r="D1607" s="62"/>
      <x:c r="E1607" s="61"/>
      <x:c r="F1607" s="61"/>
      <x:c r="G1607" s="63"/>
      <x:c r="H1607" s="63">
        <x:f t="shared" si="111"/>
        <x:v>0</x:v>
      </x:c>
      <x:c r="I1607" s="64"/>
      <x:c r="J1607" s="63">
        <x:f t="shared" si="112"/>
        <x:v>0</x:v>
      </x:c>
      <x:c r="K1607" s="63" t="str">
        <x:f t="shared" si="110"/>
      </x:c>
      <x:c r="L1607" s="63">
        <x:f t="shared" si="113"/>
        <x:v>0</x:v>
      </x:c>
      <x:c r="M1607" s="61"/>
    </x:row>
    <x:row r="1608">
      <x:c r="A1608" s="61" t="str">
        <x:f>IF(E1608="","",MAX($A$6:A1607)+1)</x:f>
      </x:c>
      <x:c r="B1608" s="61"/>
      <x:c r="C1608" s="61"/>
      <x:c r="D1608" s="62"/>
      <x:c r="E1608" s="61"/>
      <x:c r="F1608" s="61"/>
      <x:c r="G1608" s="63"/>
      <x:c r="H1608" s="63">
        <x:f t="shared" si="111"/>
        <x:v>0</x:v>
      </x:c>
      <x:c r="I1608" s="64"/>
      <x:c r="J1608" s="63">
        <x:f t="shared" si="112"/>
        <x:v>0</x:v>
      </x:c>
      <x:c r="K1608" s="63" t="str">
        <x:f t="shared" si="110"/>
      </x:c>
      <x:c r="L1608" s="63">
        <x:f t="shared" si="113"/>
        <x:v>0</x:v>
      </x:c>
      <x:c r="M1608" s="61"/>
    </x:row>
    <x:row r="1609">
      <x:c r="A1609" s="61" t="str">
        <x:f>IF(E1609="","",MAX($A$6:A1608)+1)</x:f>
      </x:c>
      <x:c r="B1609" s="61"/>
      <x:c r="C1609" s="61"/>
      <x:c r="D1609" s="62"/>
      <x:c r="E1609" s="61"/>
      <x:c r="F1609" s="61"/>
      <x:c r="G1609" s="63"/>
      <x:c r="H1609" s="63">
        <x:f t="shared" si="111"/>
        <x:v>0</x:v>
      </x:c>
      <x:c r="I1609" s="64"/>
      <x:c r="J1609" s="63">
        <x:f t="shared" si="112"/>
        <x:v>0</x:v>
      </x:c>
      <x:c r="K1609" s="63" t="str">
        <x:f t="shared" si="110"/>
      </x:c>
      <x:c r="L1609" s="63">
        <x:f t="shared" si="113"/>
        <x:v>0</x:v>
      </x:c>
      <x:c r="M1609" s="61"/>
    </x:row>
    <x:row r="1610">
      <x:c r="A1610" s="61" t="str">
        <x:f>IF(E1610="","",MAX($A$6:A1609)+1)</x:f>
      </x:c>
      <x:c r="B1610" s="61"/>
      <x:c r="C1610" s="61"/>
      <x:c r="D1610" s="62"/>
      <x:c r="E1610" s="61"/>
      <x:c r="F1610" s="61"/>
      <x:c r="G1610" s="63"/>
      <x:c r="H1610" s="63">
        <x:f t="shared" si="111"/>
        <x:v>0</x:v>
      </x:c>
      <x:c r="I1610" s="64"/>
      <x:c r="J1610" s="63">
        <x:f t="shared" si="112"/>
        <x:v>0</x:v>
      </x:c>
      <x:c r="K1610" s="63" t="str">
        <x:f t="shared" si="110"/>
      </x:c>
      <x:c r="L1610" s="63">
        <x:f t="shared" si="113"/>
        <x:v>0</x:v>
      </x:c>
      <x:c r="M1610" s="61"/>
    </x:row>
    <x:row r="1611">
      <x:c r="A1611" s="61" t="str">
        <x:f>IF(E1611="","",MAX($A$6:A1610)+1)</x:f>
      </x:c>
      <x:c r="B1611" s="61"/>
      <x:c r="C1611" s="61"/>
      <x:c r="D1611" s="62"/>
      <x:c r="E1611" s="61"/>
      <x:c r="F1611" s="61"/>
      <x:c r="G1611" s="63"/>
      <x:c r="H1611" s="63">
        <x:f t="shared" si="111"/>
        <x:v>0</x:v>
      </x:c>
      <x:c r="I1611" s="64"/>
      <x:c r="J1611" s="63">
        <x:f t="shared" si="112"/>
        <x:v>0</x:v>
      </x:c>
      <x:c r="K1611" s="63" t="str">
        <x:f t="shared" si="110"/>
      </x:c>
      <x:c r="L1611" s="63">
        <x:f t="shared" si="113"/>
        <x:v>0</x:v>
      </x:c>
      <x:c r="M1611" s="61"/>
    </x:row>
    <x:row r="1612">
      <x:c r="A1612" s="61" t="str">
        <x:f>IF(E1612="","",MAX($A$6:A1611)+1)</x:f>
      </x:c>
      <x:c r="B1612" s="61"/>
      <x:c r="C1612" s="61"/>
      <x:c r="D1612" s="62"/>
      <x:c r="E1612" s="61"/>
      <x:c r="F1612" s="61"/>
      <x:c r="G1612" s="63"/>
      <x:c r="H1612" s="63">
        <x:f t="shared" si="111"/>
        <x:v>0</x:v>
      </x:c>
      <x:c r="I1612" s="64"/>
      <x:c r="J1612" s="63">
        <x:f t="shared" si="112"/>
        <x:v>0</x:v>
      </x:c>
      <x:c r="K1612" s="63" t="str">
        <x:f t="shared" si="110"/>
      </x:c>
      <x:c r="L1612" s="63">
        <x:f t="shared" si="113"/>
        <x:v>0</x:v>
      </x:c>
      <x:c r="M1612" s="61"/>
    </x:row>
    <x:row r="1613">
      <x:c r="A1613" s="61" t="str">
        <x:f>IF(E1613="","",MAX($A$6:A1612)+1)</x:f>
      </x:c>
      <x:c r="B1613" s="61"/>
      <x:c r="C1613" s="61"/>
      <x:c r="D1613" s="62"/>
      <x:c r="E1613" s="61"/>
      <x:c r="F1613" s="61"/>
      <x:c r="G1613" s="63"/>
      <x:c r="H1613" s="63">
        <x:f t="shared" si="111"/>
        <x:v>0</x:v>
      </x:c>
      <x:c r="I1613" s="64"/>
      <x:c r="J1613" s="63">
        <x:f t="shared" si="112"/>
        <x:v>0</x:v>
      </x:c>
      <x:c r="K1613" s="63" t="str">
        <x:f t="shared" si="110"/>
      </x:c>
      <x:c r="L1613" s="63">
        <x:f t="shared" si="113"/>
        <x:v>0</x:v>
      </x:c>
      <x:c r="M1613" s="61"/>
    </x:row>
    <x:row r="1614">
      <x:c r="A1614" s="61" t="str">
        <x:f>IF(E1614="","",MAX($A$6:A1613)+1)</x:f>
      </x:c>
      <x:c r="B1614" s="61"/>
      <x:c r="C1614" s="61"/>
      <x:c r="D1614" s="62"/>
      <x:c r="E1614" s="61"/>
      <x:c r="F1614" s="61"/>
      <x:c r="G1614" s="63"/>
      <x:c r="H1614" s="63">
        <x:f t="shared" si="111"/>
        <x:v>0</x:v>
      </x:c>
      <x:c r="I1614" s="64"/>
      <x:c r="J1614" s="63">
        <x:f t="shared" si="112"/>
        <x:v>0</x:v>
      </x:c>
      <x:c r="K1614" s="63" t="str">
        <x:f t="shared" si="110"/>
      </x:c>
      <x:c r="L1614" s="63">
        <x:f t="shared" si="113"/>
        <x:v>0</x:v>
      </x:c>
      <x:c r="M1614" s="61"/>
    </x:row>
    <x:row r="1615">
      <x:c r="A1615" s="61" t="str">
        <x:f>IF(E1615="","",MAX($A$6:A1614)+1)</x:f>
      </x:c>
      <x:c r="B1615" s="61"/>
      <x:c r="C1615" s="61"/>
      <x:c r="D1615" s="62"/>
      <x:c r="E1615" s="61"/>
      <x:c r="F1615" s="61"/>
      <x:c r="G1615" s="63"/>
      <x:c r="H1615" s="63">
        <x:f t="shared" si="111"/>
        <x:v>0</x:v>
      </x:c>
      <x:c r="I1615" s="64"/>
      <x:c r="J1615" s="63">
        <x:f t="shared" si="112"/>
        <x:v>0</x:v>
      </x:c>
      <x:c r="K1615" s="63" t="str">
        <x:f t="shared" si="110"/>
      </x:c>
      <x:c r="L1615" s="63">
        <x:f t="shared" si="113"/>
        <x:v>0</x:v>
      </x:c>
      <x:c r="M1615" s="61"/>
    </x:row>
    <x:row r="1616">
      <x:c r="A1616" s="61" t="str">
        <x:f>IF(E1616="","",MAX($A$6:A1615)+1)</x:f>
      </x:c>
      <x:c r="B1616" s="61"/>
      <x:c r="C1616" s="61"/>
      <x:c r="D1616" s="62"/>
      <x:c r="E1616" s="61"/>
      <x:c r="F1616" s="61"/>
      <x:c r="G1616" s="63"/>
      <x:c r="H1616" s="63">
        <x:f t="shared" si="111"/>
        <x:v>0</x:v>
      </x:c>
      <x:c r="I1616" s="64"/>
      <x:c r="J1616" s="63">
        <x:f t="shared" si="112"/>
        <x:v>0</x:v>
      </x:c>
      <x:c r="K1616" s="63" t="str">
        <x:f t="shared" si="110"/>
      </x:c>
      <x:c r="L1616" s="63">
        <x:f t="shared" si="113"/>
        <x:v>0</x:v>
      </x:c>
      <x:c r="M1616" s="61"/>
    </x:row>
    <x:row r="1617">
      <x:c r="A1617" s="61" t="str">
        <x:f>IF(E1617="","",MAX($A$6:A1616)+1)</x:f>
      </x:c>
      <x:c r="B1617" s="61"/>
      <x:c r="C1617" s="61"/>
      <x:c r="D1617" s="62"/>
      <x:c r="E1617" s="61"/>
      <x:c r="F1617" s="61"/>
      <x:c r="G1617" s="63"/>
      <x:c r="H1617" s="63">
        <x:f t="shared" si="111"/>
        <x:v>0</x:v>
      </x:c>
      <x:c r="I1617" s="64"/>
      <x:c r="J1617" s="63">
        <x:f t="shared" si="112"/>
        <x:v>0</x:v>
      </x:c>
      <x:c r="K1617" s="63" t="str">
        <x:f t="shared" si="110"/>
      </x:c>
      <x:c r="L1617" s="63">
        <x:f t="shared" si="113"/>
        <x:v>0</x:v>
      </x:c>
      <x:c r="M1617" s="61"/>
    </x:row>
    <x:row r="1618">
      <x:c r="A1618" s="61" t="str">
        <x:f>IF(E1618="","",MAX($A$6:A1617)+1)</x:f>
      </x:c>
      <x:c r="B1618" s="61"/>
      <x:c r="C1618" s="61"/>
      <x:c r="D1618" s="62"/>
      <x:c r="E1618" s="61"/>
      <x:c r="F1618" s="61"/>
      <x:c r="G1618" s="63"/>
      <x:c r="H1618" s="63">
        <x:f t="shared" si="111"/>
        <x:v>0</x:v>
      </x:c>
      <x:c r="I1618" s="64"/>
      <x:c r="J1618" s="63">
        <x:f t="shared" si="112"/>
        <x:v>0</x:v>
      </x:c>
      <x:c r="K1618" s="63" t="str">
        <x:f t="shared" si="110"/>
      </x:c>
      <x:c r="L1618" s="63">
        <x:f t="shared" si="113"/>
        <x:v>0</x:v>
      </x:c>
      <x:c r="M1618" s="61"/>
    </x:row>
    <x:row r="1619">
      <x:c r="A1619" s="61" t="str">
        <x:f>IF(E1619="","",MAX($A$6:A1618)+1)</x:f>
      </x:c>
      <x:c r="B1619" s="61"/>
      <x:c r="C1619" s="61"/>
      <x:c r="D1619" s="62"/>
      <x:c r="E1619" s="61"/>
      <x:c r="F1619" s="61"/>
      <x:c r="G1619" s="63"/>
      <x:c r="H1619" s="63">
        <x:f t="shared" si="111"/>
        <x:v>0</x:v>
      </x:c>
      <x:c r="I1619" s="64"/>
      <x:c r="J1619" s="63">
        <x:f t="shared" si="112"/>
        <x:v>0</x:v>
      </x:c>
      <x:c r="K1619" s="63" t="str">
        <x:f t="shared" si="110"/>
      </x:c>
      <x:c r="L1619" s="63">
        <x:f t="shared" si="113"/>
        <x:v>0</x:v>
      </x:c>
      <x:c r="M1619" s="61"/>
    </x:row>
    <x:row r="1620">
      <x:c r="A1620" s="61" t="str">
        <x:f>IF(E1620="","",MAX($A$6:A1619)+1)</x:f>
      </x:c>
      <x:c r="B1620" s="61"/>
      <x:c r="C1620" s="61"/>
      <x:c r="D1620" s="62"/>
      <x:c r="E1620" s="61"/>
      <x:c r="F1620" s="61"/>
      <x:c r="G1620" s="63"/>
      <x:c r="H1620" s="63">
        <x:f t="shared" si="111"/>
        <x:v>0</x:v>
      </x:c>
      <x:c r="I1620" s="64"/>
      <x:c r="J1620" s="63">
        <x:f t="shared" si="112"/>
        <x:v>0</x:v>
      </x:c>
      <x:c r="K1620" s="63" t="str">
        <x:f t="shared" si="110"/>
      </x:c>
      <x:c r="L1620" s="63">
        <x:f t="shared" si="113"/>
        <x:v>0</x:v>
      </x:c>
      <x:c r="M1620" s="61"/>
    </x:row>
    <x:row r="1621">
      <x:c r="A1621" s="61" t="str">
        <x:f>IF(E1621="","",MAX($A$6:A1620)+1)</x:f>
      </x:c>
      <x:c r="B1621" s="61"/>
      <x:c r="C1621" s="61"/>
      <x:c r="D1621" s="62"/>
      <x:c r="E1621" s="61"/>
      <x:c r="F1621" s="61"/>
      <x:c r="G1621" s="63"/>
      <x:c r="H1621" s="63">
        <x:f t="shared" si="111"/>
        <x:v>0</x:v>
      </x:c>
      <x:c r="I1621" s="64"/>
      <x:c r="J1621" s="63">
        <x:f t="shared" si="112"/>
        <x:v>0</x:v>
      </x:c>
      <x:c r="K1621" s="63" t="str">
        <x:f t="shared" si="110"/>
      </x:c>
      <x:c r="L1621" s="63">
        <x:f t="shared" si="113"/>
        <x:v>0</x:v>
      </x:c>
      <x:c r="M1621" s="61"/>
    </x:row>
    <x:row r="1622">
      <x:c r="A1622" s="61" t="str">
        <x:f>IF(E1622="","",MAX($A$6:A1621)+1)</x:f>
      </x:c>
      <x:c r="B1622" s="61"/>
      <x:c r="C1622" s="61"/>
      <x:c r="D1622" s="62"/>
      <x:c r="E1622" s="61"/>
      <x:c r="F1622" s="61"/>
      <x:c r="G1622" s="63"/>
      <x:c r="H1622" s="63">
        <x:f t="shared" si="111"/>
        <x:v>0</x:v>
      </x:c>
      <x:c r="I1622" s="64"/>
      <x:c r="J1622" s="63">
        <x:f t="shared" si="112"/>
        <x:v>0</x:v>
      </x:c>
      <x:c r="K1622" s="63" t="str">
        <x:f t="shared" si="110"/>
      </x:c>
      <x:c r="L1622" s="63">
        <x:f t="shared" si="113"/>
        <x:v>0</x:v>
      </x:c>
      <x:c r="M1622" s="61"/>
    </x:row>
    <x:row r="1623">
      <x:c r="A1623" s="61" t="str">
        <x:f>IF(E1623="","",MAX($A$6:A1622)+1)</x:f>
      </x:c>
      <x:c r="B1623" s="61"/>
      <x:c r="C1623" s="61"/>
      <x:c r="D1623" s="62"/>
      <x:c r="E1623" s="61"/>
      <x:c r="F1623" s="61"/>
      <x:c r="G1623" s="63"/>
      <x:c r="H1623" s="63">
        <x:f t="shared" si="111"/>
        <x:v>0</x:v>
      </x:c>
      <x:c r="I1623" s="64"/>
      <x:c r="J1623" s="63">
        <x:f t="shared" si="112"/>
        <x:v>0</x:v>
      </x:c>
      <x:c r="K1623" s="63" t="str">
        <x:f t="shared" si="110"/>
      </x:c>
      <x:c r="L1623" s="63">
        <x:f t="shared" si="113"/>
        <x:v>0</x:v>
      </x:c>
      <x:c r="M1623" s="61"/>
    </x:row>
    <x:row r="1624">
      <x:c r="A1624" s="61" t="str">
        <x:f>IF(E1624="","",MAX($A$6:A1623)+1)</x:f>
      </x:c>
      <x:c r="B1624" s="61"/>
      <x:c r="C1624" s="61"/>
      <x:c r="D1624" s="62"/>
      <x:c r="E1624" s="61"/>
      <x:c r="F1624" s="61"/>
      <x:c r="G1624" s="63"/>
      <x:c r="H1624" s="63">
        <x:f t="shared" si="111"/>
        <x:v>0</x:v>
      </x:c>
      <x:c r="I1624" s="64"/>
      <x:c r="J1624" s="63">
        <x:f t="shared" si="112"/>
        <x:v>0</x:v>
      </x:c>
      <x:c r="K1624" s="63" t="str">
        <x:f t="shared" si="110"/>
      </x:c>
      <x:c r="L1624" s="63">
        <x:f t="shared" si="113"/>
        <x:v>0</x:v>
      </x:c>
      <x:c r="M1624" s="61"/>
    </x:row>
    <x:row r="1625">
      <x:c r="A1625" s="61" t="str">
        <x:f>IF(E1625="","",MAX($A$6:A1624)+1)</x:f>
      </x:c>
      <x:c r="B1625" s="61"/>
      <x:c r="C1625" s="61"/>
      <x:c r="D1625" s="62"/>
      <x:c r="E1625" s="61"/>
      <x:c r="F1625" s="61"/>
      <x:c r="G1625" s="63"/>
      <x:c r="H1625" s="63">
        <x:f t="shared" si="111"/>
        <x:v>0</x:v>
      </x:c>
      <x:c r="I1625" s="64"/>
      <x:c r="J1625" s="63">
        <x:f t="shared" si="112"/>
        <x:v>0</x:v>
      </x:c>
      <x:c r="K1625" s="63" t="str">
        <x:f t="shared" si="110"/>
      </x:c>
      <x:c r="L1625" s="63">
        <x:f t="shared" si="113"/>
        <x:v>0</x:v>
      </x:c>
      <x:c r="M1625" s="61"/>
    </x:row>
    <x:row r="1626">
      <x:c r="A1626" s="61" t="str">
        <x:f>IF(E1626="","",MAX($A$6:A1625)+1)</x:f>
      </x:c>
      <x:c r="B1626" s="61"/>
      <x:c r="C1626" s="61"/>
      <x:c r="D1626" s="62"/>
      <x:c r="E1626" s="61"/>
      <x:c r="F1626" s="61"/>
      <x:c r="G1626" s="63"/>
      <x:c r="H1626" s="63">
        <x:f t="shared" si="111"/>
        <x:v>0</x:v>
      </x:c>
      <x:c r="I1626" s="64"/>
      <x:c r="J1626" s="63">
        <x:f t="shared" si="112"/>
        <x:v>0</x:v>
      </x:c>
      <x:c r="K1626" s="63" t="str">
        <x:f t="shared" si="110"/>
      </x:c>
      <x:c r="L1626" s="63">
        <x:f t="shared" si="113"/>
        <x:v>0</x:v>
      </x:c>
      <x:c r="M1626" s="61"/>
    </x:row>
    <x:row r="1627">
      <x:c r="A1627" s="61" t="str">
        <x:f>IF(E1627="","",MAX($A$6:A1626)+1)</x:f>
      </x:c>
      <x:c r="B1627" s="61"/>
      <x:c r="C1627" s="61"/>
      <x:c r="D1627" s="62"/>
      <x:c r="E1627" s="61"/>
      <x:c r="F1627" s="61"/>
      <x:c r="G1627" s="63"/>
      <x:c r="H1627" s="63">
        <x:f t="shared" si="111"/>
        <x:v>0</x:v>
      </x:c>
      <x:c r="I1627" s="64"/>
      <x:c r="J1627" s="63">
        <x:f t="shared" si="112"/>
        <x:v>0</x:v>
      </x:c>
      <x:c r="K1627" s="63" t="str">
        <x:f t="shared" si="110"/>
      </x:c>
      <x:c r="L1627" s="63">
        <x:f t="shared" si="113"/>
        <x:v>0</x:v>
      </x:c>
      <x:c r="M1627" s="61"/>
    </x:row>
    <x:row r="1628">
      <x:c r="A1628" s="61" t="str">
        <x:f>IF(E1628="","",MAX($A$6:A1627)+1)</x:f>
      </x:c>
      <x:c r="B1628" s="61"/>
      <x:c r="C1628" s="61"/>
      <x:c r="D1628" s="62"/>
      <x:c r="E1628" s="61"/>
      <x:c r="F1628" s="61"/>
      <x:c r="G1628" s="63"/>
      <x:c r="H1628" s="63">
        <x:f t="shared" si="111"/>
        <x:v>0</x:v>
      </x:c>
      <x:c r="I1628" s="64"/>
      <x:c r="J1628" s="63">
        <x:f t="shared" si="112"/>
        <x:v>0</x:v>
      </x:c>
      <x:c r="K1628" s="63" t="str">
        <x:f t="shared" si="110"/>
      </x:c>
      <x:c r="L1628" s="63">
        <x:f t="shared" si="113"/>
        <x:v>0</x:v>
      </x:c>
      <x:c r="M1628" s="61"/>
    </x:row>
    <x:row r="1629">
      <x:c r="A1629" s="61" t="str">
        <x:f>IF(E1629="","",MAX($A$6:A1628)+1)</x:f>
      </x:c>
      <x:c r="B1629" s="61"/>
      <x:c r="C1629" s="61"/>
      <x:c r="D1629" s="62"/>
      <x:c r="E1629" s="61"/>
      <x:c r="F1629" s="61"/>
      <x:c r="G1629" s="63"/>
      <x:c r="H1629" s="63">
        <x:f t="shared" si="111"/>
        <x:v>0</x:v>
      </x:c>
      <x:c r="I1629" s="64"/>
      <x:c r="J1629" s="63">
        <x:f t="shared" si="112"/>
        <x:v>0</x:v>
      </x:c>
      <x:c r="K1629" s="63" t="str">
        <x:f t="shared" si="110"/>
      </x:c>
      <x:c r="L1629" s="63">
        <x:f t="shared" si="113"/>
        <x:v>0</x:v>
      </x:c>
      <x:c r="M1629" s="61"/>
    </x:row>
    <x:row r="1630">
      <x:c r="A1630" s="61" t="str">
        <x:f>IF(E1630="","",MAX($A$6:A1629)+1)</x:f>
      </x:c>
      <x:c r="B1630" s="61"/>
      <x:c r="C1630" s="61"/>
      <x:c r="D1630" s="62"/>
      <x:c r="E1630" s="61"/>
      <x:c r="F1630" s="61"/>
      <x:c r="G1630" s="63"/>
      <x:c r="H1630" s="63">
        <x:f t="shared" si="111"/>
        <x:v>0</x:v>
      </x:c>
      <x:c r="I1630" s="64"/>
      <x:c r="J1630" s="63">
        <x:f t="shared" si="112"/>
        <x:v>0</x:v>
      </x:c>
      <x:c r="K1630" s="63" t="str">
        <x:f t="shared" si="110"/>
      </x:c>
      <x:c r="L1630" s="63">
        <x:f t="shared" si="113"/>
        <x:v>0</x:v>
      </x:c>
      <x:c r="M1630" s="61"/>
    </x:row>
    <x:row r="1631">
      <x:c r="A1631" s="61" t="str">
        <x:f>IF(E1631="","",MAX($A$6:A1630)+1)</x:f>
      </x:c>
      <x:c r="B1631" s="61"/>
      <x:c r="C1631" s="61"/>
      <x:c r="D1631" s="62"/>
      <x:c r="E1631" s="61"/>
      <x:c r="F1631" s="61"/>
      <x:c r="G1631" s="63"/>
      <x:c r="H1631" s="63">
        <x:f t="shared" si="111"/>
        <x:v>0</x:v>
      </x:c>
      <x:c r="I1631" s="64"/>
      <x:c r="J1631" s="63">
        <x:f t="shared" si="112"/>
        <x:v>0</x:v>
      </x:c>
      <x:c r="K1631" s="63" t="str">
        <x:f t="shared" si="110"/>
      </x:c>
      <x:c r="L1631" s="63">
        <x:f t="shared" si="113"/>
        <x:v>0</x:v>
      </x:c>
      <x:c r="M1631" s="61"/>
    </x:row>
    <x:row r="1632">
      <x:c r="A1632" s="61" t="str">
        <x:f>IF(E1632="","",MAX($A$6:A1631)+1)</x:f>
      </x:c>
      <x:c r="B1632" s="61"/>
      <x:c r="C1632" s="61"/>
      <x:c r="D1632" s="62"/>
      <x:c r="E1632" s="61"/>
      <x:c r="F1632" s="61"/>
      <x:c r="G1632" s="63"/>
      <x:c r="H1632" s="63">
        <x:f t="shared" si="111"/>
        <x:v>0</x:v>
      </x:c>
      <x:c r="I1632" s="64"/>
      <x:c r="J1632" s="63">
        <x:f t="shared" si="112"/>
        <x:v>0</x:v>
      </x:c>
      <x:c r="K1632" s="63" t="str">
        <x:f t="shared" si="110"/>
      </x:c>
      <x:c r="L1632" s="63">
        <x:f t="shared" si="113"/>
        <x:v>0</x:v>
      </x:c>
      <x:c r="M1632" s="61"/>
    </x:row>
    <x:row r="1633">
      <x:c r="A1633" s="61" t="str">
        <x:f>IF(E1633="","",MAX($A$6:A1632)+1)</x:f>
      </x:c>
      <x:c r="B1633" s="61"/>
      <x:c r="C1633" s="61"/>
      <x:c r="D1633" s="62"/>
      <x:c r="E1633" s="61"/>
      <x:c r="F1633" s="61"/>
      <x:c r="G1633" s="63"/>
      <x:c r="H1633" s="63">
        <x:f t="shared" si="111"/>
        <x:v>0</x:v>
      </x:c>
      <x:c r="I1633" s="64"/>
      <x:c r="J1633" s="63">
        <x:f t="shared" si="112"/>
        <x:v>0</x:v>
      </x:c>
      <x:c r="K1633" s="63" t="str">
        <x:f t="shared" si="110"/>
      </x:c>
      <x:c r="L1633" s="63">
        <x:f t="shared" si="113"/>
        <x:v>0</x:v>
      </x:c>
      <x:c r="M1633" s="61"/>
    </x:row>
    <x:row r="1634">
      <x:c r="A1634" s="61" t="str">
        <x:f>IF(E1634="","",MAX($A$6:A1633)+1)</x:f>
      </x:c>
      <x:c r="B1634" s="61"/>
      <x:c r="C1634" s="61"/>
      <x:c r="D1634" s="62"/>
      <x:c r="E1634" s="61"/>
      <x:c r="F1634" s="61"/>
      <x:c r="G1634" s="63"/>
      <x:c r="H1634" s="63">
        <x:f t="shared" si="111"/>
        <x:v>0</x:v>
      </x:c>
      <x:c r="I1634" s="64"/>
      <x:c r="J1634" s="63">
        <x:f t="shared" si="112"/>
        <x:v>0</x:v>
      </x:c>
      <x:c r="K1634" s="63" t="str">
        <x:f t="shared" si="110"/>
      </x:c>
      <x:c r="L1634" s="63">
        <x:f t="shared" si="113"/>
        <x:v>0</x:v>
      </x:c>
      <x:c r="M1634" s="61"/>
    </x:row>
    <x:row r="1635">
      <x:c r="A1635" s="61" t="str">
        <x:f>IF(E1635="","",MAX($A$6:A1634)+1)</x:f>
      </x:c>
      <x:c r="B1635" s="61"/>
      <x:c r="C1635" s="61"/>
      <x:c r="D1635" s="62"/>
      <x:c r="E1635" s="61"/>
      <x:c r="F1635" s="61"/>
      <x:c r="G1635" s="63"/>
      <x:c r="H1635" s="63">
        <x:f t="shared" si="111"/>
        <x:v>0</x:v>
      </x:c>
      <x:c r="I1635" s="64"/>
      <x:c r="J1635" s="63">
        <x:f t="shared" si="112"/>
        <x:v>0</x:v>
      </x:c>
      <x:c r="K1635" s="63" t="str">
        <x:f t="shared" si="110"/>
      </x:c>
      <x:c r="L1635" s="63">
        <x:f t="shared" si="113"/>
        <x:v>0</x:v>
      </x:c>
      <x:c r="M1635" s="61"/>
    </x:row>
    <x:row r="1636">
      <x:c r="A1636" s="61" t="str">
        <x:f>IF(E1636="","",MAX($A$6:A1635)+1)</x:f>
      </x:c>
      <x:c r="B1636" s="61"/>
      <x:c r="C1636" s="61"/>
      <x:c r="D1636" s="62"/>
      <x:c r="E1636" s="61"/>
      <x:c r="F1636" s="61"/>
      <x:c r="G1636" s="63"/>
      <x:c r="H1636" s="63">
        <x:f t="shared" si="111"/>
        <x:v>0</x:v>
      </x:c>
      <x:c r="I1636" s="64"/>
      <x:c r="J1636" s="63">
        <x:f t="shared" si="112"/>
        <x:v>0</x:v>
      </x:c>
      <x:c r="K1636" s="63" t="str">
        <x:f t="shared" si="110"/>
      </x:c>
      <x:c r="L1636" s="63">
        <x:f t="shared" si="113"/>
        <x:v>0</x:v>
      </x:c>
      <x:c r="M1636" s="61"/>
    </x:row>
    <x:row r="1637">
      <x:c r="A1637" s="61" t="str">
        <x:f>IF(E1637="","",MAX($A$6:A1636)+1)</x:f>
      </x:c>
      <x:c r="B1637" s="61"/>
      <x:c r="C1637" s="61"/>
      <x:c r="D1637" s="62"/>
      <x:c r="E1637" s="61"/>
      <x:c r="F1637" s="61"/>
      <x:c r="G1637" s="63"/>
      <x:c r="H1637" s="63">
        <x:f t="shared" si="111"/>
        <x:v>0</x:v>
      </x:c>
      <x:c r="I1637" s="64"/>
      <x:c r="J1637" s="63">
        <x:f t="shared" si="112"/>
        <x:v>0</x:v>
      </x:c>
      <x:c r="K1637" s="63" t="str">
        <x:f t="shared" si="110"/>
      </x:c>
      <x:c r="L1637" s="63">
        <x:f t="shared" si="113"/>
        <x:v>0</x:v>
      </x:c>
      <x:c r="M1637" s="61"/>
    </x:row>
    <x:row r="1638">
      <x:c r="A1638" s="61" t="str">
        <x:f>IF(E1638="","",MAX($A$6:A1637)+1)</x:f>
      </x:c>
      <x:c r="B1638" s="61"/>
      <x:c r="C1638" s="61"/>
      <x:c r="D1638" s="62"/>
      <x:c r="E1638" s="61"/>
      <x:c r="F1638" s="61"/>
      <x:c r="G1638" s="63"/>
      <x:c r="H1638" s="63">
        <x:f t="shared" si="111"/>
        <x:v>0</x:v>
      </x:c>
      <x:c r="I1638" s="64"/>
      <x:c r="J1638" s="63">
        <x:f t="shared" si="112"/>
        <x:v>0</x:v>
      </x:c>
      <x:c r="K1638" s="63" t="str">
        <x:f t="shared" si="110"/>
      </x:c>
      <x:c r="L1638" s="63">
        <x:f t="shared" si="113"/>
        <x:v>0</x:v>
      </x:c>
      <x:c r="M1638" s="61"/>
    </x:row>
    <x:row r="1639">
      <x:c r="A1639" s="61" t="str">
        <x:f>IF(E1639="","",MAX($A$6:A1638)+1)</x:f>
      </x:c>
      <x:c r="B1639" s="61"/>
      <x:c r="C1639" s="61"/>
      <x:c r="D1639" s="62"/>
      <x:c r="E1639" s="61"/>
      <x:c r="F1639" s="61"/>
      <x:c r="G1639" s="63"/>
      <x:c r="H1639" s="63">
        <x:f t="shared" si="111"/>
        <x:v>0</x:v>
      </x:c>
      <x:c r="I1639" s="64"/>
      <x:c r="J1639" s="63">
        <x:f t="shared" si="112"/>
        <x:v>0</x:v>
      </x:c>
      <x:c r="K1639" s="63" t="str">
        <x:f t="shared" si="110"/>
      </x:c>
      <x:c r="L1639" s="63">
        <x:f t="shared" si="113"/>
        <x:v>0</x:v>
      </x:c>
      <x:c r="M1639" s="61"/>
    </x:row>
    <x:row r="1640">
      <x:c r="A1640" s="61" t="str">
        <x:f>IF(E1640="","",MAX($A$6:A1639)+1)</x:f>
      </x:c>
      <x:c r="B1640" s="61"/>
      <x:c r="C1640" s="61"/>
      <x:c r="D1640" s="62"/>
      <x:c r="E1640" s="61"/>
      <x:c r="F1640" s="61"/>
      <x:c r="G1640" s="63"/>
      <x:c r="H1640" s="63">
        <x:f t="shared" si="111"/>
        <x:v>0</x:v>
      </x:c>
      <x:c r="I1640" s="64"/>
      <x:c r="J1640" s="63">
        <x:f t="shared" si="112"/>
        <x:v>0</x:v>
      </x:c>
      <x:c r="K1640" s="63" t="str">
        <x:f t="shared" si="110"/>
      </x:c>
      <x:c r="L1640" s="63">
        <x:f t="shared" si="113"/>
        <x:v>0</x:v>
      </x:c>
      <x:c r="M1640" s="61"/>
    </x:row>
    <x:row r="1641">
      <x:c r="A1641" s="61" t="str">
        <x:f>IF(E1641="","",MAX($A$6:A1640)+1)</x:f>
      </x:c>
      <x:c r="B1641" s="61"/>
      <x:c r="C1641" s="61"/>
      <x:c r="D1641" s="62"/>
      <x:c r="E1641" s="61"/>
      <x:c r="F1641" s="61"/>
      <x:c r="G1641" s="63"/>
      <x:c r="H1641" s="63">
        <x:f t="shared" si="111"/>
        <x:v>0</x:v>
      </x:c>
      <x:c r="I1641" s="64"/>
      <x:c r="J1641" s="63">
        <x:f t="shared" si="112"/>
        <x:v>0</x:v>
      </x:c>
      <x:c r="K1641" s="63" t="str">
        <x:f t="shared" si="110"/>
      </x:c>
      <x:c r="L1641" s="63">
        <x:f t="shared" si="113"/>
        <x:v>0</x:v>
      </x:c>
      <x:c r="M1641" s="61"/>
    </x:row>
    <x:row r="1642">
      <x:c r="A1642" s="61" t="str">
        <x:f>IF(E1642="","",MAX($A$6:A1641)+1)</x:f>
      </x:c>
      <x:c r="B1642" s="61"/>
      <x:c r="C1642" s="61"/>
      <x:c r="D1642" s="62"/>
      <x:c r="E1642" s="61"/>
      <x:c r="F1642" s="61"/>
      <x:c r="G1642" s="63"/>
      <x:c r="H1642" s="63">
        <x:f t="shared" si="111"/>
        <x:v>0</x:v>
      </x:c>
      <x:c r="I1642" s="64"/>
      <x:c r="J1642" s="63">
        <x:f t="shared" si="112"/>
        <x:v>0</x:v>
      </x:c>
      <x:c r="K1642" s="63" t="str">
        <x:f t="shared" si="110"/>
      </x:c>
      <x:c r="L1642" s="63">
        <x:f t="shared" si="113"/>
        <x:v>0</x:v>
      </x:c>
      <x:c r="M1642" s="61"/>
    </x:row>
    <x:row r="1643">
      <x:c r="A1643" s="61" t="str">
        <x:f>IF(E1643="","",MAX($A$6:A1642)+1)</x:f>
      </x:c>
      <x:c r="B1643" s="61"/>
      <x:c r="C1643" s="61"/>
      <x:c r="D1643" s="62"/>
      <x:c r="E1643" s="61"/>
      <x:c r="F1643" s="61"/>
      <x:c r="G1643" s="63"/>
      <x:c r="H1643" s="63">
        <x:f t="shared" si="111"/>
        <x:v>0</x:v>
      </x:c>
      <x:c r="I1643" s="64"/>
      <x:c r="J1643" s="63">
        <x:f t="shared" si="112"/>
        <x:v>0</x:v>
      </x:c>
      <x:c r="K1643" s="63" t="str">
        <x:f t="shared" si="110"/>
      </x:c>
      <x:c r="L1643" s="63">
        <x:f t="shared" si="113"/>
        <x:v>0</x:v>
      </x:c>
      <x:c r="M1643" s="61"/>
    </x:row>
    <x:row r="1644">
      <x:c r="A1644" s="61" t="str">
        <x:f>IF(E1644="","",MAX($A$6:A1643)+1)</x:f>
      </x:c>
      <x:c r="B1644" s="61"/>
      <x:c r="C1644" s="61"/>
      <x:c r="D1644" s="62"/>
      <x:c r="E1644" s="61"/>
      <x:c r="F1644" s="61"/>
      <x:c r="G1644" s="63"/>
      <x:c r="H1644" s="63">
        <x:f t="shared" si="111"/>
        <x:v>0</x:v>
      </x:c>
      <x:c r="I1644" s="64"/>
      <x:c r="J1644" s="63">
        <x:f t="shared" si="112"/>
        <x:v>0</x:v>
      </x:c>
      <x:c r="K1644" s="63" t="str">
        <x:f t="shared" si="110"/>
      </x:c>
      <x:c r="L1644" s="63">
        <x:f t="shared" si="113"/>
        <x:v>0</x:v>
      </x:c>
      <x:c r="M1644" s="61"/>
    </x:row>
    <x:row r="1645">
      <x:c r="A1645" s="61" t="str">
        <x:f>IF(E1645="","",MAX($A$6:A1644)+1)</x:f>
      </x:c>
      <x:c r="B1645" s="61"/>
      <x:c r="C1645" s="61"/>
      <x:c r="D1645" s="62"/>
      <x:c r="E1645" s="61"/>
      <x:c r="F1645" s="61"/>
      <x:c r="G1645" s="63"/>
      <x:c r="H1645" s="63">
        <x:f t="shared" si="111"/>
        <x:v>0</x:v>
      </x:c>
      <x:c r="I1645" s="64"/>
      <x:c r="J1645" s="63">
        <x:f t="shared" si="112"/>
        <x:v>0</x:v>
      </x:c>
      <x:c r="K1645" s="63" t="str">
        <x:f t="shared" si="110"/>
      </x:c>
      <x:c r="L1645" s="63">
        <x:f t="shared" si="113"/>
        <x:v>0</x:v>
      </x:c>
      <x:c r="M1645" s="61"/>
    </x:row>
    <x:row r="1646">
      <x:c r="A1646" s="61" t="str">
        <x:f>IF(E1646="","",MAX($A$6:A1645)+1)</x:f>
      </x:c>
      <x:c r="B1646" s="61"/>
      <x:c r="C1646" s="61"/>
      <x:c r="D1646" s="62"/>
      <x:c r="E1646" s="61"/>
      <x:c r="F1646" s="61"/>
      <x:c r="G1646" s="63"/>
      <x:c r="H1646" s="63">
        <x:f t="shared" si="111"/>
        <x:v>0</x:v>
      </x:c>
      <x:c r="I1646" s="64"/>
      <x:c r="J1646" s="63">
        <x:f t="shared" si="112"/>
        <x:v>0</x:v>
      </x:c>
      <x:c r="K1646" s="63" t="str">
        <x:f t="shared" si="110"/>
      </x:c>
      <x:c r="L1646" s="63">
        <x:f t="shared" si="113"/>
        <x:v>0</x:v>
      </x:c>
      <x:c r="M1646" s="61"/>
    </x:row>
    <x:row r="1647">
      <x:c r="A1647" s="61" t="str">
        <x:f>IF(E1647="","",MAX($A$6:A1646)+1)</x:f>
      </x:c>
      <x:c r="B1647" s="61"/>
      <x:c r="C1647" s="61"/>
      <x:c r="D1647" s="62"/>
      <x:c r="E1647" s="61"/>
      <x:c r="F1647" s="61"/>
      <x:c r="G1647" s="63"/>
      <x:c r="H1647" s="63">
        <x:f t="shared" si="111"/>
        <x:v>0</x:v>
      </x:c>
      <x:c r="I1647" s="64"/>
      <x:c r="J1647" s="63">
        <x:f t="shared" si="112"/>
        <x:v>0</x:v>
      </x:c>
      <x:c r="K1647" s="63" t="str">
        <x:f t="shared" si="110"/>
      </x:c>
      <x:c r="L1647" s="63">
        <x:f t="shared" si="113"/>
        <x:v>0</x:v>
      </x:c>
      <x:c r="M1647" s="61"/>
    </x:row>
    <x:row r="1648">
      <x:c r="A1648" s="61" t="str">
        <x:f>IF(E1648="","",MAX($A$6:A1647)+1)</x:f>
      </x:c>
      <x:c r="B1648" s="61"/>
      <x:c r="C1648" s="61"/>
      <x:c r="D1648" s="62"/>
      <x:c r="E1648" s="61"/>
      <x:c r="F1648" s="61"/>
      <x:c r="G1648" s="63"/>
      <x:c r="H1648" s="63">
        <x:f t="shared" si="111"/>
        <x:v>0</x:v>
      </x:c>
      <x:c r="I1648" s="64"/>
      <x:c r="J1648" s="63">
        <x:f t="shared" si="112"/>
        <x:v>0</x:v>
      </x:c>
      <x:c r="K1648" s="63" t="str">
        <x:f t="shared" si="110"/>
      </x:c>
      <x:c r="L1648" s="63">
        <x:f t="shared" si="113"/>
        <x:v>0</x:v>
      </x:c>
      <x:c r="M1648" s="61"/>
    </x:row>
    <x:row r="1649">
      <x:c r="A1649" s="61" t="str">
        <x:f>IF(E1649="","",MAX($A$6:A1648)+1)</x:f>
      </x:c>
      <x:c r="B1649" s="61"/>
      <x:c r="C1649" s="61"/>
      <x:c r="D1649" s="62"/>
      <x:c r="E1649" s="61"/>
      <x:c r="F1649" s="61"/>
      <x:c r="G1649" s="63"/>
      <x:c r="H1649" s="63">
        <x:f t="shared" si="111"/>
        <x:v>0</x:v>
      </x:c>
      <x:c r="I1649" s="64"/>
      <x:c r="J1649" s="63">
        <x:f t="shared" si="112"/>
        <x:v>0</x:v>
      </x:c>
      <x:c r="K1649" s="63" t="str">
        <x:f t="shared" si="110"/>
      </x:c>
      <x:c r="L1649" s="63">
        <x:f t="shared" si="113"/>
        <x:v>0</x:v>
      </x:c>
      <x:c r="M1649" s="61"/>
    </x:row>
    <x:row r="1650">
      <x:c r="A1650" s="61" t="str">
        <x:f>IF(E1650="","",MAX($A$6:A1649)+1)</x:f>
      </x:c>
      <x:c r="B1650" s="61"/>
      <x:c r="C1650" s="61"/>
      <x:c r="D1650" s="62"/>
      <x:c r="E1650" s="61"/>
      <x:c r="F1650" s="61"/>
      <x:c r="G1650" s="63"/>
      <x:c r="H1650" s="63">
        <x:f t="shared" si="111"/>
        <x:v>0</x:v>
      </x:c>
      <x:c r="I1650" s="64"/>
      <x:c r="J1650" s="63">
        <x:f t="shared" si="112"/>
        <x:v>0</x:v>
      </x:c>
      <x:c r="K1650" s="63" t="str">
        <x:f t="shared" si="110"/>
      </x:c>
      <x:c r="L1650" s="63">
        <x:f t="shared" si="113"/>
        <x:v>0</x:v>
      </x:c>
      <x:c r="M1650" s="61"/>
    </x:row>
    <x:row r="1651">
      <x:c r="A1651" s="61" t="str">
        <x:f>IF(E1651="","",MAX($A$6:A1650)+1)</x:f>
      </x:c>
      <x:c r="B1651" s="61"/>
      <x:c r="C1651" s="61"/>
      <x:c r="D1651" s="62"/>
      <x:c r="E1651" s="61"/>
      <x:c r="F1651" s="61"/>
      <x:c r="G1651" s="63"/>
      <x:c r="H1651" s="63">
        <x:f t="shared" si="111"/>
        <x:v>0</x:v>
      </x:c>
      <x:c r="I1651" s="64"/>
      <x:c r="J1651" s="63">
        <x:f t="shared" si="112"/>
        <x:v>0</x:v>
      </x:c>
      <x:c r="K1651" s="63" t="str">
        <x:f t="shared" si="110"/>
      </x:c>
      <x:c r="L1651" s="63">
        <x:f t="shared" si="113"/>
        <x:v>0</x:v>
      </x:c>
      <x:c r="M1651" s="61"/>
    </x:row>
    <x:row r="1652">
      <x:c r="A1652" s="61" t="str">
        <x:f>IF(E1652="","",MAX($A$6:A1651)+1)</x:f>
      </x:c>
      <x:c r="B1652" s="61"/>
      <x:c r="C1652" s="61"/>
      <x:c r="D1652" s="62"/>
      <x:c r="E1652" s="61"/>
      <x:c r="F1652" s="61"/>
      <x:c r="G1652" s="63"/>
      <x:c r="H1652" s="63">
        <x:f t="shared" si="111"/>
        <x:v>0</x:v>
      </x:c>
      <x:c r="I1652" s="64"/>
      <x:c r="J1652" s="63">
        <x:f t="shared" si="112"/>
        <x:v>0</x:v>
      </x:c>
      <x:c r="K1652" s="63" t="str">
        <x:f t="shared" si="110"/>
      </x:c>
      <x:c r="L1652" s="63">
        <x:f t="shared" si="113"/>
        <x:v>0</x:v>
      </x:c>
      <x:c r="M1652" s="61"/>
    </x:row>
    <x:row r="1653">
      <x:c r="A1653" s="61" t="str">
        <x:f>IF(E1653="","",MAX($A$6:A1652)+1)</x:f>
      </x:c>
      <x:c r="B1653" s="61"/>
      <x:c r="C1653" s="61"/>
      <x:c r="D1653" s="62"/>
      <x:c r="E1653" s="61"/>
      <x:c r="F1653" s="61"/>
      <x:c r="G1653" s="63"/>
      <x:c r="H1653" s="63">
        <x:f t="shared" si="111"/>
        <x:v>0</x:v>
      </x:c>
      <x:c r="I1653" s="64"/>
      <x:c r="J1653" s="63">
        <x:f t="shared" si="112"/>
        <x:v>0</x:v>
      </x:c>
      <x:c r="K1653" s="63" t="str">
        <x:f t="shared" si="110"/>
      </x:c>
      <x:c r="L1653" s="63">
        <x:f t="shared" si="113"/>
        <x:v>0</x:v>
      </x:c>
      <x:c r="M1653" s="61"/>
    </x:row>
    <x:row r="1654">
      <x:c r="A1654" s="61" t="str">
        <x:f>IF(E1654="","",MAX($A$6:A1653)+1)</x:f>
      </x:c>
      <x:c r="B1654" s="61"/>
      <x:c r="C1654" s="61"/>
      <x:c r="D1654" s="62"/>
      <x:c r="E1654" s="61"/>
      <x:c r="F1654" s="61"/>
      <x:c r="G1654" s="63"/>
      <x:c r="H1654" s="63">
        <x:f t="shared" si="111"/>
        <x:v>0</x:v>
      </x:c>
      <x:c r="I1654" s="64"/>
      <x:c r="J1654" s="63">
        <x:f t="shared" si="112"/>
        <x:v>0</x:v>
      </x:c>
      <x:c r="K1654" s="63" t="str">
        <x:f t="shared" ref="K1654:K1717" si="114">IFERROR(IF(G1654="","",MAX(1,G1654-J1654)),0)</x:f>
      </x:c>
      <x:c r="L1654" s="63">
        <x:f t="shared" si="113"/>
        <x:v>0</x:v>
      </x:c>
      <x:c r="M1654" s="61"/>
    </x:row>
    <x:row r="1655">
      <x:c r="A1655" s="61" t="str">
        <x:f>IF(E1655="","",MAX($A$6:A1654)+1)</x:f>
      </x:c>
      <x:c r="B1655" s="61"/>
      <x:c r="C1655" s="61"/>
      <x:c r="D1655" s="62"/>
      <x:c r="E1655" s="61"/>
      <x:c r="F1655" s="61"/>
      <x:c r="G1655" s="63"/>
      <x:c r="H1655" s="63">
        <x:f t="shared" si="111"/>
        <x:v>0</x:v>
      </x:c>
      <x:c r="I1655" s="64"/>
      <x:c r="J1655" s="63">
        <x:f t="shared" si="112"/>
        <x:v>0</x:v>
      </x:c>
      <x:c r="K1655" s="63" t="str">
        <x:f t="shared" si="114"/>
      </x:c>
      <x:c r="L1655" s="63">
        <x:f t="shared" si="113"/>
        <x:v>0</x:v>
      </x:c>
      <x:c r="M1655" s="61"/>
    </x:row>
    <x:row r="1656">
      <x:c r="A1656" s="61" t="str">
        <x:f>IF(E1656="","",MAX($A$6:A1655)+1)</x:f>
      </x:c>
      <x:c r="B1656" s="61"/>
      <x:c r="C1656" s="61"/>
      <x:c r="D1656" s="62"/>
      <x:c r="E1656" s="61"/>
      <x:c r="F1656" s="61"/>
      <x:c r="G1656" s="63"/>
      <x:c r="H1656" s="63">
        <x:f t="shared" si="111"/>
        <x:v>0</x:v>
      </x:c>
      <x:c r="I1656" s="64"/>
      <x:c r="J1656" s="63">
        <x:f t="shared" si="112"/>
        <x:v>0</x:v>
      </x:c>
      <x:c r="K1656" s="63" t="str">
        <x:f t="shared" si="114"/>
      </x:c>
      <x:c r="L1656" s="63">
        <x:f t="shared" si="113"/>
        <x:v>0</x:v>
      </x:c>
      <x:c r="M1656" s="61"/>
    </x:row>
    <x:row r="1657">
      <x:c r="A1657" s="61" t="str">
        <x:f>IF(E1657="","",MAX($A$6:A1656)+1)</x:f>
      </x:c>
      <x:c r="B1657" s="61"/>
      <x:c r="C1657" s="61"/>
      <x:c r="D1657" s="62"/>
      <x:c r="E1657" s="61"/>
      <x:c r="F1657" s="61"/>
      <x:c r="G1657" s="63"/>
      <x:c r="H1657" s="63">
        <x:f t="shared" si="111"/>
        <x:v>0</x:v>
      </x:c>
      <x:c r="I1657" s="64"/>
      <x:c r="J1657" s="63">
        <x:f t="shared" si="112"/>
        <x:v>0</x:v>
      </x:c>
      <x:c r="K1657" s="63" t="str">
        <x:f t="shared" si="114"/>
      </x:c>
      <x:c r="L1657" s="63">
        <x:f t="shared" si="113"/>
        <x:v>0</x:v>
      </x:c>
      <x:c r="M1657" s="61"/>
    </x:row>
    <x:row r="1658">
      <x:c r="A1658" s="61" t="str">
        <x:f>IF(E1658="","",MAX($A$6:A1657)+1)</x:f>
      </x:c>
      <x:c r="B1658" s="61"/>
      <x:c r="C1658" s="61"/>
      <x:c r="D1658" s="62"/>
      <x:c r="E1658" s="61"/>
      <x:c r="F1658" s="61"/>
      <x:c r="G1658" s="63"/>
      <x:c r="H1658" s="63">
        <x:f t="shared" si="111"/>
        <x:v>0</x:v>
      </x:c>
      <x:c r="I1658" s="64"/>
      <x:c r="J1658" s="63">
        <x:f t="shared" si="112"/>
        <x:v>0</x:v>
      </x:c>
      <x:c r="K1658" s="63" t="str">
        <x:f t="shared" si="114"/>
      </x:c>
      <x:c r="L1658" s="63">
        <x:f t="shared" si="113"/>
        <x:v>0</x:v>
      </x:c>
      <x:c r="M1658" s="61"/>
    </x:row>
    <x:row r="1659">
      <x:c r="A1659" s="61" t="str">
        <x:f>IF(E1659="","",MAX($A$6:A1658)+1)</x:f>
      </x:c>
      <x:c r="B1659" s="61"/>
      <x:c r="C1659" s="61"/>
      <x:c r="D1659" s="62"/>
      <x:c r="E1659" s="61"/>
      <x:c r="F1659" s="61"/>
      <x:c r="G1659" s="63"/>
      <x:c r="H1659" s="63">
        <x:f t="shared" si="111"/>
        <x:v>0</x:v>
      </x:c>
      <x:c r="I1659" s="64"/>
      <x:c r="J1659" s="63">
        <x:f t="shared" si="112"/>
        <x:v>0</x:v>
      </x:c>
      <x:c r="K1659" s="63" t="str">
        <x:f t="shared" si="114"/>
      </x:c>
      <x:c r="L1659" s="63">
        <x:f t="shared" si="113"/>
        <x:v>0</x:v>
      </x:c>
      <x:c r="M1659" s="61"/>
    </x:row>
    <x:row r="1660">
      <x:c r="A1660" s="61" t="str">
        <x:f>IF(E1660="","",MAX($A$6:A1659)+1)</x:f>
      </x:c>
      <x:c r="B1660" s="61"/>
      <x:c r="C1660" s="61"/>
      <x:c r="D1660" s="62"/>
      <x:c r="E1660" s="61"/>
      <x:c r="F1660" s="61"/>
      <x:c r="G1660" s="63"/>
      <x:c r="H1660" s="63">
        <x:f t="shared" si="111"/>
        <x:v>0</x:v>
      </x:c>
      <x:c r="I1660" s="64"/>
      <x:c r="J1660" s="63">
        <x:f t="shared" si="112"/>
        <x:v>0</x:v>
      </x:c>
      <x:c r="K1660" s="63" t="str">
        <x:f t="shared" si="114"/>
      </x:c>
      <x:c r="L1660" s="63">
        <x:f t="shared" si="113"/>
        <x:v>0</x:v>
      </x:c>
      <x:c r="M1660" s="61"/>
    </x:row>
    <x:row r="1661">
      <x:c r="A1661" s="61" t="str">
        <x:f>IF(E1661="","",MAX($A$6:A1660)+1)</x:f>
      </x:c>
      <x:c r="B1661" s="61"/>
      <x:c r="C1661" s="61"/>
      <x:c r="D1661" s="62"/>
      <x:c r="E1661" s="61"/>
      <x:c r="F1661" s="61"/>
      <x:c r="G1661" s="63"/>
      <x:c r="H1661" s="63">
        <x:f t="shared" si="111"/>
        <x:v>0</x:v>
      </x:c>
      <x:c r="I1661" s="64"/>
      <x:c r="J1661" s="63">
        <x:f t="shared" si="112"/>
        <x:v>0</x:v>
      </x:c>
      <x:c r="K1661" s="63" t="str">
        <x:f t="shared" si="114"/>
      </x:c>
      <x:c r="L1661" s="63">
        <x:f t="shared" si="113"/>
        <x:v>0</x:v>
      </x:c>
      <x:c r="M1661" s="61"/>
    </x:row>
    <x:row r="1662">
      <x:c r="A1662" s="61" t="str">
        <x:f>IF(E1662="","",MAX($A$6:A1661)+1)</x:f>
      </x:c>
      <x:c r="B1662" s="61"/>
      <x:c r="C1662" s="61"/>
      <x:c r="D1662" s="62"/>
      <x:c r="E1662" s="61"/>
      <x:c r="F1662" s="61"/>
      <x:c r="G1662" s="63"/>
      <x:c r="H1662" s="63">
        <x:f t="shared" si="111"/>
        <x:v>0</x:v>
      </x:c>
      <x:c r="I1662" s="64"/>
      <x:c r="J1662" s="63">
        <x:f t="shared" si="112"/>
        <x:v>0</x:v>
      </x:c>
      <x:c r="K1662" s="63" t="str">
        <x:f t="shared" si="114"/>
      </x:c>
      <x:c r="L1662" s="63">
        <x:f t="shared" si="113"/>
        <x:v>0</x:v>
      </x:c>
      <x:c r="M1662" s="61"/>
    </x:row>
    <x:row r="1663">
      <x:c r="A1663" s="61" t="str">
        <x:f>IF(E1663="","",MAX($A$6:A1662)+1)</x:f>
      </x:c>
      <x:c r="B1663" s="61"/>
      <x:c r="C1663" s="61"/>
      <x:c r="D1663" s="62"/>
      <x:c r="E1663" s="61"/>
      <x:c r="F1663" s="61"/>
      <x:c r="G1663" s="63"/>
      <x:c r="H1663" s="63">
        <x:f t="shared" si="111"/>
        <x:v>0</x:v>
      </x:c>
      <x:c r="I1663" s="64"/>
      <x:c r="J1663" s="63">
        <x:f t="shared" si="112"/>
        <x:v>0</x:v>
      </x:c>
      <x:c r="K1663" s="63" t="str">
        <x:f t="shared" si="114"/>
      </x:c>
      <x:c r="L1663" s="63">
        <x:f t="shared" si="113"/>
        <x:v>0</x:v>
      </x:c>
      <x:c r="M1663" s="61"/>
    </x:row>
    <x:row r="1664">
      <x:c r="A1664" s="61" t="str">
        <x:f>IF(E1664="","",MAX($A$6:A1663)+1)</x:f>
      </x:c>
      <x:c r="B1664" s="61"/>
      <x:c r="C1664" s="61"/>
      <x:c r="D1664" s="62"/>
      <x:c r="E1664" s="61"/>
      <x:c r="F1664" s="61"/>
      <x:c r="G1664" s="63"/>
      <x:c r="H1664" s="63">
        <x:f t="shared" si="111"/>
        <x:v>0</x:v>
      </x:c>
      <x:c r="I1664" s="64"/>
      <x:c r="J1664" s="63">
        <x:f t="shared" si="112"/>
        <x:v>0</x:v>
      </x:c>
      <x:c r="K1664" s="63" t="str">
        <x:f t="shared" si="114"/>
      </x:c>
      <x:c r="L1664" s="63">
        <x:f t="shared" si="113"/>
        <x:v>0</x:v>
      </x:c>
      <x:c r="M1664" s="61"/>
    </x:row>
    <x:row r="1665">
      <x:c r="A1665" s="61" t="str">
        <x:f>IF(E1665="","",MAX($A$6:A1664)+1)</x:f>
      </x:c>
      <x:c r="B1665" s="61"/>
      <x:c r="C1665" s="61"/>
      <x:c r="D1665" s="62"/>
      <x:c r="E1665" s="61"/>
      <x:c r="F1665" s="61"/>
      <x:c r="G1665" s="63"/>
      <x:c r="H1665" s="63">
        <x:f t="shared" si="111"/>
        <x:v>0</x:v>
      </x:c>
      <x:c r="I1665" s="64"/>
      <x:c r="J1665" s="63">
        <x:f t="shared" si="112"/>
        <x:v>0</x:v>
      </x:c>
      <x:c r="K1665" s="63" t="str">
        <x:f t="shared" si="114"/>
      </x:c>
      <x:c r="L1665" s="63">
        <x:f t="shared" si="113"/>
        <x:v>0</x:v>
      </x:c>
      <x:c r="M1665" s="61"/>
    </x:row>
    <x:row r="1666">
      <x:c r="A1666" s="61" t="str">
        <x:f>IF(E1666="","",MAX($A$6:A1665)+1)</x:f>
      </x:c>
      <x:c r="B1666" s="61"/>
      <x:c r="C1666" s="61"/>
      <x:c r="D1666" s="62"/>
      <x:c r="E1666" s="61"/>
      <x:c r="F1666" s="61"/>
      <x:c r="G1666" s="63"/>
      <x:c r="H1666" s="63">
        <x:f t="shared" si="111"/>
        <x:v>0</x:v>
      </x:c>
      <x:c r="I1666" s="64"/>
      <x:c r="J1666" s="63">
        <x:f t="shared" si="112"/>
        <x:v>0</x:v>
      </x:c>
      <x:c r="K1666" s="63" t="str">
        <x:f t="shared" si="114"/>
      </x:c>
      <x:c r="L1666" s="63">
        <x:f t="shared" si="113"/>
        <x:v>0</x:v>
      </x:c>
      <x:c r="M1666" s="61"/>
    </x:row>
    <x:row r="1667">
      <x:c r="A1667" s="61" t="str">
        <x:f>IF(E1667="","",MAX($A$6:A1666)+1)</x:f>
      </x:c>
      <x:c r="B1667" s="61"/>
      <x:c r="C1667" s="61"/>
      <x:c r="D1667" s="62"/>
      <x:c r="E1667" s="61"/>
      <x:c r="F1667" s="61"/>
      <x:c r="G1667" s="63"/>
      <x:c r="H1667" s="63">
        <x:f t="shared" si="111"/>
        <x:v>0</x:v>
      </x:c>
      <x:c r="I1667" s="64"/>
      <x:c r="J1667" s="63">
        <x:f t="shared" si="112"/>
        <x:v>0</x:v>
      </x:c>
      <x:c r="K1667" s="63" t="str">
        <x:f t="shared" si="114"/>
      </x:c>
      <x:c r="L1667" s="63">
        <x:f t="shared" si="113"/>
        <x:v>0</x:v>
      </x:c>
      <x:c r="M1667" s="61"/>
    </x:row>
    <x:row r="1668">
      <x:c r="A1668" s="61" t="str">
        <x:f>IF(E1668="","",MAX($A$6:A1667)+1)</x:f>
      </x:c>
      <x:c r="B1668" s="61"/>
      <x:c r="C1668" s="61"/>
      <x:c r="D1668" s="62"/>
      <x:c r="E1668" s="61"/>
      <x:c r="F1668" s="61"/>
      <x:c r="G1668" s="63"/>
      <x:c r="H1668" s="63">
        <x:f t="shared" si="111"/>
        <x:v>0</x:v>
      </x:c>
      <x:c r="I1668" s="64"/>
      <x:c r="J1668" s="63">
        <x:f t="shared" si="112"/>
        <x:v>0</x:v>
      </x:c>
      <x:c r="K1668" s="63" t="str">
        <x:f t="shared" si="114"/>
      </x:c>
      <x:c r="L1668" s="63">
        <x:f t="shared" si="113"/>
        <x:v>0</x:v>
      </x:c>
      <x:c r="M1668" s="61"/>
    </x:row>
    <x:row r="1669">
      <x:c r="A1669" s="61" t="str">
        <x:f>IF(E1669="","",MAX($A$6:A1668)+1)</x:f>
      </x:c>
      <x:c r="B1669" s="61"/>
      <x:c r="C1669" s="61"/>
      <x:c r="D1669" s="62"/>
      <x:c r="E1669" s="61"/>
      <x:c r="F1669" s="61"/>
      <x:c r="G1669" s="63"/>
      <x:c r="H1669" s="63">
        <x:f t="shared" si="111"/>
        <x:v>0</x:v>
      </x:c>
      <x:c r="I1669" s="64"/>
      <x:c r="J1669" s="63">
        <x:f t="shared" si="112"/>
        <x:v>0</x:v>
      </x:c>
      <x:c r="K1669" s="63" t="str">
        <x:f t="shared" si="114"/>
      </x:c>
      <x:c r="L1669" s="63">
        <x:f t="shared" si="113"/>
        <x:v>0</x:v>
      </x:c>
      <x:c r="M1669" s="61"/>
    </x:row>
    <x:row r="1670">
      <x:c r="A1670" s="61" t="str">
        <x:f>IF(E1670="","",MAX($A$6:A1669)+1)</x:f>
      </x:c>
      <x:c r="B1670" s="61"/>
      <x:c r="C1670" s="61"/>
      <x:c r="D1670" s="62"/>
      <x:c r="E1670" s="61"/>
      <x:c r="F1670" s="61"/>
      <x:c r="G1670" s="63"/>
      <x:c r="H1670" s="63" t="n">
        <x:f t="shared" ref="H1670:H1733" si="115">IFERROR(IF(OR($F$1="",D1670=""),0,MAX(0,$F$1-D1670)),0)</x:f>
        <x:v>0</x:v>
      </x:c>
      <x:c r="I1670" s="64"/>
      <x:c r="J1670" s="63" t="n">
        <x:f t="shared" ref="J1670:J1733" si="116">IFERROR(IF(OR(G1670="",I1670="",D1670="",$F$1=""),0,IF($F$1&lt;D1670,0,MIN(MAX(G1670-1,0),MAX(0,(G1670*I1670/365)*H1670)))),0)</x:f>
        <x:v>0</x:v>
      </x:c>
      <x:c r="K1670" s="63" t="str">
        <x:f t="shared" si="114"/>
      </x:c>
      <x:c r="L1670" s="63" t="n">
        <x:f t="shared" ref="L1670:L1733" si="117">IFERROR(IF(OR(G1670="",I1670="",D1670="",$F$1=""),0,IF($F$1&lt;D1670,0,IF(K1670&lt;=1,0,MIN(G1670*I1670/12,K1670-1)))),0)</x:f>
        <x:v>0</x:v>
      </x:c>
      <x:c r="M1670" s="61"/>
    </x:row>
    <x:row r="1671">
      <x:c r="A1671" s="61" t="str">
        <x:f>IF(E1671="","",MAX($A$6:A1670)+1)</x:f>
      </x:c>
      <x:c r="B1671" s="61"/>
      <x:c r="C1671" s="61"/>
      <x:c r="D1671" s="62"/>
      <x:c r="E1671" s="61"/>
      <x:c r="F1671" s="61"/>
      <x:c r="G1671" s="63"/>
      <x:c r="H1671" s="63">
        <x:f t="shared" si="115"/>
        <x:v>0</x:v>
      </x:c>
      <x:c r="I1671" s="64"/>
      <x:c r="J1671" s="63">
        <x:f t="shared" si="116"/>
        <x:v>0</x:v>
      </x:c>
      <x:c r="K1671" s="63" t="str">
        <x:f t="shared" si="114"/>
      </x:c>
      <x:c r="L1671" s="63">
        <x:f t="shared" si="117"/>
        <x:v>0</x:v>
      </x:c>
      <x:c r="M1671" s="61"/>
    </x:row>
    <x:row r="1672">
      <x:c r="A1672" s="61" t="str">
        <x:f>IF(E1672="","",MAX($A$6:A1671)+1)</x:f>
      </x:c>
      <x:c r="B1672" s="61"/>
      <x:c r="C1672" s="61"/>
      <x:c r="D1672" s="62"/>
      <x:c r="E1672" s="61"/>
      <x:c r="F1672" s="61"/>
      <x:c r="G1672" s="63"/>
      <x:c r="H1672" s="63">
        <x:f t="shared" si="115"/>
        <x:v>0</x:v>
      </x:c>
      <x:c r="I1672" s="64"/>
      <x:c r="J1672" s="63">
        <x:f t="shared" si="116"/>
        <x:v>0</x:v>
      </x:c>
      <x:c r="K1672" s="63" t="str">
        <x:f t="shared" si="114"/>
      </x:c>
      <x:c r="L1672" s="63">
        <x:f t="shared" si="117"/>
        <x:v>0</x:v>
      </x:c>
      <x:c r="M1672" s="61"/>
    </x:row>
    <x:row r="1673">
      <x:c r="A1673" s="61" t="str">
        <x:f>IF(E1673="","",MAX($A$6:A1672)+1)</x:f>
      </x:c>
      <x:c r="B1673" s="61"/>
      <x:c r="C1673" s="61"/>
      <x:c r="D1673" s="62"/>
      <x:c r="E1673" s="61"/>
      <x:c r="F1673" s="61"/>
      <x:c r="G1673" s="63"/>
      <x:c r="H1673" s="63">
        <x:f t="shared" si="115"/>
        <x:v>0</x:v>
      </x:c>
      <x:c r="I1673" s="64"/>
      <x:c r="J1673" s="63">
        <x:f t="shared" si="116"/>
        <x:v>0</x:v>
      </x:c>
      <x:c r="K1673" s="63" t="str">
        <x:f t="shared" si="114"/>
      </x:c>
      <x:c r="L1673" s="63">
        <x:f t="shared" si="117"/>
        <x:v>0</x:v>
      </x:c>
      <x:c r="M1673" s="61"/>
    </x:row>
    <x:row r="1674">
      <x:c r="A1674" s="61" t="str">
        <x:f>IF(E1674="","",MAX($A$6:A1673)+1)</x:f>
      </x:c>
      <x:c r="B1674" s="61"/>
      <x:c r="C1674" s="61"/>
      <x:c r="D1674" s="62"/>
      <x:c r="E1674" s="61"/>
      <x:c r="F1674" s="61"/>
      <x:c r="G1674" s="63"/>
      <x:c r="H1674" s="63">
        <x:f t="shared" si="115"/>
        <x:v>0</x:v>
      </x:c>
      <x:c r="I1674" s="64"/>
      <x:c r="J1674" s="63">
        <x:f t="shared" si="116"/>
        <x:v>0</x:v>
      </x:c>
      <x:c r="K1674" s="63" t="str">
        <x:f t="shared" si="114"/>
      </x:c>
      <x:c r="L1674" s="63">
        <x:f t="shared" si="117"/>
        <x:v>0</x:v>
      </x:c>
      <x:c r="M1674" s="61"/>
    </x:row>
    <x:row r="1675">
      <x:c r="A1675" s="61" t="str">
        <x:f>IF(E1675="","",MAX($A$6:A1674)+1)</x:f>
      </x:c>
      <x:c r="B1675" s="61"/>
      <x:c r="C1675" s="61"/>
      <x:c r="D1675" s="62"/>
      <x:c r="E1675" s="61"/>
      <x:c r="F1675" s="61"/>
      <x:c r="G1675" s="63"/>
      <x:c r="H1675" s="63">
        <x:f t="shared" si="115"/>
        <x:v>0</x:v>
      </x:c>
      <x:c r="I1675" s="64"/>
      <x:c r="J1675" s="63">
        <x:f t="shared" si="116"/>
        <x:v>0</x:v>
      </x:c>
      <x:c r="K1675" s="63" t="str">
        <x:f t="shared" si="114"/>
      </x:c>
      <x:c r="L1675" s="63">
        <x:f t="shared" si="117"/>
        <x:v>0</x:v>
      </x:c>
      <x:c r="M1675" s="61"/>
    </x:row>
    <x:row r="1676">
      <x:c r="A1676" s="61" t="str">
        <x:f>IF(E1676="","",MAX($A$6:A1675)+1)</x:f>
      </x:c>
      <x:c r="B1676" s="61"/>
      <x:c r="C1676" s="61"/>
      <x:c r="D1676" s="62"/>
      <x:c r="E1676" s="61"/>
      <x:c r="F1676" s="61"/>
      <x:c r="G1676" s="63"/>
      <x:c r="H1676" s="63">
        <x:f t="shared" si="115"/>
        <x:v>0</x:v>
      </x:c>
      <x:c r="I1676" s="64"/>
      <x:c r="J1676" s="63">
        <x:f t="shared" si="116"/>
        <x:v>0</x:v>
      </x:c>
      <x:c r="K1676" s="63" t="str">
        <x:f t="shared" si="114"/>
      </x:c>
      <x:c r="L1676" s="63">
        <x:f t="shared" si="117"/>
        <x:v>0</x:v>
      </x:c>
      <x:c r="M1676" s="61"/>
    </x:row>
    <x:row r="1677">
      <x:c r="A1677" s="61" t="str">
        <x:f>IF(E1677="","",MAX($A$6:A1676)+1)</x:f>
      </x:c>
      <x:c r="B1677" s="61"/>
      <x:c r="C1677" s="61"/>
      <x:c r="D1677" s="62"/>
      <x:c r="E1677" s="61"/>
      <x:c r="F1677" s="61"/>
      <x:c r="G1677" s="63"/>
      <x:c r="H1677" s="63">
        <x:f t="shared" si="115"/>
        <x:v>0</x:v>
      </x:c>
      <x:c r="I1677" s="64"/>
      <x:c r="J1677" s="63">
        <x:f t="shared" si="116"/>
        <x:v>0</x:v>
      </x:c>
      <x:c r="K1677" s="63" t="str">
        <x:f t="shared" si="114"/>
      </x:c>
      <x:c r="L1677" s="63">
        <x:f t="shared" si="117"/>
        <x:v>0</x:v>
      </x:c>
      <x:c r="M1677" s="61"/>
    </x:row>
    <x:row r="1678">
      <x:c r="A1678" s="61" t="str">
        <x:f>IF(E1678="","",MAX($A$6:A1677)+1)</x:f>
      </x:c>
      <x:c r="B1678" s="61"/>
      <x:c r="C1678" s="61"/>
      <x:c r="D1678" s="62"/>
      <x:c r="E1678" s="61"/>
      <x:c r="F1678" s="61"/>
      <x:c r="G1678" s="63"/>
      <x:c r="H1678" s="63">
        <x:f t="shared" si="115"/>
        <x:v>0</x:v>
      </x:c>
      <x:c r="I1678" s="64"/>
      <x:c r="J1678" s="63">
        <x:f t="shared" si="116"/>
        <x:v>0</x:v>
      </x:c>
      <x:c r="K1678" s="63" t="str">
        <x:f t="shared" si="114"/>
      </x:c>
      <x:c r="L1678" s="63">
        <x:f t="shared" si="117"/>
        <x:v>0</x:v>
      </x:c>
      <x:c r="M1678" s="61"/>
    </x:row>
    <x:row r="1679">
      <x:c r="A1679" s="61" t="str">
        <x:f>IF(E1679="","",MAX($A$6:A1678)+1)</x:f>
      </x:c>
      <x:c r="B1679" s="61"/>
      <x:c r="C1679" s="61"/>
      <x:c r="D1679" s="62"/>
      <x:c r="E1679" s="61"/>
      <x:c r="F1679" s="61"/>
      <x:c r="G1679" s="63"/>
      <x:c r="H1679" s="63">
        <x:f t="shared" si="115"/>
        <x:v>0</x:v>
      </x:c>
      <x:c r="I1679" s="64"/>
      <x:c r="J1679" s="63">
        <x:f t="shared" si="116"/>
        <x:v>0</x:v>
      </x:c>
      <x:c r="K1679" s="63" t="str">
        <x:f t="shared" si="114"/>
      </x:c>
      <x:c r="L1679" s="63">
        <x:f t="shared" si="117"/>
        <x:v>0</x:v>
      </x:c>
      <x:c r="M1679" s="61"/>
    </x:row>
    <x:row r="1680">
      <x:c r="A1680" s="61" t="str">
        <x:f>IF(E1680="","",MAX($A$6:A1679)+1)</x:f>
      </x:c>
      <x:c r="B1680" s="61"/>
      <x:c r="C1680" s="61"/>
      <x:c r="D1680" s="62"/>
      <x:c r="E1680" s="61"/>
      <x:c r="F1680" s="61"/>
      <x:c r="G1680" s="63"/>
      <x:c r="H1680" s="63">
        <x:f t="shared" si="115"/>
        <x:v>0</x:v>
      </x:c>
      <x:c r="I1680" s="64"/>
      <x:c r="J1680" s="63">
        <x:f t="shared" si="116"/>
        <x:v>0</x:v>
      </x:c>
      <x:c r="K1680" s="63" t="str">
        <x:f t="shared" si="114"/>
      </x:c>
      <x:c r="L1680" s="63">
        <x:f t="shared" si="117"/>
        <x:v>0</x:v>
      </x:c>
      <x:c r="M1680" s="61"/>
    </x:row>
    <x:row r="1681">
      <x:c r="A1681" s="61" t="str">
        <x:f>IF(E1681="","",MAX($A$6:A1680)+1)</x:f>
      </x:c>
      <x:c r="B1681" s="61"/>
      <x:c r="C1681" s="61"/>
      <x:c r="D1681" s="62"/>
      <x:c r="E1681" s="61"/>
      <x:c r="F1681" s="61"/>
      <x:c r="G1681" s="63"/>
      <x:c r="H1681" s="63">
        <x:f t="shared" si="115"/>
        <x:v>0</x:v>
      </x:c>
      <x:c r="I1681" s="64"/>
      <x:c r="J1681" s="63">
        <x:f t="shared" si="116"/>
        <x:v>0</x:v>
      </x:c>
      <x:c r="K1681" s="63" t="str">
        <x:f t="shared" si="114"/>
      </x:c>
      <x:c r="L1681" s="63">
        <x:f t="shared" si="117"/>
        <x:v>0</x:v>
      </x:c>
      <x:c r="M1681" s="61"/>
    </x:row>
    <x:row r="1682">
      <x:c r="A1682" s="61" t="str">
        <x:f>IF(E1682="","",MAX($A$6:A1681)+1)</x:f>
      </x:c>
      <x:c r="B1682" s="61"/>
      <x:c r="C1682" s="61"/>
      <x:c r="D1682" s="62"/>
      <x:c r="E1682" s="61"/>
      <x:c r="F1682" s="61"/>
      <x:c r="G1682" s="63"/>
      <x:c r="H1682" s="63">
        <x:f t="shared" si="115"/>
        <x:v>0</x:v>
      </x:c>
      <x:c r="I1682" s="64"/>
      <x:c r="J1682" s="63">
        <x:f t="shared" si="116"/>
        <x:v>0</x:v>
      </x:c>
      <x:c r="K1682" s="63" t="str">
        <x:f t="shared" si="114"/>
      </x:c>
      <x:c r="L1682" s="63">
        <x:f t="shared" si="117"/>
        <x:v>0</x:v>
      </x:c>
      <x:c r="M1682" s="61"/>
    </x:row>
    <x:row r="1683">
      <x:c r="A1683" s="61" t="str">
        <x:f>IF(E1683="","",MAX($A$6:A1682)+1)</x:f>
      </x:c>
      <x:c r="B1683" s="61"/>
      <x:c r="C1683" s="61"/>
      <x:c r="D1683" s="62"/>
      <x:c r="E1683" s="61"/>
      <x:c r="F1683" s="61"/>
      <x:c r="G1683" s="63"/>
      <x:c r="H1683" s="63">
        <x:f t="shared" si="115"/>
        <x:v>0</x:v>
      </x:c>
      <x:c r="I1683" s="64"/>
      <x:c r="J1683" s="63">
        <x:f t="shared" si="116"/>
        <x:v>0</x:v>
      </x:c>
      <x:c r="K1683" s="63" t="str">
        <x:f t="shared" si="114"/>
      </x:c>
      <x:c r="L1683" s="63">
        <x:f t="shared" si="117"/>
        <x:v>0</x:v>
      </x:c>
      <x:c r="M1683" s="61"/>
    </x:row>
    <x:row r="1684">
      <x:c r="A1684" s="61" t="str">
        <x:f>IF(E1684="","",MAX($A$6:A1683)+1)</x:f>
      </x:c>
      <x:c r="B1684" s="61"/>
      <x:c r="C1684" s="61"/>
      <x:c r="D1684" s="62"/>
      <x:c r="E1684" s="61"/>
      <x:c r="F1684" s="61"/>
      <x:c r="G1684" s="63"/>
      <x:c r="H1684" s="63">
        <x:f t="shared" si="115"/>
        <x:v>0</x:v>
      </x:c>
      <x:c r="I1684" s="64"/>
      <x:c r="J1684" s="63">
        <x:f t="shared" si="116"/>
        <x:v>0</x:v>
      </x:c>
      <x:c r="K1684" s="63" t="str">
        <x:f t="shared" si="114"/>
      </x:c>
      <x:c r="L1684" s="63">
        <x:f t="shared" si="117"/>
        <x:v>0</x:v>
      </x:c>
      <x:c r="M1684" s="61"/>
    </x:row>
    <x:row r="1685">
      <x:c r="A1685" s="61" t="str">
        <x:f>IF(E1685="","",MAX($A$6:A1684)+1)</x:f>
      </x:c>
      <x:c r="B1685" s="61"/>
      <x:c r="C1685" s="61"/>
      <x:c r="D1685" s="62"/>
      <x:c r="E1685" s="61"/>
      <x:c r="F1685" s="61"/>
      <x:c r="G1685" s="63"/>
      <x:c r="H1685" s="63">
        <x:f t="shared" si="115"/>
        <x:v>0</x:v>
      </x:c>
      <x:c r="I1685" s="64"/>
      <x:c r="J1685" s="63">
        <x:f t="shared" si="116"/>
        <x:v>0</x:v>
      </x:c>
      <x:c r="K1685" s="63" t="str">
        <x:f t="shared" si="114"/>
      </x:c>
      <x:c r="L1685" s="63">
        <x:f t="shared" si="117"/>
        <x:v>0</x:v>
      </x:c>
      <x:c r="M1685" s="61"/>
    </x:row>
    <x:row r="1686">
      <x:c r="A1686" s="61" t="str">
        <x:f>IF(E1686="","",MAX($A$6:A1685)+1)</x:f>
      </x:c>
      <x:c r="B1686" s="61"/>
      <x:c r="C1686" s="61"/>
      <x:c r="D1686" s="62"/>
      <x:c r="E1686" s="61"/>
      <x:c r="F1686" s="61"/>
      <x:c r="G1686" s="63"/>
      <x:c r="H1686" s="63">
        <x:f t="shared" si="115"/>
        <x:v>0</x:v>
      </x:c>
      <x:c r="I1686" s="64"/>
      <x:c r="J1686" s="63">
        <x:f t="shared" si="116"/>
        <x:v>0</x:v>
      </x:c>
      <x:c r="K1686" s="63" t="str">
        <x:f t="shared" si="114"/>
      </x:c>
      <x:c r="L1686" s="63">
        <x:f t="shared" si="117"/>
        <x:v>0</x:v>
      </x:c>
      <x:c r="M1686" s="61"/>
    </x:row>
    <x:row r="1687">
      <x:c r="A1687" s="61" t="str">
        <x:f>IF(E1687="","",MAX($A$6:A1686)+1)</x:f>
      </x:c>
      <x:c r="B1687" s="61"/>
      <x:c r="C1687" s="61"/>
      <x:c r="D1687" s="62"/>
      <x:c r="E1687" s="61"/>
      <x:c r="F1687" s="61"/>
      <x:c r="G1687" s="63"/>
      <x:c r="H1687" s="63">
        <x:f t="shared" si="115"/>
        <x:v>0</x:v>
      </x:c>
      <x:c r="I1687" s="64"/>
      <x:c r="J1687" s="63">
        <x:f t="shared" si="116"/>
        <x:v>0</x:v>
      </x:c>
      <x:c r="K1687" s="63" t="str">
        <x:f t="shared" si="114"/>
      </x:c>
      <x:c r="L1687" s="63">
        <x:f t="shared" si="117"/>
        <x:v>0</x:v>
      </x:c>
      <x:c r="M1687" s="61"/>
    </x:row>
    <x:row r="1688">
      <x:c r="A1688" s="61" t="str">
        <x:f>IF(E1688="","",MAX($A$6:A1687)+1)</x:f>
      </x:c>
      <x:c r="B1688" s="61"/>
      <x:c r="C1688" s="61"/>
      <x:c r="D1688" s="62"/>
      <x:c r="E1688" s="61"/>
      <x:c r="F1688" s="61"/>
      <x:c r="G1688" s="63"/>
      <x:c r="H1688" s="63">
        <x:f t="shared" si="115"/>
        <x:v>0</x:v>
      </x:c>
      <x:c r="I1688" s="64"/>
      <x:c r="J1688" s="63">
        <x:f t="shared" si="116"/>
        <x:v>0</x:v>
      </x:c>
      <x:c r="K1688" s="63" t="str">
        <x:f t="shared" si="114"/>
      </x:c>
      <x:c r="L1688" s="63">
        <x:f t="shared" si="117"/>
        <x:v>0</x:v>
      </x:c>
      <x:c r="M1688" s="61"/>
    </x:row>
    <x:row r="1689">
      <x:c r="A1689" s="61" t="str">
        <x:f>IF(E1689="","",MAX($A$6:A1688)+1)</x:f>
      </x:c>
      <x:c r="B1689" s="61"/>
      <x:c r="C1689" s="61"/>
      <x:c r="D1689" s="62"/>
      <x:c r="E1689" s="61"/>
      <x:c r="F1689" s="61"/>
      <x:c r="G1689" s="63"/>
      <x:c r="H1689" s="63">
        <x:f t="shared" si="115"/>
        <x:v>0</x:v>
      </x:c>
      <x:c r="I1689" s="64"/>
      <x:c r="J1689" s="63">
        <x:f t="shared" si="116"/>
        <x:v>0</x:v>
      </x:c>
      <x:c r="K1689" s="63" t="str">
        <x:f t="shared" si="114"/>
      </x:c>
      <x:c r="L1689" s="63">
        <x:f t="shared" si="117"/>
        <x:v>0</x:v>
      </x:c>
      <x:c r="M1689" s="61"/>
    </x:row>
    <x:row r="1690">
      <x:c r="A1690" s="61" t="str">
        <x:f>IF(E1690="","",MAX($A$6:A1689)+1)</x:f>
      </x:c>
      <x:c r="B1690" s="61"/>
      <x:c r="C1690" s="61"/>
      <x:c r="D1690" s="62"/>
      <x:c r="E1690" s="61"/>
      <x:c r="F1690" s="61"/>
      <x:c r="G1690" s="63"/>
      <x:c r="H1690" s="63">
        <x:f t="shared" si="115"/>
        <x:v>0</x:v>
      </x:c>
      <x:c r="I1690" s="64"/>
      <x:c r="J1690" s="63">
        <x:f t="shared" si="116"/>
        <x:v>0</x:v>
      </x:c>
      <x:c r="K1690" s="63" t="str">
        <x:f t="shared" si="114"/>
      </x:c>
      <x:c r="L1690" s="63">
        <x:f t="shared" si="117"/>
        <x:v>0</x:v>
      </x:c>
      <x:c r="M1690" s="61"/>
    </x:row>
    <x:row r="1691">
      <x:c r="A1691" s="61" t="str">
        <x:f>IF(E1691="","",MAX($A$6:A1690)+1)</x:f>
      </x:c>
      <x:c r="B1691" s="61"/>
      <x:c r="C1691" s="61"/>
      <x:c r="D1691" s="62"/>
      <x:c r="E1691" s="61"/>
      <x:c r="F1691" s="61"/>
      <x:c r="G1691" s="63"/>
      <x:c r="H1691" s="63">
        <x:f t="shared" si="115"/>
        <x:v>0</x:v>
      </x:c>
      <x:c r="I1691" s="64"/>
      <x:c r="J1691" s="63">
        <x:f t="shared" si="116"/>
        <x:v>0</x:v>
      </x:c>
      <x:c r="K1691" s="63" t="str">
        <x:f t="shared" si="114"/>
      </x:c>
      <x:c r="L1691" s="63">
        <x:f t="shared" si="117"/>
        <x:v>0</x:v>
      </x:c>
      <x:c r="M1691" s="61"/>
    </x:row>
    <x:row r="1692">
      <x:c r="A1692" s="61" t="str">
        <x:f>IF(E1692="","",MAX($A$6:A1691)+1)</x:f>
      </x:c>
      <x:c r="B1692" s="61"/>
      <x:c r="C1692" s="61"/>
      <x:c r="D1692" s="62"/>
      <x:c r="E1692" s="61"/>
      <x:c r="F1692" s="61"/>
      <x:c r="G1692" s="63"/>
      <x:c r="H1692" s="63">
        <x:f t="shared" si="115"/>
        <x:v>0</x:v>
      </x:c>
      <x:c r="I1692" s="64"/>
      <x:c r="J1692" s="63">
        <x:f t="shared" si="116"/>
        <x:v>0</x:v>
      </x:c>
      <x:c r="K1692" s="63" t="str">
        <x:f t="shared" si="114"/>
      </x:c>
      <x:c r="L1692" s="63">
        <x:f t="shared" si="117"/>
        <x:v>0</x:v>
      </x:c>
      <x:c r="M1692" s="61"/>
    </x:row>
    <x:row r="1693">
      <x:c r="A1693" s="61" t="str">
        <x:f>IF(E1693="","",MAX($A$6:A1692)+1)</x:f>
      </x:c>
      <x:c r="B1693" s="61"/>
      <x:c r="C1693" s="61"/>
      <x:c r="D1693" s="62"/>
      <x:c r="E1693" s="61"/>
      <x:c r="F1693" s="61"/>
      <x:c r="G1693" s="63"/>
      <x:c r="H1693" s="63">
        <x:f t="shared" si="115"/>
        <x:v>0</x:v>
      </x:c>
      <x:c r="I1693" s="64"/>
      <x:c r="J1693" s="63">
        <x:f t="shared" si="116"/>
        <x:v>0</x:v>
      </x:c>
      <x:c r="K1693" s="63" t="str">
        <x:f t="shared" si="114"/>
      </x:c>
      <x:c r="L1693" s="63">
        <x:f t="shared" si="117"/>
        <x:v>0</x:v>
      </x:c>
      <x:c r="M1693" s="61"/>
    </x:row>
    <x:row r="1694">
      <x:c r="A1694" s="61" t="str">
        <x:f>IF(E1694="","",MAX($A$6:A1693)+1)</x:f>
      </x:c>
      <x:c r="B1694" s="61"/>
      <x:c r="C1694" s="61"/>
      <x:c r="D1694" s="62"/>
      <x:c r="E1694" s="61"/>
      <x:c r="F1694" s="61"/>
      <x:c r="G1694" s="63"/>
      <x:c r="H1694" s="63">
        <x:f t="shared" si="115"/>
        <x:v>0</x:v>
      </x:c>
      <x:c r="I1694" s="64"/>
      <x:c r="J1694" s="63">
        <x:f t="shared" si="116"/>
        <x:v>0</x:v>
      </x:c>
      <x:c r="K1694" s="63" t="str">
        <x:f t="shared" si="114"/>
      </x:c>
      <x:c r="L1694" s="63">
        <x:f t="shared" si="117"/>
        <x:v>0</x:v>
      </x:c>
      <x:c r="M1694" s="61"/>
    </x:row>
    <x:row r="1695">
      <x:c r="A1695" s="61" t="str">
        <x:f>IF(E1695="","",MAX($A$6:A1694)+1)</x:f>
      </x:c>
      <x:c r="B1695" s="61"/>
      <x:c r="C1695" s="61"/>
      <x:c r="D1695" s="62"/>
      <x:c r="E1695" s="61"/>
      <x:c r="F1695" s="61"/>
      <x:c r="G1695" s="63"/>
      <x:c r="H1695" s="63">
        <x:f t="shared" si="115"/>
        <x:v>0</x:v>
      </x:c>
      <x:c r="I1695" s="64"/>
      <x:c r="J1695" s="63">
        <x:f t="shared" si="116"/>
        <x:v>0</x:v>
      </x:c>
      <x:c r="K1695" s="63" t="str">
        <x:f t="shared" si="114"/>
      </x:c>
      <x:c r="L1695" s="63">
        <x:f t="shared" si="117"/>
        <x:v>0</x:v>
      </x:c>
      <x:c r="M1695" s="61"/>
    </x:row>
    <x:row r="1696">
      <x:c r="A1696" s="61" t="str">
        <x:f>IF(E1696="","",MAX($A$6:A1695)+1)</x:f>
      </x:c>
      <x:c r="B1696" s="61"/>
      <x:c r="C1696" s="61"/>
      <x:c r="D1696" s="62"/>
      <x:c r="E1696" s="61"/>
      <x:c r="F1696" s="61"/>
      <x:c r="G1696" s="63"/>
      <x:c r="H1696" s="63">
        <x:f t="shared" si="115"/>
        <x:v>0</x:v>
      </x:c>
      <x:c r="I1696" s="64"/>
      <x:c r="J1696" s="63">
        <x:f t="shared" si="116"/>
        <x:v>0</x:v>
      </x:c>
      <x:c r="K1696" s="63" t="str">
        <x:f t="shared" si="114"/>
      </x:c>
      <x:c r="L1696" s="63">
        <x:f t="shared" si="117"/>
        <x:v>0</x:v>
      </x:c>
      <x:c r="M1696" s="61"/>
    </x:row>
    <x:row r="1697">
      <x:c r="A1697" s="61" t="str">
        <x:f>IF(E1697="","",MAX($A$6:A1696)+1)</x:f>
      </x:c>
      <x:c r="B1697" s="61"/>
      <x:c r="C1697" s="61"/>
      <x:c r="D1697" s="62"/>
      <x:c r="E1697" s="61"/>
      <x:c r="F1697" s="61"/>
      <x:c r="G1697" s="63"/>
      <x:c r="H1697" s="63">
        <x:f t="shared" si="115"/>
        <x:v>0</x:v>
      </x:c>
      <x:c r="I1697" s="64"/>
      <x:c r="J1697" s="63">
        <x:f t="shared" si="116"/>
        <x:v>0</x:v>
      </x:c>
      <x:c r="K1697" s="63" t="str">
        <x:f t="shared" si="114"/>
      </x:c>
      <x:c r="L1697" s="63">
        <x:f t="shared" si="117"/>
        <x:v>0</x:v>
      </x:c>
      <x:c r="M1697" s="61"/>
    </x:row>
    <x:row r="1698">
      <x:c r="A1698" s="61" t="str">
        <x:f>IF(E1698="","",MAX($A$6:A1697)+1)</x:f>
      </x:c>
      <x:c r="B1698" s="61"/>
      <x:c r="C1698" s="61"/>
      <x:c r="D1698" s="62"/>
      <x:c r="E1698" s="61"/>
      <x:c r="F1698" s="61"/>
      <x:c r="G1698" s="63"/>
      <x:c r="H1698" s="63">
        <x:f t="shared" si="115"/>
        <x:v>0</x:v>
      </x:c>
      <x:c r="I1698" s="64"/>
      <x:c r="J1698" s="63">
        <x:f t="shared" si="116"/>
        <x:v>0</x:v>
      </x:c>
      <x:c r="K1698" s="63" t="str">
        <x:f t="shared" si="114"/>
      </x:c>
      <x:c r="L1698" s="63">
        <x:f t="shared" si="117"/>
        <x:v>0</x:v>
      </x:c>
      <x:c r="M1698" s="61"/>
    </x:row>
    <x:row r="1699">
      <x:c r="A1699" s="61" t="str">
        <x:f>IF(E1699="","",MAX($A$6:A1698)+1)</x:f>
      </x:c>
      <x:c r="B1699" s="61"/>
      <x:c r="C1699" s="61"/>
      <x:c r="D1699" s="62"/>
      <x:c r="E1699" s="61"/>
      <x:c r="F1699" s="61"/>
      <x:c r="G1699" s="63"/>
      <x:c r="H1699" s="63">
        <x:f t="shared" si="115"/>
        <x:v>0</x:v>
      </x:c>
      <x:c r="I1699" s="64"/>
      <x:c r="J1699" s="63">
        <x:f t="shared" si="116"/>
        <x:v>0</x:v>
      </x:c>
      <x:c r="K1699" s="63" t="str">
        <x:f t="shared" si="114"/>
      </x:c>
      <x:c r="L1699" s="63">
        <x:f t="shared" si="117"/>
        <x:v>0</x:v>
      </x:c>
      <x:c r="M1699" s="61"/>
    </x:row>
    <x:row r="1700">
      <x:c r="A1700" s="61" t="str">
        <x:f>IF(E1700="","",MAX($A$6:A1699)+1)</x:f>
      </x:c>
      <x:c r="B1700" s="61"/>
      <x:c r="C1700" s="61"/>
      <x:c r="D1700" s="62"/>
      <x:c r="E1700" s="61"/>
      <x:c r="F1700" s="61"/>
      <x:c r="G1700" s="63"/>
      <x:c r="H1700" s="63">
        <x:f t="shared" si="115"/>
        <x:v>0</x:v>
      </x:c>
      <x:c r="I1700" s="64"/>
      <x:c r="J1700" s="63">
        <x:f t="shared" si="116"/>
        <x:v>0</x:v>
      </x:c>
      <x:c r="K1700" s="63" t="str">
        <x:f t="shared" si="114"/>
      </x:c>
      <x:c r="L1700" s="63">
        <x:f t="shared" si="117"/>
        <x:v>0</x:v>
      </x:c>
      <x:c r="M1700" s="61"/>
    </x:row>
    <x:row r="1701">
      <x:c r="A1701" s="61" t="str">
        <x:f>IF(E1701="","",MAX($A$6:A1700)+1)</x:f>
      </x:c>
      <x:c r="B1701" s="61"/>
      <x:c r="C1701" s="61"/>
      <x:c r="D1701" s="62"/>
      <x:c r="E1701" s="61"/>
      <x:c r="F1701" s="61"/>
      <x:c r="G1701" s="63"/>
      <x:c r="H1701" s="63">
        <x:f t="shared" si="115"/>
        <x:v>0</x:v>
      </x:c>
      <x:c r="I1701" s="64"/>
      <x:c r="J1701" s="63">
        <x:f t="shared" si="116"/>
        <x:v>0</x:v>
      </x:c>
      <x:c r="K1701" s="63" t="str">
        <x:f t="shared" si="114"/>
      </x:c>
      <x:c r="L1701" s="63">
        <x:f t="shared" si="117"/>
        <x:v>0</x:v>
      </x:c>
      <x:c r="M1701" s="61"/>
    </x:row>
    <x:row r="1702">
      <x:c r="A1702" s="61" t="str">
        <x:f>IF(E1702="","",MAX($A$6:A1701)+1)</x:f>
      </x:c>
      <x:c r="B1702" s="61"/>
      <x:c r="C1702" s="61"/>
      <x:c r="D1702" s="62"/>
      <x:c r="E1702" s="61"/>
      <x:c r="F1702" s="61"/>
      <x:c r="G1702" s="63"/>
      <x:c r="H1702" s="63">
        <x:f t="shared" si="115"/>
        <x:v>0</x:v>
      </x:c>
      <x:c r="I1702" s="64"/>
      <x:c r="J1702" s="63">
        <x:f t="shared" si="116"/>
        <x:v>0</x:v>
      </x:c>
      <x:c r="K1702" s="63" t="str">
        <x:f t="shared" si="114"/>
      </x:c>
      <x:c r="L1702" s="63">
        <x:f t="shared" si="117"/>
        <x:v>0</x:v>
      </x:c>
      <x:c r="M1702" s="61"/>
    </x:row>
    <x:row r="1703">
      <x:c r="A1703" s="61" t="str">
        <x:f>IF(E1703="","",MAX($A$6:A1702)+1)</x:f>
      </x:c>
      <x:c r="B1703" s="61"/>
      <x:c r="C1703" s="61"/>
      <x:c r="D1703" s="62"/>
      <x:c r="E1703" s="61"/>
      <x:c r="F1703" s="61"/>
      <x:c r="G1703" s="63"/>
      <x:c r="H1703" s="63">
        <x:f t="shared" si="115"/>
        <x:v>0</x:v>
      </x:c>
      <x:c r="I1703" s="64"/>
      <x:c r="J1703" s="63">
        <x:f t="shared" si="116"/>
        <x:v>0</x:v>
      </x:c>
      <x:c r="K1703" s="63" t="str">
        <x:f t="shared" si="114"/>
      </x:c>
      <x:c r="L1703" s="63">
        <x:f t="shared" si="117"/>
        <x:v>0</x:v>
      </x:c>
      <x:c r="M1703" s="61"/>
    </x:row>
    <x:row r="1704">
      <x:c r="A1704" s="61" t="str">
        <x:f>IF(E1704="","",MAX($A$6:A1703)+1)</x:f>
      </x:c>
      <x:c r="B1704" s="61"/>
      <x:c r="C1704" s="61"/>
      <x:c r="D1704" s="62"/>
      <x:c r="E1704" s="61"/>
      <x:c r="F1704" s="61"/>
      <x:c r="G1704" s="63"/>
      <x:c r="H1704" s="63">
        <x:f t="shared" si="115"/>
        <x:v>0</x:v>
      </x:c>
      <x:c r="I1704" s="64"/>
      <x:c r="J1704" s="63">
        <x:f t="shared" si="116"/>
        <x:v>0</x:v>
      </x:c>
      <x:c r="K1704" s="63" t="str">
        <x:f t="shared" si="114"/>
      </x:c>
      <x:c r="L1704" s="63">
        <x:f t="shared" si="117"/>
        <x:v>0</x:v>
      </x:c>
      <x:c r="M1704" s="61"/>
    </x:row>
    <x:row r="1705">
      <x:c r="A1705" s="61" t="str">
        <x:f>IF(E1705="","",MAX($A$6:A1704)+1)</x:f>
      </x:c>
      <x:c r="B1705" s="61"/>
      <x:c r="C1705" s="61"/>
      <x:c r="D1705" s="62"/>
      <x:c r="E1705" s="61"/>
      <x:c r="F1705" s="61"/>
      <x:c r="G1705" s="63"/>
      <x:c r="H1705" s="63">
        <x:f t="shared" si="115"/>
        <x:v>0</x:v>
      </x:c>
      <x:c r="I1705" s="64"/>
      <x:c r="J1705" s="63">
        <x:f t="shared" si="116"/>
        <x:v>0</x:v>
      </x:c>
      <x:c r="K1705" s="63" t="str">
        <x:f t="shared" si="114"/>
      </x:c>
      <x:c r="L1705" s="63">
        <x:f t="shared" si="117"/>
        <x:v>0</x:v>
      </x:c>
      <x:c r="M1705" s="61"/>
    </x:row>
    <x:row r="1706">
      <x:c r="A1706" s="61" t="str">
        <x:f>IF(E1706="","",MAX($A$6:A1705)+1)</x:f>
      </x:c>
      <x:c r="B1706" s="61"/>
      <x:c r="C1706" s="61"/>
      <x:c r="D1706" s="62"/>
      <x:c r="E1706" s="61"/>
      <x:c r="F1706" s="61"/>
      <x:c r="G1706" s="63"/>
      <x:c r="H1706" s="63">
        <x:f t="shared" si="115"/>
        <x:v>0</x:v>
      </x:c>
      <x:c r="I1706" s="64"/>
      <x:c r="J1706" s="63">
        <x:f t="shared" si="116"/>
        <x:v>0</x:v>
      </x:c>
      <x:c r="K1706" s="63" t="str">
        <x:f t="shared" si="114"/>
      </x:c>
      <x:c r="L1706" s="63">
        <x:f t="shared" si="117"/>
        <x:v>0</x:v>
      </x:c>
      <x:c r="M1706" s="61"/>
    </x:row>
    <x:row r="1707">
      <x:c r="A1707" s="61" t="str">
        <x:f>IF(E1707="","",MAX($A$6:A1706)+1)</x:f>
      </x:c>
      <x:c r="B1707" s="61"/>
      <x:c r="C1707" s="61"/>
      <x:c r="D1707" s="62"/>
      <x:c r="E1707" s="61"/>
      <x:c r="F1707" s="61"/>
      <x:c r="G1707" s="63"/>
      <x:c r="H1707" s="63">
        <x:f t="shared" si="115"/>
        <x:v>0</x:v>
      </x:c>
      <x:c r="I1707" s="64"/>
      <x:c r="J1707" s="63">
        <x:f t="shared" si="116"/>
        <x:v>0</x:v>
      </x:c>
      <x:c r="K1707" s="63" t="str">
        <x:f t="shared" si="114"/>
      </x:c>
      <x:c r="L1707" s="63">
        <x:f t="shared" si="117"/>
        <x:v>0</x:v>
      </x:c>
      <x:c r="M1707" s="61"/>
    </x:row>
    <x:row r="1708">
      <x:c r="A1708" s="61" t="str">
        <x:f>IF(E1708="","",MAX($A$6:A1707)+1)</x:f>
      </x:c>
      <x:c r="B1708" s="61"/>
      <x:c r="C1708" s="61"/>
      <x:c r="D1708" s="62"/>
      <x:c r="E1708" s="61"/>
      <x:c r="F1708" s="61"/>
      <x:c r="G1708" s="63"/>
      <x:c r="H1708" s="63">
        <x:f t="shared" si="115"/>
        <x:v>0</x:v>
      </x:c>
      <x:c r="I1708" s="64"/>
      <x:c r="J1708" s="63">
        <x:f t="shared" si="116"/>
        <x:v>0</x:v>
      </x:c>
      <x:c r="K1708" s="63" t="str">
        <x:f t="shared" si="114"/>
      </x:c>
      <x:c r="L1708" s="63">
        <x:f t="shared" si="117"/>
        <x:v>0</x:v>
      </x:c>
      <x:c r="M1708" s="61"/>
    </x:row>
    <x:row r="1709">
      <x:c r="A1709" s="61" t="str">
        <x:f>IF(E1709="","",MAX($A$6:A1708)+1)</x:f>
      </x:c>
      <x:c r="B1709" s="61"/>
      <x:c r="C1709" s="61"/>
      <x:c r="D1709" s="62"/>
      <x:c r="E1709" s="61"/>
      <x:c r="F1709" s="61"/>
      <x:c r="G1709" s="63"/>
      <x:c r="H1709" s="63">
        <x:f t="shared" si="115"/>
        <x:v>0</x:v>
      </x:c>
      <x:c r="I1709" s="64"/>
      <x:c r="J1709" s="63">
        <x:f t="shared" si="116"/>
        <x:v>0</x:v>
      </x:c>
      <x:c r="K1709" s="63" t="str">
        <x:f t="shared" si="114"/>
      </x:c>
      <x:c r="L1709" s="63">
        <x:f t="shared" si="117"/>
        <x:v>0</x:v>
      </x:c>
      <x:c r="M1709" s="61"/>
    </x:row>
    <x:row r="1710">
      <x:c r="A1710" s="61" t="str">
        <x:f>IF(E1710="","",MAX($A$6:A1709)+1)</x:f>
      </x:c>
      <x:c r="B1710" s="61"/>
      <x:c r="C1710" s="61"/>
      <x:c r="D1710" s="62"/>
      <x:c r="E1710" s="61"/>
      <x:c r="F1710" s="61"/>
      <x:c r="G1710" s="63"/>
      <x:c r="H1710" s="63">
        <x:f t="shared" si="115"/>
        <x:v>0</x:v>
      </x:c>
      <x:c r="I1710" s="64"/>
      <x:c r="J1710" s="63">
        <x:f t="shared" si="116"/>
        <x:v>0</x:v>
      </x:c>
      <x:c r="K1710" s="63" t="str">
        <x:f t="shared" si="114"/>
      </x:c>
      <x:c r="L1710" s="63">
        <x:f t="shared" si="117"/>
        <x:v>0</x:v>
      </x:c>
      <x:c r="M1710" s="61"/>
    </x:row>
    <x:row r="1711">
      <x:c r="A1711" s="61" t="str">
        <x:f>IF(E1711="","",MAX($A$6:A1710)+1)</x:f>
      </x:c>
      <x:c r="B1711" s="61"/>
      <x:c r="C1711" s="61"/>
      <x:c r="D1711" s="62"/>
      <x:c r="E1711" s="61"/>
      <x:c r="F1711" s="61"/>
      <x:c r="G1711" s="63"/>
      <x:c r="H1711" s="63">
        <x:f t="shared" si="115"/>
        <x:v>0</x:v>
      </x:c>
      <x:c r="I1711" s="64"/>
      <x:c r="J1711" s="63">
        <x:f t="shared" si="116"/>
        <x:v>0</x:v>
      </x:c>
      <x:c r="K1711" s="63" t="str">
        <x:f t="shared" si="114"/>
      </x:c>
      <x:c r="L1711" s="63">
        <x:f t="shared" si="117"/>
        <x:v>0</x:v>
      </x:c>
      <x:c r="M1711" s="61"/>
    </x:row>
    <x:row r="1712">
      <x:c r="A1712" s="61" t="str">
        <x:f>IF(E1712="","",MAX($A$6:A1711)+1)</x:f>
      </x:c>
      <x:c r="B1712" s="61"/>
      <x:c r="C1712" s="61"/>
      <x:c r="D1712" s="62"/>
      <x:c r="E1712" s="61"/>
      <x:c r="F1712" s="61"/>
      <x:c r="G1712" s="63"/>
      <x:c r="H1712" s="63">
        <x:f t="shared" si="115"/>
        <x:v>0</x:v>
      </x:c>
      <x:c r="I1712" s="64"/>
      <x:c r="J1712" s="63">
        <x:f t="shared" si="116"/>
        <x:v>0</x:v>
      </x:c>
      <x:c r="K1712" s="63" t="str">
        <x:f t="shared" si="114"/>
      </x:c>
      <x:c r="L1712" s="63">
        <x:f t="shared" si="117"/>
        <x:v>0</x:v>
      </x:c>
      <x:c r="M1712" s="61"/>
    </x:row>
    <x:row r="1713">
      <x:c r="A1713" s="61" t="str">
        <x:f>IF(E1713="","",MAX($A$6:A1712)+1)</x:f>
      </x:c>
      <x:c r="B1713" s="61"/>
      <x:c r="C1713" s="61"/>
      <x:c r="D1713" s="62"/>
      <x:c r="E1713" s="61"/>
      <x:c r="F1713" s="61"/>
      <x:c r="G1713" s="63"/>
      <x:c r="H1713" s="63">
        <x:f t="shared" si="115"/>
        <x:v>0</x:v>
      </x:c>
      <x:c r="I1713" s="64"/>
      <x:c r="J1713" s="63">
        <x:f t="shared" si="116"/>
        <x:v>0</x:v>
      </x:c>
      <x:c r="K1713" s="63" t="str">
        <x:f t="shared" si="114"/>
      </x:c>
      <x:c r="L1713" s="63">
        <x:f t="shared" si="117"/>
        <x:v>0</x:v>
      </x:c>
      <x:c r="M1713" s="61"/>
    </x:row>
    <x:row r="1714">
      <x:c r="A1714" s="61" t="str">
        <x:f>IF(E1714="","",MAX($A$6:A1713)+1)</x:f>
      </x:c>
      <x:c r="B1714" s="61"/>
      <x:c r="C1714" s="61"/>
      <x:c r="D1714" s="62"/>
      <x:c r="E1714" s="61"/>
      <x:c r="F1714" s="61"/>
      <x:c r="G1714" s="63"/>
      <x:c r="H1714" s="63">
        <x:f t="shared" si="115"/>
        <x:v>0</x:v>
      </x:c>
      <x:c r="I1714" s="64"/>
      <x:c r="J1714" s="63">
        <x:f t="shared" si="116"/>
        <x:v>0</x:v>
      </x:c>
      <x:c r="K1714" s="63" t="str">
        <x:f t="shared" si="114"/>
      </x:c>
      <x:c r="L1714" s="63">
        <x:f t="shared" si="117"/>
        <x:v>0</x:v>
      </x:c>
      <x:c r="M1714" s="61"/>
    </x:row>
    <x:row r="1715">
      <x:c r="A1715" s="61" t="str">
        <x:f>IF(E1715="","",MAX($A$6:A1714)+1)</x:f>
      </x:c>
      <x:c r="B1715" s="61"/>
      <x:c r="C1715" s="61"/>
      <x:c r="D1715" s="62"/>
      <x:c r="E1715" s="61"/>
      <x:c r="F1715" s="61"/>
      <x:c r="G1715" s="63"/>
      <x:c r="H1715" s="63">
        <x:f t="shared" si="115"/>
        <x:v>0</x:v>
      </x:c>
      <x:c r="I1715" s="64"/>
      <x:c r="J1715" s="63">
        <x:f t="shared" si="116"/>
        <x:v>0</x:v>
      </x:c>
      <x:c r="K1715" s="63" t="str">
        <x:f t="shared" si="114"/>
      </x:c>
      <x:c r="L1715" s="63">
        <x:f t="shared" si="117"/>
        <x:v>0</x:v>
      </x:c>
      <x:c r="M1715" s="61"/>
    </x:row>
    <x:row r="1716">
      <x:c r="A1716" s="61" t="str">
        <x:f>IF(E1716="","",MAX($A$6:A1715)+1)</x:f>
      </x:c>
      <x:c r="B1716" s="61"/>
      <x:c r="C1716" s="61"/>
      <x:c r="D1716" s="62"/>
      <x:c r="E1716" s="61"/>
      <x:c r="F1716" s="61"/>
      <x:c r="G1716" s="63"/>
      <x:c r="H1716" s="63">
        <x:f t="shared" si="115"/>
        <x:v>0</x:v>
      </x:c>
      <x:c r="I1716" s="64"/>
      <x:c r="J1716" s="63">
        <x:f t="shared" si="116"/>
        <x:v>0</x:v>
      </x:c>
      <x:c r="K1716" s="63" t="str">
        <x:f t="shared" si="114"/>
      </x:c>
      <x:c r="L1716" s="63">
        <x:f t="shared" si="117"/>
        <x:v>0</x:v>
      </x:c>
      <x:c r="M1716" s="61"/>
    </x:row>
    <x:row r="1717">
      <x:c r="A1717" s="61" t="str">
        <x:f>IF(E1717="","",MAX($A$6:A1716)+1)</x:f>
      </x:c>
      <x:c r="B1717" s="61"/>
      <x:c r="C1717" s="61"/>
      <x:c r="D1717" s="62"/>
      <x:c r="E1717" s="61"/>
      <x:c r="F1717" s="61"/>
      <x:c r="G1717" s="63"/>
      <x:c r="H1717" s="63">
        <x:f t="shared" si="115"/>
        <x:v>0</x:v>
      </x:c>
      <x:c r="I1717" s="64"/>
      <x:c r="J1717" s="63">
        <x:f t="shared" si="116"/>
        <x:v>0</x:v>
      </x:c>
      <x:c r="K1717" s="63" t="str">
        <x:f t="shared" si="114"/>
      </x:c>
      <x:c r="L1717" s="63">
        <x:f t="shared" si="117"/>
        <x:v>0</x:v>
      </x:c>
      <x:c r="M1717" s="61"/>
    </x:row>
    <x:row r="1718">
      <x:c r="A1718" s="61" t="str">
        <x:f>IF(E1718="","",MAX($A$6:A1717)+1)</x:f>
      </x:c>
      <x:c r="B1718" s="61"/>
      <x:c r="C1718" s="61"/>
      <x:c r="D1718" s="62"/>
      <x:c r="E1718" s="61"/>
      <x:c r="F1718" s="61"/>
      <x:c r="G1718" s="63"/>
      <x:c r="H1718" s="63">
        <x:f t="shared" si="115"/>
        <x:v>0</x:v>
      </x:c>
      <x:c r="I1718" s="64"/>
      <x:c r="J1718" s="63">
        <x:f t="shared" si="116"/>
        <x:v>0</x:v>
      </x:c>
      <x:c r="K1718" s="63" t="str">
        <x:f t="shared" ref="K1718:K1781" si="118">IFERROR(IF(G1718="","",MAX(1,G1718-J1718)),0)</x:f>
      </x:c>
      <x:c r="L1718" s="63">
        <x:f t="shared" si="117"/>
        <x:v>0</x:v>
      </x:c>
      <x:c r="M1718" s="61"/>
    </x:row>
    <x:row r="1719">
      <x:c r="A1719" s="61" t="str">
        <x:f>IF(E1719="","",MAX($A$6:A1718)+1)</x:f>
      </x:c>
      <x:c r="B1719" s="61"/>
      <x:c r="C1719" s="61"/>
      <x:c r="D1719" s="62"/>
      <x:c r="E1719" s="61"/>
      <x:c r="F1719" s="61"/>
      <x:c r="G1719" s="63"/>
      <x:c r="H1719" s="63">
        <x:f t="shared" si="115"/>
        <x:v>0</x:v>
      </x:c>
      <x:c r="I1719" s="64"/>
      <x:c r="J1719" s="63">
        <x:f t="shared" si="116"/>
        <x:v>0</x:v>
      </x:c>
      <x:c r="K1719" s="63" t="str">
        <x:f t="shared" si="118"/>
      </x:c>
      <x:c r="L1719" s="63">
        <x:f t="shared" si="117"/>
        <x:v>0</x:v>
      </x:c>
      <x:c r="M1719" s="61"/>
    </x:row>
    <x:row r="1720">
      <x:c r="A1720" s="61" t="str">
        <x:f>IF(E1720="","",MAX($A$6:A1719)+1)</x:f>
      </x:c>
      <x:c r="B1720" s="61"/>
      <x:c r="C1720" s="61"/>
      <x:c r="D1720" s="62"/>
      <x:c r="E1720" s="61"/>
      <x:c r="F1720" s="61"/>
      <x:c r="G1720" s="63"/>
      <x:c r="H1720" s="63">
        <x:f t="shared" si="115"/>
        <x:v>0</x:v>
      </x:c>
      <x:c r="I1720" s="64"/>
      <x:c r="J1720" s="63">
        <x:f t="shared" si="116"/>
        <x:v>0</x:v>
      </x:c>
      <x:c r="K1720" s="63" t="str">
        <x:f t="shared" si="118"/>
      </x:c>
      <x:c r="L1720" s="63">
        <x:f t="shared" si="117"/>
        <x:v>0</x:v>
      </x:c>
      <x:c r="M1720" s="61"/>
    </x:row>
    <x:row r="1721">
      <x:c r="A1721" s="61" t="str">
        <x:f>IF(E1721="","",MAX($A$6:A1720)+1)</x:f>
      </x:c>
      <x:c r="B1721" s="61"/>
      <x:c r="C1721" s="61"/>
      <x:c r="D1721" s="62"/>
      <x:c r="E1721" s="61"/>
      <x:c r="F1721" s="61"/>
      <x:c r="G1721" s="63"/>
      <x:c r="H1721" s="63">
        <x:f t="shared" si="115"/>
        <x:v>0</x:v>
      </x:c>
      <x:c r="I1721" s="64"/>
      <x:c r="J1721" s="63">
        <x:f t="shared" si="116"/>
        <x:v>0</x:v>
      </x:c>
      <x:c r="K1721" s="63" t="str">
        <x:f t="shared" si="118"/>
      </x:c>
      <x:c r="L1721" s="63">
        <x:f t="shared" si="117"/>
        <x:v>0</x:v>
      </x:c>
      <x:c r="M1721" s="61"/>
    </x:row>
    <x:row r="1722">
      <x:c r="A1722" s="61" t="str">
        <x:f>IF(E1722="","",MAX($A$6:A1721)+1)</x:f>
      </x:c>
      <x:c r="B1722" s="61"/>
      <x:c r="C1722" s="61"/>
      <x:c r="D1722" s="62"/>
      <x:c r="E1722" s="61"/>
      <x:c r="F1722" s="61"/>
      <x:c r="G1722" s="63"/>
      <x:c r="H1722" s="63">
        <x:f t="shared" si="115"/>
        <x:v>0</x:v>
      </x:c>
      <x:c r="I1722" s="64"/>
      <x:c r="J1722" s="63">
        <x:f t="shared" si="116"/>
        <x:v>0</x:v>
      </x:c>
      <x:c r="K1722" s="63" t="str">
        <x:f t="shared" si="118"/>
      </x:c>
      <x:c r="L1722" s="63">
        <x:f t="shared" si="117"/>
        <x:v>0</x:v>
      </x:c>
      <x:c r="M1722" s="61"/>
    </x:row>
    <x:row r="1723">
      <x:c r="A1723" s="61" t="str">
        <x:f>IF(E1723="","",MAX($A$6:A1722)+1)</x:f>
      </x:c>
      <x:c r="B1723" s="61"/>
      <x:c r="C1723" s="61"/>
      <x:c r="D1723" s="62"/>
      <x:c r="E1723" s="61"/>
      <x:c r="F1723" s="61"/>
      <x:c r="G1723" s="63"/>
      <x:c r="H1723" s="63">
        <x:f t="shared" si="115"/>
        <x:v>0</x:v>
      </x:c>
      <x:c r="I1723" s="64"/>
      <x:c r="J1723" s="63">
        <x:f t="shared" si="116"/>
        <x:v>0</x:v>
      </x:c>
      <x:c r="K1723" s="63" t="str">
        <x:f t="shared" si="118"/>
      </x:c>
      <x:c r="L1723" s="63">
        <x:f t="shared" si="117"/>
        <x:v>0</x:v>
      </x:c>
      <x:c r="M1723" s="61"/>
    </x:row>
    <x:row r="1724">
      <x:c r="A1724" s="61" t="str">
        <x:f>IF(E1724="","",MAX($A$6:A1723)+1)</x:f>
      </x:c>
      <x:c r="B1724" s="61"/>
      <x:c r="C1724" s="61"/>
      <x:c r="D1724" s="62"/>
      <x:c r="E1724" s="61"/>
      <x:c r="F1724" s="61"/>
      <x:c r="G1724" s="63"/>
      <x:c r="H1724" s="63">
        <x:f t="shared" si="115"/>
        <x:v>0</x:v>
      </x:c>
      <x:c r="I1724" s="64"/>
      <x:c r="J1724" s="63">
        <x:f t="shared" si="116"/>
        <x:v>0</x:v>
      </x:c>
      <x:c r="K1724" s="63" t="str">
        <x:f t="shared" si="118"/>
      </x:c>
      <x:c r="L1724" s="63">
        <x:f t="shared" si="117"/>
        <x:v>0</x:v>
      </x:c>
      <x:c r="M1724" s="61"/>
    </x:row>
    <x:row r="1725">
      <x:c r="A1725" s="61" t="str">
        <x:f>IF(E1725="","",MAX($A$6:A1724)+1)</x:f>
      </x:c>
      <x:c r="B1725" s="61"/>
      <x:c r="C1725" s="61"/>
      <x:c r="D1725" s="62"/>
      <x:c r="E1725" s="61"/>
      <x:c r="F1725" s="61"/>
      <x:c r="G1725" s="63"/>
      <x:c r="H1725" s="63">
        <x:f t="shared" si="115"/>
        <x:v>0</x:v>
      </x:c>
      <x:c r="I1725" s="64"/>
      <x:c r="J1725" s="63">
        <x:f t="shared" si="116"/>
        <x:v>0</x:v>
      </x:c>
      <x:c r="K1725" s="63" t="str">
        <x:f t="shared" si="118"/>
      </x:c>
      <x:c r="L1725" s="63">
        <x:f t="shared" si="117"/>
        <x:v>0</x:v>
      </x:c>
      <x:c r="M1725" s="61"/>
    </x:row>
    <x:row r="1726">
      <x:c r="A1726" s="61" t="str">
        <x:f>IF(E1726="","",MAX($A$6:A1725)+1)</x:f>
      </x:c>
      <x:c r="B1726" s="61"/>
      <x:c r="C1726" s="61"/>
      <x:c r="D1726" s="62"/>
      <x:c r="E1726" s="61"/>
      <x:c r="F1726" s="61"/>
      <x:c r="G1726" s="63"/>
      <x:c r="H1726" s="63">
        <x:f t="shared" si="115"/>
        <x:v>0</x:v>
      </x:c>
      <x:c r="I1726" s="64"/>
      <x:c r="J1726" s="63">
        <x:f t="shared" si="116"/>
        <x:v>0</x:v>
      </x:c>
      <x:c r="K1726" s="63" t="str">
        <x:f t="shared" si="118"/>
      </x:c>
      <x:c r="L1726" s="63">
        <x:f t="shared" si="117"/>
        <x:v>0</x:v>
      </x:c>
      <x:c r="M1726" s="61"/>
    </x:row>
    <x:row r="1727">
      <x:c r="A1727" s="61" t="str">
        <x:f>IF(E1727="","",MAX($A$6:A1726)+1)</x:f>
      </x:c>
      <x:c r="B1727" s="61"/>
      <x:c r="C1727" s="61"/>
      <x:c r="D1727" s="62"/>
      <x:c r="E1727" s="61"/>
      <x:c r="F1727" s="61"/>
      <x:c r="G1727" s="63"/>
      <x:c r="H1727" s="63">
        <x:f t="shared" si="115"/>
        <x:v>0</x:v>
      </x:c>
      <x:c r="I1727" s="64"/>
      <x:c r="J1727" s="63">
        <x:f t="shared" si="116"/>
        <x:v>0</x:v>
      </x:c>
      <x:c r="K1727" s="63" t="str">
        <x:f t="shared" si="118"/>
      </x:c>
      <x:c r="L1727" s="63">
        <x:f t="shared" si="117"/>
        <x:v>0</x:v>
      </x:c>
      <x:c r="M1727" s="61"/>
    </x:row>
    <x:row r="1728">
      <x:c r="A1728" s="61" t="str">
        <x:f>IF(E1728="","",MAX($A$6:A1727)+1)</x:f>
      </x:c>
      <x:c r="B1728" s="61"/>
      <x:c r="C1728" s="61"/>
      <x:c r="D1728" s="62"/>
      <x:c r="E1728" s="61"/>
      <x:c r="F1728" s="61"/>
      <x:c r="G1728" s="63"/>
      <x:c r="H1728" s="63">
        <x:f t="shared" si="115"/>
        <x:v>0</x:v>
      </x:c>
      <x:c r="I1728" s="64"/>
      <x:c r="J1728" s="63">
        <x:f t="shared" si="116"/>
        <x:v>0</x:v>
      </x:c>
      <x:c r="K1728" s="63" t="str">
        <x:f t="shared" si="118"/>
      </x:c>
      <x:c r="L1728" s="63">
        <x:f t="shared" si="117"/>
        <x:v>0</x:v>
      </x:c>
      <x:c r="M1728" s="61"/>
    </x:row>
    <x:row r="1729">
      <x:c r="A1729" s="61" t="str">
        <x:f>IF(E1729="","",MAX($A$6:A1728)+1)</x:f>
      </x:c>
      <x:c r="B1729" s="61"/>
      <x:c r="C1729" s="61"/>
      <x:c r="D1729" s="62"/>
      <x:c r="E1729" s="61"/>
      <x:c r="F1729" s="61"/>
      <x:c r="G1729" s="63"/>
      <x:c r="H1729" s="63">
        <x:f t="shared" si="115"/>
        <x:v>0</x:v>
      </x:c>
      <x:c r="I1729" s="64"/>
      <x:c r="J1729" s="63">
        <x:f t="shared" si="116"/>
        <x:v>0</x:v>
      </x:c>
      <x:c r="K1729" s="63" t="str">
        <x:f t="shared" si="118"/>
      </x:c>
      <x:c r="L1729" s="63">
        <x:f t="shared" si="117"/>
        <x:v>0</x:v>
      </x:c>
      <x:c r="M1729" s="61"/>
    </x:row>
    <x:row r="1730">
      <x:c r="A1730" s="61" t="str">
        <x:f>IF(E1730="","",MAX($A$6:A1729)+1)</x:f>
      </x:c>
      <x:c r="B1730" s="61"/>
      <x:c r="C1730" s="61"/>
      <x:c r="D1730" s="62"/>
      <x:c r="E1730" s="61"/>
      <x:c r="F1730" s="61"/>
      <x:c r="G1730" s="63"/>
      <x:c r="H1730" s="63">
        <x:f t="shared" si="115"/>
        <x:v>0</x:v>
      </x:c>
      <x:c r="I1730" s="64"/>
      <x:c r="J1730" s="63">
        <x:f t="shared" si="116"/>
        <x:v>0</x:v>
      </x:c>
      <x:c r="K1730" s="63" t="str">
        <x:f t="shared" si="118"/>
      </x:c>
      <x:c r="L1730" s="63">
        <x:f t="shared" si="117"/>
        <x:v>0</x:v>
      </x:c>
      <x:c r="M1730" s="61"/>
    </x:row>
    <x:row r="1731">
      <x:c r="A1731" s="61" t="str">
        <x:f>IF(E1731="","",MAX($A$6:A1730)+1)</x:f>
      </x:c>
      <x:c r="B1731" s="61"/>
      <x:c r="C1731" s="61"/>
      <x:c r="D1731" s="62"/>
      <x:c r="E1731" s="61"/>
      <x:c r="F1731" s="61"/>
      <x:c r="G1731" s="63"/>
      <x:c r="H1731" s="63">
        <x:f t="shared" si="115"/>
        <x:v>0</x:v>
      </x:c>
      <x:c r="I1731" s="64"/>
      <x:c r="J1731" s="63">
        <x:f t="shared" si="116"/>
        <x:v>0</x:v>
      </x:c>
      <x:c r="K1731" s="63" t="str">
        <x:f t="shared" si="118"/>
      </x:c>
      <x:c r="L1731" s="63">
        <x:f t="shared" si="117"/>
        <x:v>0</x:v>
      </x:c>
      <x:c r="M1731" s="61"/>
    </x:row>
    <x:row r="1732">
      <x:c r="A1732" s="61" t="str">
        <x:f>IF(E1732="","",MAX($A$6:A1731)+1)</x:f>
      </x:c>
      <x:c r="B1732" s="61"/>
      <x:c r="C1732" s="61"/>
      <x:c r="D1732" s="62"/>
      <x:c r="E1732" s="61"/>
      <x:c r="F1732" s="61"/>
      <x:c r="G1732" s="63"/>
      <x:c r="H1732" s="63">
        <x:f t="shared" si="115"/>
        <x:v>0</x:v>
      </x:c>
      <x:c r="I1732" s="64"/>
      <x:c r="J1732" s="63">
        <x:f t="shared" si="116"/>
        <x:v>0</x:v>
      </x:c>
      <x:c r="K1732" s="63" t="str">
        <x:f t="shared" si="118"/>
      </x:c>
      <x:c r="L1732" s="63">
        <x:f t="shared" si="117"/>
        <x:v>0</x:v>
      </x:c>
      <x:c r="M1732" s="61"/>
    </x:row>
    <x:row r="1733">
      <x:c r="A1733" s="61" t="str">
        <x:f>IF(E1733="","",MAX($A$6:A1732)+1)</x:f>
      </x:c>
      <x:c r="B1733" s="61"/>
      <x:c r="C1733" s="61"/>
      <x:c r="D1733" s="62"/>
      <x:c r="E1733" s="61"/>
      <x:c r="F1733" s="61"/>
      <x:c r="G1733" s="63"/>
      <x:c r="H1733" s="63">
        <x:f t="shared" si="115"/>
        <x:v>0</x:v>
      </x:c>
      <x:c r="I1733" s="64"/>
      <x:c r="J1733" s="63">
        <x:f t="shared" si="116"/>
        <x:v>0</x:v>
      </x:c>
      <x:c r="K1733" s="63" t="str">
        <x:f t="shared" si="118"/>
      </x:c>
      <x:c r="L1733" s="63">
        <x:f t="shared" si="117"/>
        <x:v>0</x:v>
      </x:c>
      <x:c r="M1733" s="61"/>
    </x:row>
    <x:row r="1734">
      <x:c r="A1734" s="61" t="str">
        <x:f>IF(E1734="","",MAX($A$6:A1733)+1)</x:f>
      </x:c>
      <x:c r="B1734" s="61"/>
      <x:c r="C1734" s="61"/>
      <x:c r="D1734" s="62"/>
      <x:c r="E1734" s="61"/>
      <x:c r="F1734" s="61"/>
      <x:c r="G1734" s="63"/>
      <x:c r="H1734" s="63" t="n">
        <x:f t="shared" ref="H1734:H1797" si="119">IFERROR(IF(OR($F$1="",D1734=""),0,MAX(0,$F$1-D1734)),0)</x:f>
        <x:v>0</x:v>
      </x:c>
      <x:c r="I1734" s="64"/>
      <x:c r="J1734" s="63" t="n">
        <x:f t="shared" ref="J1734:J1797" si="120">IFERROR(IF(OR(G1734="",I1734="",D1734="",$F$1=""),0,IF($F$1&lt;D1734,0,MIN(MAX(G1734-1,0),MAX(0,(G1734*I1734/365)*H1734)))),0)</x:f>
        <x:v>0</x:v>
      </x:c>
      <x:c r="K1734" s="63" t="str">
        <x:f t="shared" si="118"/>
      </x:c>
      <x:c r="L1734" s="63" t="n">
        <x:f t="shared" ref="L1734:L1797" si="121">IFERROR(IF(OR(G1734="",I1734="",D1734="",$F$1=""),0,IF($F$1&lt;D1734,0,IF(K1734&lt;=1,0,MIN(G1734*I1734/12,K1734-1)))),0)</x:f>
        <x:v>0</x:v>
      </x:c>
      <x:c r="M1734" s="61"/>
    </x:row>
    <x:row r="1735">
      <x:c r="A1735" s="61" t="str">
        <x:f>IF(E1735="","",MAX($A$6:A1734)+1)</x:f>
      </x:c>
      <x:c r="B1735" s="61"/>
      <x:c r="C1735" s="61"/>
      <x:c r="D1735" s="62"/>
      <x:c r="E1735" s="61"/>
      <x:c r="F1735" s="61"/>
      <x:c r="G1735" s="63"/>
      <x:c r="H1735" s="63">
        <x:f t="shared" si="119"/>
        <x:v>0</x:v>
      </x:c>
      <x:c r="I1735" s="64"/>
      <x:c r="J1735" s="63">
        <x:f t="shared" si="120"/>
        <x:v>0</x:v>
      </x:c>
      <x:c r="K1735" s="63" t="str">
        <x:f t="shared" si="118"/>
      </x:c>
      <x:c r="L1735" s="63">
        <x:f t="shared" si="121"/>
        <x:v>0</x:v>
      </x:c>
      <x:c r="M1735" s="61"/>
    </x:row>
    <x:row r="1736">
      <x:c r="A1736" s="61" t="str">
        <x:f>IF(E1736="","",MAX($A$6:A1735)+1)</x:f>
      </x:c>
      <x:c r="B1736" s="61"/>
      <x:c r="C1736" s="61"/>
      <x:c r="D1736" s="62"/>
      <x:c r="E1736" s="61"/>
      <x:c r="F1736" s="61"/>
      <x:c r="G1736" s="63"/>
      <x:c r="H1736" s="63">
        <x:f t="shared" si="119"/>
        <x:v>0</x:v>
      </x:c>
      <x:c r="I1736" s="64"/>
      <x:c r="J1736" s="63">
        <x:f t="shared" si="120"/>
        <x:v>0</x:v>
      </x:c>
      <x:c r="K1736" s="63" t="str">
        <x:f t="shared" si="118"/>
      </x:c>
      <x:c r="L1736" s="63">
        <x:f t="shared" si="121"/>
        <x:v>0</x:v>
      </x:c>
      <x:c r="M1736" s="61"/>
    </x:row>
    <x:row r="1737">
      <x:c r="A1737" s="61" t="str">
        <x:f>IF(E1737="","",MAX($A$6:A1736)+1)</x:f>
      </x:c>
      <x:c r="B1737" s="61"/>
      <x:c r="C1737" s="61"/>
      <x:c r="D1737" s="62"/>
      <x:c r="E1737" s="61"/>
      <x:c r="F1737" s="61"/>
      <x:c r="G1737" s="63"/>
      <x:c r="H1737" s="63">
        <x:f t="shared" si="119"/>
        <x:v>0</x:v>
      </x:c>
      <x:c r="I1737" s="64"/>
      <x:c r="J1737" s="63">
        <x:f t="shared" si="120"/>
        <x:v>0</x:v>
      </x:c>
      <x:c r="K1737" s="63" t="str">
        <x:f t="shared" si="118"/>
      </x:c>
      <x:c r="L1737" s="63">
        <x:f t="shared" si="121"/>
        <x:v>0</x:v>
      </x:c>
      <x:c r="M1737" s="61"/>
    </x:row>
    <x:row r="1738">
      <x:c r="A1738" s="61" t="str">
        <x:f>IF(E1738="","",MAX($A$6:A1737)+1)</x:f>
      </x:c>
      <x:c r="B1738" s="61"/>
      <x:c r="C1738" s="61"/>
      <x:c r="D1738" s="62"/>
      <x:c r="E1738" s="61"/>
      <x:c r="F1738" s="61"/>
      <x:c r="G1738" s="63"/>
      <x:c r="H1738" s="63">
        <x:f t="shared" si="119"/>
        <x:v>0</x:v>
      </x:c>
      <x:c r="I1738" s="64"/>
      <x:c r="J1738" s="63">
        <x:f t="shared" si="120"/>
        <x:v>0</x:v>
      </x:c>
      <x:c r="K1738" s="63" t="str">
        <x:f t="shared" si="118"/>
      </x:c>
      <x:c r="L1738" s="63">
        <x:f t="shared" si="121"/>
        <x:v>0</x:v>
      </x:c>
      <x:c r="M1738" s="61"/>
    </x:row>
    <x:row r="1739">
      <x:c r="A1739" s="61" t="str">
        <x:f>IF(E1739="","",MAX($A$6:A1738)+1)</x:f>
      </x:c>
      <x:c r="B1739" s="61"/>
      <x:c r="C1739" s="61"/>
      <x:c r="D1739" s="62"/>
      <x:c r="E1739" s="61"/>
      <x:c r="F1739" s="61"/>
      <x:c r="G1739" s="63"/>
      <x:c r="H1739" s="63">
        <x:f t="shared" si="119"/>
        <x:v>0</x:v>
      </x:c>
      <x:c r="I1739" s="64"/>
      <x:c r="J1739" s="63">
        <x:f t="shared" si="120"/>
        <x:v>0</x:v>
      </x:c>
      <x:c r="K1739" s="63" t="str">
        <x:f t="shared" si="118"/>
      </x:c>
      <x:c r="L1739" s="63">
        <x:f t="shared" si="121"/>
        <x:v>0</x:v>
      </x:c>
      <x:c r="M1739" s="61"/>
    </x:row>
    <x:row r="1740">
      <x:c r="A1740" s="61" t="str">
        <x:f>IF(E1740="","",MAX($A$6:A1739)+1)</x:f>
      </x:c>
      <x:c r="B1740" s="61"/>
      <x:c r="C1740" s="61"/>
      <x:c r="D1740" s="62"/>
      <x:c r="E1740" s="61"/>
      <x:c r="F1740" s="61"/>
      <x:c r="G1740" s="63"/>
      <x:c r="H1740" s="63">
        <x:f t="shared" si="119"/>
        <x:v>0</x:v>
      </x:c>
      <x:c r="I1740" s="64"/>
      <x:c r="J1740" s="63">
        <x:f t="shared" si="120"/>
        <x:v>0</x:v>
      </x:c>
      <x:c r="K1740" s="63" t="str">
        <x:f t="shared" si="118"/>
      </x:c>
      <x:c r="L1740" s="63">
        <x:f t="shared" si="121"/>
        <x:v>0</x:v>
      </x:c>
      <x:c r="M1740" s="61"/>
    </x:row>
    <x:row r="1741">
      <x:c r="A1741" s="61" t="str">
        <x:f>IF(E1741="","",MAX($A$6:A1740)+1)</x:f>
      </x:c>
      <x:c r="B1741" s="61"/>
      <x:c r="C1741" s="61"/>
      <x:c r="D1741" s="62"/>
      <x:c r="E1741" s="61"/>
      <x:c r="F1741" s="61"/>
      <x:c r="G1741" s="63"/>
      <x:c r="H1741" s="63">
        <x:f t="shared" si="119"/>
        <x:v>0</x:v>
      </x:c>
      <x:c r="I1741" s="64"/>
      <x:c r="J1741" s="63">
        <x:f t="shared" si="120"/>
        <x:v>0</x:v>
      </x:c>
      <x:c r="K1741" s="63" t="str">
        <x:f t="shared" si="118"/>
      </x:c>
      <x:c r="L1741" s="63">
        <x:f t="shared" si="121"/>
        <x:v>0</x:v>
      </x:c>
      <x:c r="M1741" s="61"/>
    </x:row>
    <x:row r="1742">
      <x:c r="A1742" s="61" t="str">
        <x:f>IF(E1742="","",MAX($A$6:A1741)+1)</x:f>
      </x:c>
      <x:c r="B1742" s="61"/>
      <x:c r="C1742" s="61"/>
      <x:c r="D1742" s="62"/>
      <x:c r="E1742" s="61"/>
      <x:c r="F1742" s="61"/>
      <x:c r="G1742" s="63"/>
      <x:c r="H1742" s="63">
        <x:f t="shared" si="119"/>
        <x:v>0</x:v>
      </x:c>
      <x:c r="I1742" s="64"/>
      <x:c r="J1742" s="63">
        <x:f t="shared" si="120"/>
        <x:v>0</x:v>
      </x:c>
      <x:c r="K1742" s="63" t="str">
        <x:f t="shared" si="118"/>
      </x:c>
      <x:c r="L1742" s="63">
        <x:f t="shared" si="121"/>
        <x:v>0</x:v>
      </x:c>
      <x:c r="M1742" s="61"/>
    </x:row>
    <x:row r="1743">
      <x:c r="A1743" s="61" t="str">
        <x:f>IF(E1743="","",MAX($A$6:A1742)+1)</x:f>
      </x:c>
      <x:c r="B1743" s="61"/>
      <x:c r="C1743" s="61"/>
      <x:c r="D1743" s="62"/>
      <x:c r="E1743" s="61"/>
      <x:c r="F1743" s="61"/>
      <x:c r="G1743" s="63"/>
      <x:c r="H1743" s="63">
        <x:f t="shared" si="119"/>
        <x:v>0</x:v>
      </x:c>
      <x:c r="I1743" s="64"/>
      <x:c r="J1743" s="63">
        <x:f t="shared" si="120"/>
        <x:v>0</x:v>
      </x:c>
      <x:c r="K1743" s="63" t="str">
        <x:f t="shared" si="118"/>
      </x:c>
      <x:c r="L1743" s="63">
        <x:f t="shared" si="121"/>
        <x:v>0</x:v>
      </x:c>
      <x:c r="M1743" s="61"/>
    </x:row>
    <x:row r="1744">
      <x:c r="A1744" s="61" t="str">
        <x:f>IF(E1744="","",MAX($A$6:A1743)+1)</x:f>
      </x:c>
      <x:c r="B1744" s="61"/>
      <x:c r="C1744" s="61"/>
      <x:c r="D1744" s="62"/>
      <x:c r="E1744" s="61"/>
      <x:c r="F1744" s="61"/>
      <x:c r="G1744" s="63"/>
      <x:c r="H1744" s="63">
        <x:f t="shared" si="119"/>
        <x:v>0</x:v>
      </x:c>
      <x:c r="I1744" s="64"/>
      <x:c r="J1744" s="63">
        <x:f t="shared" si="120"/>
        <x:v>0</x:v>
      </x:c>
      <x:c r="K1744" s="63" t="str">
        <x:f t="shared" si="118"/>
      </x:c>
      <x:c r="L1744" s="63">
        <x:f t="shared" si="121"/>
        <x:v>0</x:v>
      </x:c>
      <x:c r="M1744" s="61"/>
    </x:row>
    <x:row r="1745">
      <x:c r="A1745" s="61" t="str">
        <x:f>IF(E1745="","",MAX($A$6:A1744)+1)</x:f>
      </x:c>
      <x:c r="B1745" s="61"/>
      <x:c r="C1745" s="61"/>
      <x:c r="D1745" s="62"/>
      <x:c r="E1745" s="61"/>
      <x:c r="F1745" s="61"/>
      <x:c r="G1745" s="63"/>
      <x:c r="H1745" s="63">
        <x:f t="shared" si="119"/>
        <x:v>0</x:v>
      </x:c>
      <x:c r="I1745" s="64"/>
      <x:c r="J1745" s="63">
        <x:f t="shared" si="120"/>
        <x:v>0</x:v>
      </x:c>
      <x:c r="K1745" s="63" t="str">
        <x:f t="shared" si="118"/>
      </x:c>
      <x:c r="L1745" s="63">
        <x:f t="shared" si="121"/>
        <x:v>0</x:v>
      </x:c>
      <x:c r="M1745" s="61"/>
    </x:row>
    <x:row r="1746">
      <x:c r="A1746" s="61" t="str">
        <x:f>IF(E1746="","",MAX($A$6:A1745)+1)</x:f>
      </x:c>
      <x:c r="B1746" s="61"/>
      <x:c r="C1746" s="61"/>
      <x:c r="D1746" s="62"/>
      <x:c r="E1746" s="61"/>
      <x:c r="F1746" s="61"/>
      <x:c r="G1746" s="63"/>
      <x:c r="H1746" s="63">
        <x:f t="shared" si="119"/>
        <x:v>0</x:v>
      </x:c>
      <x:c r="I1746" s="64"/>
      <x:c r="J1746" s="63">
        <x:f t="shared" si="120"/>
        <x:v>0</x:v>
      </x:c>
      <x:c r="K1746" s="63" t="str">
        <x:f t="shared" si="118"/>
      </x:c>
      <x:c r="L1746" s="63">
        <x:f t="shared" si="121"/>
        <x:v>0</x:v>
      </x:c>
      <x:c r="M1746" s="61"/>
    </x:row>
    <x:row r="1747">
      <x:c r="A1747" s="61" t="str">
        <x:f>IF(E1747="","",MAX($A$6:A1746)+1)</x:f>
      </x:c>
      <x:c r="B1747" s="61"/>
      <x:c r="C1747" s="61"/>
      <x:c r="D1747" s="62"/>
      <x:c r="E1747" s="61"/>
      <x:c r="F1747" s="61"/>
      <x:c r="G1747" s="63"/>
      <x:c r="H1747" s="63">
        <x:f t="shared" si="119"/>
        <x:v>0</x:v>
      </x:c>
      <x:c r="I1747" s="64"/>
      <x:c r="J1747" s="63">
        <x:f t="shared" si="120"/>
        <x:v>0</x:v>
      </x:c>
      <x:c r="K1747" s="63" t="str">
        <x:f t="shared" si="118"/>
      </x:c>
      <x:c r="L1747" s="63">
        <x:f t="shared" si="121"/>
        <x:v>0</x:v>
      </x:c>
      <x:c r="M1747" s="61"/>
    </x:row>
    <x:row r="1748">
      <x:c r="A1748" s="61" t="str">
        <x:f>IF(E1748="","",MAX($A$6:A1747)+1)</x:f>
      </x:c>
      <x:c r="B1748" s="61"/>
      <x:c r="C1748" s="61"/>
      <x:c r="D1748" s="62"/>
      <x:c r="E1748" s="61"/>
      <x:c r="F1748" s="61"/>
      <x:c r="G1748" s="63"/>
      <x:c r="H1748" s="63">
        <x:f t="shared" si="119"/>
        <x:v>0</x:v>
      </x:c>
      <x:c r="I1748" s="64"/>
      <x:c r="J1748" s="63">
        <x:f t="shared" si="120"/>
        <x:v>0</x:v>
      </x:c>
      <x:c r="K1748" s="63" t="str">
        <x:f t="shared" si="118"/>
      </x:c>
      <x:c r="L1748" s="63">
        <x:f t="shared" si="121"/>
        <x:v>0</x:v>
      </x:c>
      <x:c r="M1748" s="61"/>
    </x:row>
    <x:row r="1749">
      <x:c r="A1749" s="61" t="str">
        <x:f>IF(E1749="","",MAX($A$6:A1748)+1)</x:f>
      </x:c>
      <x:c r="B1749" s="61"/>
      <x:c r="C1749" s="61"/>
      <x:c r="D1749" s="62"/>
      <x:c r="E1749" s="61"/>
      <x:c r="F1749" s="61"/>
      <x:c r="G1749" s="63"/>
      <x:c r="H1749" s="63">
        <x:f t="shared" si="119"/>
        <x:v>0</x:v>
      </x:c>
      <x:c r="I1749" s="64"/>
      <x:c r="J1749" s="63">
        <x:f t="shared" si="120"/>
        <x:v>0</x:v>
      </x:c>
      <x:c r="K1749" s="63" t="str">
        <x:f t="shared" si="118"/>
      </x:c>
      <x:c r="L1749" s="63">
        <x:f t="shared" si="121"/>
        <x:v>0</x:v>
      </x:c>
      <x:c r="M1749" s="61"/>
    </x:row>
    <x:row r="1750">
      <x:c r="A1750" s="61" t="str">
        <x:f>IF(E1750="","",MAX($A$6:A1749)+1)</x:f>
      </x:c>
      <x:c r="B1750" s="61"/>
      <x:c r="C1750" s="61"/>
      <x:c r="D1750" s="62"/>
      <x:c r="E1750" s="61"/>
      <x:c r="F1750" s="61"/>
      <x:c r="G1750" s="63"/>
      <x:c r="H1750" s="63">
        <x:f t="shared" si="119"/>
        <x:v>0</x:v>
      </x:c>
      <x:c r="I1750" s="64"/>
      <x:c r="J1750" s="63">
        <x:f t="shared" si="120"/>
        <x:v>0</x:v>
      </x:c>
      <x:c r="K1750" s="63" t="str">
        <x:f t="shared" si="118"/>
      </x:c>
      <x:c r="L1750" s="63">
        <x:f t="shared" si="121"/>
        <x:v>0</x:v>
      </x:c>
      <x:c r="M1750" s="61"/>
    </x:row>
    <x:row r="1751">
      <x:c r="A1751" s="61" t="str">
        <x:f>IF(E1751="","",MAX($A$6:A1750)+1)</x:f>
      </x:c>
      <x:c r="B1751" s="61"/>
      <x:c r="C1751" s="61"/>
      <x:c r="D1751" s="62"/>
      <x:c r="E1751" s="61"/>
      <x:c r="F1751" s="61"/>
      <x:c r="G1751" s="63"/>
      <x:c r="H1751" s="63">
        <x:f t="shared" si="119"/>
        <x:v>0</x:v>
      </x:c>
      <x:c r="I1751" s="64"/>
      <x:c r="J1751" s="63">
        <x:f t="shared" si="120"/>
        <x:v>0</x:v>
      </x:c>
      <x:c r="K1751" s="63" t="str">
        <x:f t="shared" si="118"/>
      </x:c>
      <x:c r="L1751" s="63">
        <x:f t="shared" si="121"/>
        <x:v>0</x:v>
      </x:c>
      <x:c r="M1751" s="61"/>
    </x:row>
    <x:row r="1752">
      <x:c r="A1752" s="61" t="str">
        <x:f>IF(E1752="","",MAX($A$6:A1751)+1)</x:f>
      </x:c>
      <x:c r="B1752" s="61"/>
      <x:c r="C1752" s="61"/>
      <x:c r="D1752" s="62"/>
      <x:c r="E1752" s="61"/>
      <x:c r="F1752" s="61"/>
      <x:c r="G1752" s="63"/>
      <x:c r="H1752" s="63">
        <x:f t="shared" si="119"/>
        <x:v>0</x:v>
      </x:c>
      <x:c r="I1752" s="64"/>
      <x:c r="J1752" s="63">
        <x:f t="shared" si="120"/>
        <x:v>0</x:v>
      </x:c>
      <x:c r="K1752" s="63" t="str">
        <x:f t="shared" si="118"/>
      </x:c>
      <x:c r="L1752" s="63">
        <x:f t="shared" si="121"/>
        <x:v>0</x:v>
      </x:c>
      <x:c r="M1752" s="61"/>
    </x:row>
    <x:row r="1753">
      <x:c r="A1753" s="61" t="str">
        <x:f>IF(E1753="","",MAX($A$6:A1752)+1)</x:f>
      </x:c>
      <x:c r="B1753" s="61"/>
      <x:c r="C1753" s="61"/>
      <x:c r="D1753" s="62"/>
      <x:c r="E1753" s="61"/>
      <x:c r="F1753" s="61"/>
      <x:c r="G1753" s="63"/>
      <x:c r="H1753" s="63">
        <x:f t="shared" si="119"/>
        <x:v>0</x:v>
      </x:c>
      <x:c r="I1753" s="64"/>
      <x:c r="J1753" s="63">
        <x:f t="shared" si="120"/>
        <x:v>0</x:v>
      </x:c>
      <x:c r="K1753" s="63" t="str">
        <x:f t="shared" si="118"/>
      </x:c>
      <x:c r="L1753" s="63">
        <x:f t="shared" si="121"/>
        <x:v>0</x:v>
      </x:c>
      <x:c r="M1753" s="61"/>
    </x:row>
    <x:row r="1754">
      <x:c r="A1754" s="61" t="str">
        <x:f>IF(E1754="","",MAX($A$6:A1753)+1)</x:f>
      </x:c>
      <x:c r="B1754" s="61"/>
      <x:c r="C1754" s="61"/>
      <x:c r="D1754" s="62"/>
      <x:c r="E1754" s="61"/>
      <x:c r="F1754" s="61"/>
      <x:c r="G1754" s="63"/>
      <x:c r="H1754" s="63">
        <x:f t="shared" si="119"/>
        <x:v>0</x:v>
      </x:c>
      <x:c r="I1754" s="64"/>
      <x:c r="J1754" s="63">
        <x:f t="shared" si="120"/>
        <x:v>0</x:v>
      </x:c>
      <x:c r="K1754" s="63" t="str">
        <x:f t="shared" si="118"/>
      </x:c>
      <x:c r="L1754" s="63">
        <x:f t="shared" si="121"/>
        <x:v>0</x:v>
      </x:c>
      <x:c r="M1754" s="61"/>
    </x:row>
    <x:row r="1755">
      <x:c r="A1755" s="61" t="str">
        <x:f>IF(E1755="","",MAX($A$6:A1754)+1)</x:f>
      </x:c>
      <x:c r="B1755" s="61"/>
      <x:c r="C1755" s="61"/>
      <x:c r="D1755" s="62"/>
      <x:c r="E1755" s="61"/>
      <x:c r="F1755" s="61"/>
      <x:c r="G1755" s="63"/>
      <x:c r="H1755" s="63">
        <x:f t="shared" si="119"/>
        <x:v>0</x:v>
      </x:c>
      <x:c r="I1755" s="64"/>
      <x:c r="J1755" s="63">
        <x:f t="shared" si="120"/>
        <x:v>0</x:v>
      </x:c>
      <x:c r="K1755" s="63" t="str">
        <x:f t="shared" si="118"/>
      </x:c>
      <x:c r="L1755" s="63">
        <x:f t="shared" si="121"/>
        <x:v>0</x:v>
      </x:c>
      <x:c r="M1755" s="61"/>
    </x:row>
    <x:row r="1756">
      <x:c r="A1756" s="61" t="str">
        <x:f>IF(E1756="","",MAX($A$6:A1755)+1)</x:f>
      </x:c>
      <x:c r="B1756" s="61"/>
      <x:c r="C1756" s="61"/>
      <x:c r="D1756" s="62"/>
      <x:c r="E1756" s="61"/>
      <x:c r="F1756" s="61"/>
      <x:c r="G1756" s="63"/>
      <x:c r="H1756" s="63">
        <x:f t="shared" si="119"/>
        <x:v>0</x:v>
      </x:c>
      <x:c r="I1756" s="64"/>
      <x:c r="J1756" s="63">
        <x:f t="shared" si="120"/>
        <x:v>0</x:v>
      </x:c>
      <x:c r="K1756" s="63" t="str">
        <x:f t="shared" si="118"/>
      </x:c>
      <x:c r="L1756" s="63">
        <x:f t="shared" si="121"/>
        <x:v>0</x:v>
      </x:c>
      <x:c r="M1756" s="61"/>
    </x:row>
    <x:row r="1757">
      <x:c r="A1757" s="61" t="str">
        <x:f>IF(E1757="","",MAX($A$6:A1756)+1)</x:f>
      </x:c>
      <x:c r="B1757" s="61"/>
      <x:c r="C1757" s="61"/>
      <x:c r="D1757" s="62"/>
      <x:c r="E1757" s="61"/>
      <x:c r="F1757" s="61"/>
      <x:c r="G1757" s="63"/>
      <x:c r="H1757" s="63">
        <x:f t="shared" si="119"/>
        <x:v>0</x:v>
      </x:c>
      <x:c r="I1757" s="64"/>
      <x:c r="J1757" s="63">
        <x:f t="shared" si="120"/>
        <x:v>0</x:v>
      </x:c>
      <x:c r="K1757" s="63" t="str">
        <x:f t="shared" si="118"/>
      </x:c>
      <x:c r="L1757" s="63">
        <x:f t="shared" si="121"/>
        <x:v>0</x:v>
      </x:c>
      <x:c r="M1757" s="61"/>
    </x:row>
    <x:row r="1758">
      <x:c r="A1758" s="61" t="str">
        <x:f>IF(E1758="","",MAX($A$6:A1757)+1)</x:f>
      </x:c>
      <x:c r="B1758" s="61"/>
      <x:c r="C1758" s="61"/>
      <x:c r="D1758" s="62"/>
      <x:c r="E1758" s="61"/>
      <x:c r="F1758" s="61"/>
      <x:c r="G1758" s="63"/>
      <x:c r="H1758" s="63">
        <x:f t="shared" si="119"/>
        <x:v>0</x:v>
      </x:c>
      <x:c r="I1758" s="64"/>
      <x:c r="J1758" s="63">
        <x:f t="shared" si="120"/>
        <x:v>0</x:v>
      </x:c>
      <x:c r="K1758" s="63" t="str">
        <x:f t="shared" si="118"/>
      </x:c>
      <x:c r="L1758" s="63">
        <x:f t="shared" si="121"/>
        <x:v>0</x:v>
      </x:c>
      <x:c r="M1758" s="61"/>
    </x:row>
    <x:row r="1759">
      <x:c r="A1759" s="61" t="str">
        <x:f>IF(E1759="","",MAX($A$6:A1758)+1)</x:f>
      </x:c>
      <x:c r="B1759" s="61"/>
      <x:c r="C1759" s="61"/>
      <x:c r="D1759" s="62"/>
      <x:c r="E1759" s="61"/>
      <x:c r="F1759" s="61"/>
      <x:c r="G1759" s="63"/>
      <x:c r="H1759" s="63">
        <x:f t="shared" si="119"/>
        <x:v>0</x:v>
      </x:c>
      <x:c r="I1759" s="64"/>
      <x:c r="J1759" s="63">
        <x:f t="shared" si="120"/>
        <x:v>0</x:v>
      </x:c>
      <x:c r="K1759" s="63" t="str">
        <x:f t="shared" si="118"/>
      </x:c>
      <x:c r="L1759" s="63">
        <x:f t="shared" si="121"/>
        <x:v>0</x:v>
      </x:c>
      <x:c r="M1759" s="61"/>
    </x:row>
    <x:row r="1760">
      <x:c r="A1760" s="61" t="str">
        <x:f>IF(E1760="","",MAX($A$6:A1759)+1)</x:f>
      </x:c>
      <x:c r="B1760" s="61"/>
      <x:c r="C1760" s="61"/>
      <x:c r="D1760" s="62"/>
      <x:c r="E1760" s="61"/>
      <x:c r="F1760" s="61"/>
      <x:c r="G1760" s="63"/>
      <x:c r="H1760" s="63">
        <x:f t="shared" si="119"/>
        <x:v>0</x:v>
      </x:c>
      <x:c r="I1760" s="64"/>
      <x:c r="J1760" s="63">
        <x:f t="shared" si="120"/>
        <x:v>0</x:v>
      </x:c>
      <x:c r="K1760" s="63" t="str">
        <x:f t="shared" si="118"/>
      </x:c>
      <x:c r="L1760" s="63">
        <x:f t="shared" si="121"/>
        <x:v>0</x:v>
      </x:c>
      <x:c r="M1760" s="61"/>
    </x:row>
    <x:row r="1761">
      <x:c r="A1761" s="61" t="str">
        <x:f>IF(E1761="","",MAX($A$6:A1760)+1)</x:f>
      </x:c>
      <x:c r="B1761" s="61"/>
      <x:c r="C1761" s="61"/>
      <x:c r="D1761" s="62"/>
      <x:c r="E1761" s="61"/>
      <x:c r="F1761" s="61"/>
      <x:c r="G1761" s="63"/>
      <x:c r="H1761" s="63">
        <x:f t="shared" si="119"/>
        <x:v>0</x:v>
      </x:c>
      <x:c r="I1761" s="64"/>
      <x:c r="J1761" s="63">
        <x:f t="shared" si="120"/>
        <x:v>0</x:v>
      </x:c>
      <x:c r="K1761" s="63" t="str">
        <x:f t="shared" si="118"/>
      </x:c>
      <x:c r="L1761" s="63">
        <x:f t="shared" si="121"/>
        <x:v>0</x:v>
      </x:c>
      <x:c r="M1761" s="61"/>
    </x:row>
    <x:row r="1762">
      <x:c r="A1762" s="61" t="str">
        <x:f>IF(E1762="","",MAX($A$6:A1761)+1)</x:f>
      </x:c>
      <x:c r="B1762" s="61"/>
      <x:c r="C1762" s="61"/>
      <x:c r="D1762" s="62"/>
      <x:c r="E1762" s="61"/>
      <x:c r="F1762" s="61"/>
      <x:c r="G1762" s="63"/>
      <x:c r="H1762" s="63">
        <x:f t="shared" si="119"/>
        <x:v>0</x:v>
      </x:c>
      <x:c r="I1762" s="64"/>
      <x:c r="J1762" s="63">
        <x:f t="shared" si="120"/>
        <x:v>0</x:v>
      </x:c>
      <x:c r="K1762" s="63" t="str">
        <x:f t="shared" si="118"/>
      </x:c>
      <x:c r="L1762" s="63">
        <x:f t="shared" si="121"/>
        <x:v>0</x:v>
      </x:c>
      <x:c r="M1762" s="61"/>
    </x:row>
    <x:row r="1763">
      <x:c r="A1763" s="61" t="str">
        <x:f>IF(E1763="","",MAX($A$6:A1762)+1)</x:f>
      </x:c>
      <x:c r="B1763" s="61"/>
      <x:c r="C1763" s="61"/>
      <x:c r="D1763" s="62"/>
      <x:c r="E1763" s="61"/>
      <x:c r="F1763" s="61"/>
      <x:c r="G1763" s="63"/>
      <x:c r="H1763" s="63">
        <x:f t="shared" si="119"/>
        <x:v>0</x:v>
      </x:c>
      <x:c r="I1763" s="64"/>
      <x:c r="J1763" s="63">
        <x:f t="shared" si="120"/>
        <x:v>0</x:v>
      </x:c>
      <x:c r="K1763" s="63" t="str">
        <x:f t="shared" si="118"/>
      </x:c>
      <x:c r="L1763" s="63">
        <x:f t="shared" si="121"/>
        <x:v>0</x:v>
      </x:c>
      <x:c r="M1763" s="61"/>
    </x:row>
    <x:row r="1764">
      <x:c r="A1764" s="61" t="str">
        <x:f>IF(E1764="","",MAX($A$6:A1763)+1)</x:f>
      </x:c>
      <x:c r="B1764" s="61"/>
      <x:c r="C1764" s="61"/>
      <x:c r="D1764" s="62"/>
      <x:c r="E1764" s="61"/>
      <x:c r="F1764" s="61"/>
      <x:c r="G1764" s="63"/>
      <x:c r="H1764" s="63">
        <x:f t="shared" si="119"/>
        <x:v>0</x:v>
      </x:c>
      <x:c r="I1764" s="64"/>
      <x:c r="J1764" s="63">
        <x:f t="shared" si="120"/>
        <x:v>0</x:v>
      </x:c>
      <x:c r="K1764" s="63" t="str">
        <x:f t="shared" si="118"/>
      </x:c>
      <x:c r="L1764" s="63">
        <x:f t="shared" si="121"/>
        <x:v>0</x:v>
      </x:c>
      <x:c r="M1764" s="61"/>
    </x:row>
    <x:row r="1765">
      <x:c r="A1765" s="61" t="str">
        <x:f>IF(E1765="","",MAX($A$6:A1764)+1)</x:f>
      </x:c>
      <x:c r="B1765" s="61"/>
      <x:c r="C1765" s="61"/>
      <x:c r="D1765" s="62"/>
      <x:c r="E1765" s="61"/>
      <x:c r="F1765" s="61"/>
      <x:c r="G1765" s="63"/>
      <x:c r="H1765" s="63">
        <x:f t="shared" si="119"/>
        <x:v>0</x:v>
      </x:c>
      <x:c r="I1765" s="64"/>
      <x:c r="J1765" s="63">
        <x:f t="shared" si="120"/>
        <x:v>0</x:v>
      </x:c>
      <x:c r="K1765" s="63" t="str">
        <x:f t="shared" si="118"/>
      </x:c>
      <x:c r="L1765" s="63">
        <x:f t="shared" si="121"/>
        <x:v>0</x:v>
      </x:c>
      <x:c r="M1765" s="61"/>
    </x:row>
    <x:row r="1766">
      <x:c r="A1766" s="61" t="str">
        <x:f>IF(E1766="","",MAX($A$6:A1765)+1)</x:f>
      </x:c>
      <x:c r="B1766" s="61"/>
      <x:c r="C1766" s="61"/>
      <x:c r="D1766" s="62"/>
      <x:c r="E1766" s="61"/>
      <x:c r="F1766" s="61"/>
      <x:c r="G1766" s="63"/>
      <x:c r="H1766" s="63">
        <x:f t="shared" si="119"/>
        <x:v>0</x:v>
      </x:c>
      <x:c r="I1766" s="64"/>
      <x:c r="J1766" s="63">
        <x:f t="shared" si="120"/>
        <x:v>0</x:v>
      </x:c>
      <x:c r="K1766" s="63" t="str">
        <x:f t="shared" si="118"/>
      </x:c>
      <x:c r="L1766" s="63">
        <x:f t="shared" si="121"/>
        <x:v>0</x:v>
      </x:c>
      <x:c r="M1766" s="61"/>
    </x:row>
    <x:row r="1767">
      <x:c r="A1767" s="61" t="str">
        <x:f>IF(E1767="","",MAX($A$6:A1766)+1)</x:f>
      </x:c>
      <x:c r="B1767" s="61"/>
      <x:c r="C1767" s="61"/>
      <x:c r="D1767" s="62"/>
      <x:c r="E1767" s="61"/>
      <x:c r="F1767" s="61"/>
      <x:c r="G1767" s="63"/>
      <x:c r="H1767" s="63">
        <x:f t="shared" si="119"/>
        <x:v>0</x:v>
      </x:c>
      <x:c r="I1767" s="64"/>
      <x:c r="J1767" s="63">
        <x:f t="shared" si="120"/>
        <x:v>0</x:v>
      </x:c>
      <x:c r="K1767" s="63" t="str">
        <x:f t="shared" si="118"/>
      </x:c>
      <x:c r="L1767" s="63">
        <x:f t="shared" si="121"/>
        <x:v>0</x:v>
      </x:c>
      <x:c r="M1767" s="61"/>
    </x:row>
    <x:row r="1768">
      <x:c r="A1768" s="61" t="str">
        <x:f>IF(E1768="","",MAX($A$6:A1767)+1)</x:f>
      </x:c>
      <x:c r="B1768" s="61"/>
      <x:c r="C1768" s="61"/>
      <x:c r="D1768" s="62"/>
      <x:c r="E1768" s="61"/>
      <x:c r="F1768" s="61"/>
      <x:c r="G1768" s="63"/>
      <x:c r="H1768" s="63">
        <x:f t="shared" si="119"/>
        <x:v>0</x:v>
      </x:c>
      <x:c r="I1768" s="64"/>
      <x:c r="J1768" s="63">
        <x:f t="shared" si="120"/>
        <x:v>0</x:v>
      </x:c>
      <x:c r="K1768" s="63" t="str">
        <x:f t="shared" si="118"/>
      </x:c>
      <x:c r="L1768" s="63">
        <x:f t="shared" si="121"/>
        <x:v>0</x:v>
      </x:c>
      <x:c r="M1768" s="61"/>
    </x:row>
    <x:row r="1769">
      <x:c r="A1769" s="61" t="str">
        <x:f>IF(E1769="","",MAX($A$6:A1768)+1)</x:f>
      </x:c>
      <x:c r="B1769" s="61"/>
      <x:c r="C1769" s="61"/>
      <x:c r="D1769" s="62"/>
      <x:c r="E1769" s="61"/>
      <x:c r="F1769" s="61"/>
      <x:c r="G1769" s="63"/>
      <x:c r="H1769" s="63">
        <x:f t="shared" si="119"/>
        <x:v>0</x:v>
      </x:c>
      <x:c r="I1769" s="64"/>
      <x:c r="J1769" s="63">
        <x:f t="shared" si="120"/>
        <x:v>0</x:v>
      </x:c>
      <x:c r="K1769" s="63" t="str">
        <x:f t="shared" si="118"/>
      </x:c>
      <x:c r="L1769" s="63">
        <x:f t="shared" si="121"/>
        <x:v>0</x:v>
      </x:c>
      <x:c r="M1769" s="61"/>
    </x:row>
    <x:row r="1770">
      <x:c r="A1770" s="61" t="str">
        <x:f>IF(E1770="","",MAX($A$6:A1769)+1)</x:f>
      </x:c>
      <x:c r="B1770" s="61"/>
      <x:c r="C1770" s="61"/>
      <x:c r="D1770" s="62"/>
      <x:c r="E1770" s="61"/>
      <x:c r="F1770" s="61"/>
      <x:c r="G1770" s="63"/>
      <x:c r="H1770" s="63">
        <x:f t="shared" si="119"/>
        <x:v>0</x:v>
      </x:c>
      <x:c r="I1770" s="64"/>
      <x:c r="J1770" s="63">
        <x:f t="shared" si="120"/>
        <x:v>0</x:v>
      </x:c>
      <x:c r="K1770" s="63" t="str">
        <x:f t="shared" si="118"/>
      </x:c>
      <x:c r="L1770" s="63">
        <x:f t="shared" si="121"/>
        <x:v>0</x:v>
      </x:c>
      <x:c r="M1770" s="61"/>
    </x:row>
    <x:row r="1771">
      <x:c r="A1771" s="61" t="str">
        <x:f>IF(E1771="","",MAX($A$6:A1770)+1)</x:f>
      </x:c>
      <x:c r="B1771" s="61"/>
      <x:c r="C1771" s="61"/>
      <x:c r="D1771" s="62"/>
      <x:c r="E1771" s="61"/>
      <x:c r="F1771" s="61"/>
      <x:c r="G1771" s="63"/>
      <x:c r="H1771" s="63">
        <x:f t="shared" si="119"/>
        <x:v>0</x:v>
      </x:c>
      <x:c r="I1771" s="64"/>
      <x:c r="J1771" s="63">
        <x:f t="shared" si="120"/>
        <x:v>0</x:v>
      </x:c>
      <x:c r="K1771" s="63" t="str">
        <x:f t="shared" si="118"/>
      </x:c>
      <x:c r="L1771" s="63">
        <x:f t="shared" si="121"/>
        <x:v>0</x:v>
      </x:c>
      <x:c r="M1771" s="61"/>
    </x:row>
    <x:row r="1772">
      <x:c r="A1772" s="61" t="str">
        <x:f>IF(E1772="","",MAX($A$6:A1771)+1)</x:f>
      </x:c>
      <x:c r="B1772" s="61"/>
      <x:c r="C1772" s="61"/>
      <x:c r="D1772" s="62"/>
      <x:c r="E1772" s="61"/>
      <x:c r="F1772" s="61"/>
      <x:c r="G1772" s="63"/>
      <x:c r="H1772" s="63">
        <x:f t="shared" si="119"/>
        <x:v>0</x:v>
      </x:c>
      <x:c r="I1772" s="64"/>
      <x:c r="J1772" s="63">
        <x:f t="shared" si="120"/>
        <x:v>0</x:v>
      </x:c>
      <x:c r="K1772" s="63" t="str">
        <x:f t="shared" si="118"/>
      </x:c>
      <x:c r="L1772" s="63">
        <x:f t="shared" si="121"/>
        <x:v>0</x:v>
      </x:c>
      <x:c r="M1772" s="61"/>
    </x:row>
    <x:row r="1773">
      <x:c r="A1773" s="61" t="str">
        <x:f>IF(E1773="","",MAX($A$6:A1772)+1)</x:f>
      </x:c>
      <x:c r="B1773" s="61"/>
      <x:c r="C1773" s="61"/>
      <x:c r="D1773" s="62"/>
      <x:c r="E1773" s="61"/>
      <x:c r="F1773" s="61"/>
      <x:c r="G1773" s="63"/>
      <x:c r="H1773" s="63">
        <x:f t="shared" si="119"/>
        <x:v>0</x:v>
      </x:c>
      <x:c r="I1773" s="64"/>
      <x:c r="J1773" s="63">
        <x:f t="shared" si="120"/>
        <x:v>0</x:v>
      </x:c>
      <x:c r="K1773" s="63" t="str">
        <x:f t="shared" si="118"/>
      </x:c>
      <x:c r="L1773" s="63">
        <x:f t="shared" si="121"/>
        <x:v>0</x:v>
      </x:c>
      <x:c r="M1773" s="61"/>
    </x:row>
    <x:row r="1774">
      <x:c r="A1774" s="61" t="str">
        <x:f>IF(E1774="","",MAX($A$6:A1773)+1)</x:f>
      </x:c>
      <x:c r="B1774" s="61"/>
      <x:c r="C1774" s="61"/>
      <x:c r="D1774" s="62"/>
      <x:c r="E1774" s="61"/>
      <x:c r="F1774" s="61"/>
      <x:c r="G1774" s="63"/>
      <x:c r="H1774" s="63">
        <x:f t="shared" si="119"/>
        <x:v>0</x:v>
      </x:c>
      <x:c r="I1774" s="64"/>
      <x:c r="J1774" s="63">
        <x:f t="shared" si="120"/>
        <x:v>0</x:v>
      </x:c>
      <x:c r="K1774" s="63" t="str">
        <x:f t="shared" si="118"/>
      </x:c>
      <x:c r="L1774" s="63">
        <x:f t="shared" si="121"/>
        <x:v>0</x:v>
      </x:c>
      <x:c r="M1774" s="61"/>
    </x:row>
    <x:row r="1775">
      <x:c r="A1775" s="61" t="str">
        <x:f>IF(E1775="","",MAX($A$6:A1774)+1)</x:f>
      </x:c>
      <x:c r="B1775" s="61"/>
      <x:c r="C1775" s="61"/>
      <x:c r="D1775" s="62"/>
      <x:c r="E1775" s="61"/>
      <x:c r="F1775" s="61"/>
      <x:c r="G1775" s="63"/>
      <x:c r="H1775" s="63">
        <x:f t="shared" si="119"/>
        <x:v>0</x:v>
      </x:c>
      <x:c r="I1775" s="64"/>
      <x:c r="J1775" s="63">
        <x:f t="shared" si="120"/>
        <x:v>0</x:v>
      </x:c>
      <x:c r="K1775" s="63" t="str">
        <x:f t="shared" si="118"/>
      </x:c>
      <x:c r="L1775" s="63">
        <x:f t="shared" si="121"/>
        <x:v>0</x:v>
      </x:c>
      <x:c r="M1775" s="61"/>
    </x:row>
    <x:row r="1776">
      <x:c r="A1776" s="61" t="str">
        <x:f>IF(E1776="","",MAX($A$6:A1775)+1)</x:f>
      </x:c>
      <x:c r="B1776" s="61"/>
      <x:c r="C1776" s="61"/>
      <x:c r="D1776" s="62"/>
      <x:c r="E1776" s="61"/>
      <x:c r="F1776" s="61"/>
      <x:c r="G1776" s="63"/>
      <x:c r="H1776" s="63">
        <x:f t="shared" si="119"/>
        <x:v>0</x:v>
      </x:c>
      <x:c r="I1776" s="64"/>
      <x:c r="J1776" s="63">
        <x:f t="shared" si="120"/>
        <x:v>0</x:v>
      </x:c>
      <x:c r="K1776" s="63" t="str">
        <x:f t="shared" si="118"/>
      </x:c>
      <x:c r="L1776" s="63">
        <x:f t="shared" si="121"/>
        <x:v>0</x:v>
      </x:c>
      <x:c r="M1776" s="61"/>
    </x:row>
    <x:row r="1777">
      <x:c r="A1777" s="61" t="str">
        <x:f>IF(E1777="","",MAX($A$6:A1776)+1)</x:f>
      </x:c>
      <x:c r="B1777" s="61"/>
      <x:c r="C1777" s="61"/>
      <x:c r="D1777" s="62"/>
      <x:c r="E1777" s="61"/>
      <x:c r="F1777" s="61"/>
      <x:c r="G1777" s="63"/>
      <x:c r="H1777" s="63">
        <x:f t="shared" si="119"/>
        <x:v>0</x:v>
      </x:c>
      <x:c r="I1777" s="64"/>
      <x:c r="J1777" s="63">
        <x:f t="shared" si="120"/>
        <x:v>0</x:v>
      </x:c>
      <x:c r="K1777" s="63" t="str">
        <x:f t="shared" si="118"/>
      </x:c>
      <x:c r="L1777" s="63">
        <x:f t="shared" si="121"/>
        <x:v>0</x:v>
      </x:c>
      <x:c r="M1777" s="61"/>
    </x:row>
    <x:row r="1778">
      <x:c r="A1778" s="61" t="str">
        <x:f>IF(E1778="","",MAX($A$6:A1777)+1)</x:f>
      </x:c>
      <x:c r="B1778" s="61"/>
      <x:c r="C1778" s="61"/>
      <x:c r="D1778" s="62"/>
      <x:c r="E1778" s="61"/>
      <x:c r="F1778" s="61"/>
      <x:c r="G1778" s="63"/>
      <x:c r="H1778" s="63">
        <x:f t="shared" si="119"/>
        <x:v>0</x:v>
      </x:c>
      <x:c r="I1778" s="64"/>
      <x:c r="J1778" s="63">
        <x:f t="shared" si="120"/>
        <x:v>0</x:v>
      </x:c>
      <x:c r="K1778" s="63" t="str">
        <x:f t="shared" si="118"/>
      </x:c>
      <x:c r="L1778" s="63">
        <x:f t="shared" si="121"/>
        <x:v>0</x:v>
      </x:c>
      <x:c r="M1778" s="61"/>
    </x:row>
    <x:row r="1779">
      <x:c r="A1779" s="61" t="str">
        <x:f>IF(E1779="","",MAX($A$6:A1778)+1)</x:f>
      </x:c>
      <x:c r="B1779" s="61"/>
      <x:c r="C1779" s="61"/>
      <x:c r="D1779" s="62"/>
      <x:c r="E1779" s="61"/>
      <x:c r="F1779" s="61"/>
      <x:c r="G1779" s="63"/>
      <x:c r="H1779" s="63">
        <x:f t="shared" si="119"/>
        <x:v>0</x:v>
      </x:c>
      <x:c r="I1779" s="64"/>
      <x:c r="J1779" s="63">
        <x:f t="shared" si="120"/>
        <x:v>0</x:v>
      </x:c>
      <x:c r="K1779" s="63" t="str">
        <x:f t="shared" si="118"/>
      </x:c>
      <x:c r="L1779" s="63">
        <x:f t="shared" si="121"/>
        <x:v>0</x:v>
      </x:c>
      <x:c r="M1779" s="61"/>
    </x:row>
    <x:row r="1780">
      <x:c r="A1780" s="61" t="str">
        <x:f>IF(E1780="","",MAX($A$6:A1779)+1)</x:f>
      </x:c>
      <x:c r="B1780" s="61"/>
      <x:c r="C1780" s="61"/>
      <x:c r="D1780" s="62"/>
      <x:c r="E1780" s="61"/>
      <x:c r="F1780" s="61"/>
      <x:c r="G1780" s="63"/>
      <x:c r="H1780" s="63">
        <x:f t="shared" si="119"/>
        <x:v>0</x:v>
      </x:c>
      <x:c r="I1780" s="64"/>
      <x:c r="J1780" s="63">
        <x:f t="shared" si="120"/>
        <x:v>0</x:v>
      </x:c>
      <x:c r="K1780" s="63" t="str">
        <x:f t="shared" si="118"/>
      </x:c>
      <x:c r="L1780" s="63">
        <x:f t="shared" si="121"/>
        <x:v>0</x:v>
      </x:c>
      <x:c r="M1780" s="61"/>
    </x:row>
    <x:row r="1781">
      <x:c r="A1781" s="61" t="str">
        <x:f>IF(E1781="","",MAX($A$6:A1780)+1)</x:f>
      </x:c>
      <x:c r="B1781" s="61"/>
      <x:c r="C1781" s="61"/>
      <x:c r="D1781" s="62"/>
      <x:c r="E1781" s="61"/>
      <x:c r="F1781" s="61"/>
      <x:c r="G1781" s="63"/>
      <x:c r="H1781" s="63">
        <x:f t="shared" si="119"/>
        <x:v>0</x:v>
      </x:c>
      <x:c r="I1781" s="64"/>
      <x:c r="J1781" s="63">
        <x:f t="shared" si="120"/>
        <x:v>0</x:v>
      </x:c>
      <x:c r="K1781" s="63" t="str">
        <x:f t="shared" si="118"/>
      </x:c>
      <x:c r="L1781" s="63">
        <x:f t="shared" si="121"/>
        <x:v>0</x:v>
      </x:c>
      <x:c r="M1781" s="61"/>
    </x:row>
    <x:row r="1782">
      <x:c r="A1782" s="61" t="str">
        <x:f>IF(E1782="","",MAX($A$6:A1781)+1)</x:f>
      </x:c>
      <x:c r="B1782" s="61"/>
      <x:c r="C1782" s="61"/>
      <x:c r="D1782" s="62"/>
      <x:c r="E1782" s="61"/>
      <x:c r="F1782" s="61"/>
      <x:c r="G1782" s="63"/>
      <x:c r="H1782" s="63">
        <x:f t="shared" si="119"/>
        <x:v>0</x:v>
      </x:c>
      <x:c r="I1782" s="64"/>
      <x:c r="J1782" s="63">
        <x:f t="shared" si="120"/>
        <x:v>0</x:v>
      </x:c>
      <x:c r="K1782" s="63" t="str">
        <x:f t="shared" ref="K1782:K1845" si="122">IFERROR(IF(G1782="","",MAX(1,G1782-J1782)),0)</x:f>
      </x:c>
      <x:c r="L1782" s="63">
        <x:f t="shared" si="121"/>
        <x:v>0</x:v>
      </x:c>
      <x:c r="M1782" s="61"/>
    </x:row>
    <x:row r="1783">
      <x:c r="A1783" s="61" t="str">
        <x:f>IF(E1783="","",MAX($A$6:A1782)+1)</x:f>
      </x:c>
      <x:c r="B1783" s="61"/>
      <x:c r="C1783" s="61"/>
      <x:c r="D1783" s="62"/>
      <x:c r="E1783" s="61"/>
      <x:c r="F1783" s="61"/>
      <x:c r="G1783" s="63"/>
      <x:c r="H1783" s="63">
        <x:f t="shared" si="119"/>
        <x:v>0</x:v>
      </x:c>
      <x:c r="I1783" s="64"/>
      <x:c r="J1783" s="63">
        <x:f t="shared" si="120"/>
        <x:v>0</x:v>
      </x:c>
      <x:c r="K1783" s="63" t="str">
        <x:f t="shared" si="122"/>
      </x:c>
      <x:c r="L1783" s="63">
        <x:f t="shared" si="121"/>
        <x:v>0</x:v>
      </x:c>
      <x:c r="M1783" s="61"/>
    </x:row>
    <x:row r="1784">
      <x:c r="A1784" s="61" t="str">
        <x:f>IF(E1784="","",MAX($A$6:A1783)+1)</x:f>
      </x:c>
      <x:c r="B1784" s="61"/>
      <x:c r="C1784" s="61"/>
      <x:c r="D1784" s="62"/>
      <x:c r="E1784" s="61"/>
      <x:c r="F1784" s="61"/>
      <x:c r="G1784" s="63"/>
      <x:c r="H1784" s="63">
        <x:f t="shared" si="119"/>
        <x:v>0</x:v>
      </x:c>
      <x:c r="I1784" s="64"/>
      <x:c r="J1784" s="63">
        <x:f t="shared" si="120"/>
        <x:v>0</x:v>
      </x:c>
      <x:c r="K1784" s="63" t="str">
        <x:f t="shared" si="122"/>
      </x:c>
      <x:c r="L1784" s="63">
        <x:f t="shared" si="121"/>
        <x:v>0</x:v>
      </x:c>
      <x:c r="M1784" s="61"/>
    </x:row>
    <x:row r="1785">
      <x:c r="A1785" s="61" t="str">
        <x:f>IF(E1785="","",MAX($A$6:A1784)+1)</x:f>
      </x:c>
      <x:c r="B1785" s="61"/>
      <x:c r="C1785" s="61"/>
      <x:c r="D1785" s="62"/>
      <x:c r="E1785" s="61"/>
      <x:c r="F1785" s="61"/>
      <x:c r="G1785" s="63"/>
      <x:c r="H1785" s="63">
        <x:f t="shared" si="119"/>
        <x:v>0</x:v>
      </x:c>
      <x:c r="I1785" s="64"/>
      <x:c r="J1785" s="63">
        <x:f t="shared" si="120"/>
        <x:v>0</x:v>
      </x:c>
      <x:c r="K1785" s="63" t="str">
        <x:f t="shared" si="122"/>
      </x:c>
      <x:c r="L1785" s="63">
        <x:f t="shared" si="121"/>
        <x:v>0</x:v>
      </x:c>
      <x:c r="M1785" s="61"/>
    </x:row>
    <x:row r="1786">
      <x:c r="A1786" s="61" t="str">
        <x:f>IF(E1786="","",MAX($A$6:A1785)+1)</x:f>
      </x:c>
      <x:c r="B1786" s="61"/>
      <x:c r="C1786" s="61"/>
      <x:c r="D1786" s="62"/>
      <x:c r="E1786" s="61"/>
      <x:c r="F1786" s="61"/>
      <x:c r="G1786" s="63"/>
      <x:c r="H1786" s="63">
        <x:f t="shared" si="119"/>
        <x:v>0</x:v>
      </x:c>
      <x:c r="I1786" s="64"/>
      <x:c r="J1786" s="63">
        <x:f t="shared" si="120"/>
        <x:v>0</x:v>
      </x:c>
      <x:c r="K1786" s="63" t="str">
        <x:f t="shared" si="122"/>
      </x:c>
      <x:c r="L1786" s="63">
        <x:f t="shared" si="121"/>
        <x:v>0</x:v>
      </x:c>
      <x:c r="M1786" s="61"/>
    </x:row>
    <x:row r="1787">
      <x:c r="A1787" s="61" t="str">
        <x:f>IF(E1787="","",MAX($A$6:A1786)+1)</x:f>
      </x:c>
      <x:c r="B1787" s="61"/>
      <x:c r="C1787" s="61"/>
      <x:c r="D1787" s="62"/>
      <x:c r="E1787" s="61"/>
      <x:c r="F1787" s="61"/>
      <x:c r="G1787" s="63"/>
      <x:c r="H1787" s="63">
        <x:f t="shared" si="119"/>
        <x:v>0</x:v>
      </x:c>
      <x:c r="I1787" s="64"/>
      <x:c r="J1787" s="63">
        <x:f t="shared" si="120"/>
        <x:v>0</x:v>
      </x:c>
      <x:c r="K1787" s="63" t="str">
        <x:f t="shared" si="122"/>
      </x:c>
      <x:c r="L1787" s="63">
        <x:f t="shared" si="121"/>
        <x:v>0</x:v>
      </x:c>
      <x:c r="M1787" s="61"/>
    </x:row>
    <x:row r="1788">
      <x:c r="A1788" s="61" t="str">
        <x:f>IF(E1788="","",MAX($A$6:A1787)+1)</x:f>
      </x:c>
      <x:c r="B1788" s="61"/>
      <x:c r="C1788" s="61"/>
      <x:c r="D1788" s="62"/>
      <x:c r="E1788" s="61"/>
      <x:c r="F1788" s="61"/>
      <x:c r="G1788" s="63"/>
      <x:c r="H1788" s="63">
        <x:f t="shared" si="119"/>
        <x:v>0</x:v>
      </x:c>
      <x:c r="I1788" s="64"/>
      <x:c r="J1788" s="63">
        <x:f t="shared" si="120"/>
        <x:v>0</x:v>
      </x:c>
      <x:c r="K1788" s="63" t="str">
        <x:f t="shared" si="122"/>
      </x:c>
      <x:c r="L1788" s="63">
        <x:f t="shared" si="121"/>
        <x:v>0</x:v>
      </x:c>
      <x:c r="M1788" s="61"/>
    </x:row>
    <x:row r="1789">
      <x:c r="A1789" s="61" t="str">
        <x:f>IF(E1789="","",MAX($A$6:A1788)+1)</x:f>
      </x:c>
      <x:c r="B1789" s="61"/>
      <x:c r="C1789" s="61"/>
      <x:c r="D1789" s="62"/>
      <x:c r="E1789" s="61"/>
      <x:c r="F1789" s="61"/>
      <x:c r="G1789" s="63"/>
      <x:c r="H1789" s="63">
        <x:f t="shared" si="119"/>
        <x:v>0</x:v>
      </x:c>
      <x:c r="I1789" s="64"/>
      <x:c r="J1789" s="63">
        <x:f t="shared" si="120"/>
        <x:v>0</x:v>
      </x:c>
      <x:c r="K1789" s="63" t="str">
        <x:f t="shared" si="122"/>
      </x:c>
      <x:c r="L1789" s="63">
        <x:f t="shared" si="121"/>
        <x:v>0</x:v>
      </x:c>
      <x:c r="M1789" s="61"/>
    </x:row>
    <x:row r="1790">
      <x:c r="A1790" s="61" t="str">
        <x:f>IF(E1790="","",MAX($A$6:A1789)+1)</x:f>
      </x:c>
      <x:c r="B1790" s="61"/>
      <x:c r="C1790" s="61"/>
      <x:c r="D1790" s="62"/>
      <x:c r="E1790" s="61"/>
      <x:c r="F1790" s="61"/>
      <x:c r="G1790" s="63"/>
      <x:c r="H1790" s="63">
        <x:f t="shared" si="119"/>
        <x:v>0</x:v>
      </x:c>
      <x:c r="I1790" s="64"/>
      <x:c r="J1790" s="63">
        <x:f t="shared" si="120"/>
        <x:v>0</x:v>
      </x:c>
      <x:c r="K1790" s="63" t="str">
        <x:f t="shared" si="122"/>
      </x:c>
      <x:c r="L1790" s="63">
        <x:f t="shared" si="121"/>
        <x:v>0</x:v>
      </x:c>
      <x:c r="M1790" s="61"/>
    </x:row>
    <x:row r="1791">
      <x:c r="A1791" s="61" t="str">
        <x:f>IF(E1791="","",MAX($A$6:A1790)+1)</x:f>
      </x:c>
      <x:c r="B1791" s="61"/>
      <x:c r="C1791" s="61"/>
      <x:c r="D1791" s="62"/>
      <x:c r="E1791" s="61"/>
      <x:c r="F1791" s="61"/>
      <x:c r="G1791" s="63"/>
      <x:c r="H1791" s="63">
        <x:f t="shared" si="119"/>
        <x:v>0</x:v>
      </x:c>
      <x:c r="I1791" s="64"/>
      <x:c r="J1791" s="63">
        <x:f t="shared" si="120"/>
        <x:v>0</x:v>
      </x:c>
      <x:c r="K1791" s="63" t="str">
        <x:f t="shared" si="122"/>
      </x:c>
      <x:c r="L1791" s="63">
        <x:f t="shared" si="121"/>
        <x:v>0</x:v>
      </x:c>
      <x:c r="M1791" s="61"/>
    </x:row>
    <x:row r="1792">
      <x:c r="A1792" s="61" t="str">
        <x:f>IF(E1792="","",MAX($A$6:A1791)+1)</x:f>
      </x:c>
      <x:c r="B1792" s="61"/>
      <x:c r="C1792" s="61"/>
      <x:c r="D1792" s="62"/>
      <x:c r="E1792" s="61"/>
      <x:c r="F1792" s="61"/>
      <x:c r="G1792" s="63"/>
      <x:c r="H1792" s="63">
        <x:f t="shared" si="119"/>
        <x:v>0</x:v>
      </x:c>
      <x:c r="I1792" s="64"/>
      <x:c r="J1792" s="63">
        <x:f t="shared" si="120"/>
        <x:v>0</x:v>
      </x:c>
      <x:c r="K1792" s="63" t="str">
        <x:f t="shared" si="122"/>
      </x:c>
      <x:c r="L1792" s="63">
        <x:f t="shared" si="121"/>
        <x:v>0</x:v>
      </x:c>
      <x:c r="M1792" s="61"/>
    </x:row>
    <x:row r="1793">
      <x:c r="A1793" s="61" t="str">
        <x:f>IF(E1793="","",MAX($A$6:A1792)+1)</x:f>
      </x:c>
      <x:c r="B1793" s="61"/>
      <x:c r="C1793" s="61"/>
      <x:c r="D1793" s="62"/>
      <x:c r="E1793" s="61"/>
      <x:c r="F1793" s="61"/>
      <x:c r="G1793" s="63"/>
      <x:c r="H1793" s="63">
        <x:f t="shared" si="119"/>
        <x:v>0</x:v>
      </x:c>
      <x:c r="I1793" s="64"/>
      <x:c r="J1793" s="63">
        <x:f t="shared" si="120"/>
        <x:v>0</x:v>
      </x:c>
      <x:c r="K1793" s="63" t="str">
        <x:f t="shared" si="122"/>
      </x:c>
      <x:c r="L1793" s="63">
        <x:f t="shared" si="121"/>
        <x:v>0</x:v>
      </x:c>
      <x:c r="M1793" s="61"/>
    </x:row>
    <x:row r="1794">
      <x:c r="A1794" s="61" t="str">
        <x:f>IF(E1794="","",MAX($A$6:A1793)+1)</x:f>
      </x:c>
      <x:c r="B1794" s="61"/>
      <x:c r="C1794" s="61"/>
      <x:c r="D1794" s="62"/>
      <x:c r="E1794" s="61"/>
      <x:c r="F1794" s="61"/>
      <x:c r="G1794" s="63"/>
      <x:c r="H1794" s="63">
        <x:f t="shared" si="119"/>
        <x:v>0</x:v>
      </x:c>
      <x:c r="I1794" s="64"/>
      <x:c r="J1794" s="63">
        <x:f t="shared" si="120"/>
        <x:v>0</x:v>
      </x:c>
      <x:c r="K1794" s="63" t="str">
        <x:f t="shared" si="122"/>
      </x:c>
      <x:c r="L1794" s="63">
        <x:f t="shared" si="121"/>
        <x:v>0</x:v>
      </x:c>
      <x:c r="M1794" s="61"/>
    </x:row>
    <x:row r="1795">
      <x:c r="A1795" s="61" t="str">
        <x:f>IF(E1795="","",MAX($A$6:A1794)+1)</x:f>
      </x:c>
      <x:c r="B1795" s="61"/>
      <x:c r="C1795" s="61"/>
      <x:c r="D1795" s="62"/>
      <x:c r="E1795" s="61"/>
      <x:c r="F1795" s="61"/>
      <x:c r="G1795" s="63"/>
      <x:c r="H1795" s="63">
        <x:f t="shared" si="119"/>
        <x:v>0</x:v>
      </x:c>
      <x:c r="I1795" s="64"/>
      <x:c r="J1795" s="63">
        <x:f t="shared" si="120"/>
        <x:v>0</x:v>
      </x:c>
      <x:c r="K1795" s="63" t="str">
        <x:f t="shared" si="122"/>
      </x:c>
      <x:c r="L1795" s="63">
        <x:f t="shared" si="121"/>
        <x:v>0</x:v>
      </x:c>
      <x:c r="M1795" s="61"/>
    </x:row>
    <x:row r="1796">
      <x:c r="A1796" s="61" t="str">
        <x:f>IF(E1796="","",MAX($A$6:A1795)+1)</x:f>
      </x:c>
      <x:c r="B1796" s="61"/>
      <x:c r="C1796" s="61"/>
      <x:c r="D1796" s="62"/>
      <x:c r="E1796" s="61"/>
      <x:c r="F1796" s="61"/>
      <x:c r="G1796" s="63"/>
      <x:c r="H1796" s="63">
        <x:f t="shared" si="119"/>
        <x:v>0</x:v>
      </x:c>
      <x:c r="I1796" s="64"/>
      <x:c r="J1796" s="63">
        <x:f t="shared" si="120"/>
        <x:v>0</x:v>
      </x:c>
      <x:c r="K1796" s="63" t="str">
        <x:f t="shared" si="122"/>
      </x:c>
      <x:c r="L1796" s="63">
        <x:f t="shared" si="121"/>
        <x:v>0</x:v>
      </x:c>
      <x:c r="M1796" s="61"/>
    </x:row>
    <x:row r="1797">
      <x:c r="A1797" s="61" t="str">
        <x:f>IF(E1797="","",MAX($A$6:A1796)+1)</x:f>
      </x:c>
      <x:c r="B1797" s="61"/>
      <x:c r="C1797" s="61"/>
      <x:c r="D1797" s="62"/>
      <x:c r="E1797" s="61"/>
      <x:c r="F1797" s="61"/>
      <x:c r="G1797" s="63"/>
      <x:c r="H1797" s="63">
        <x:f t="shared" si="119"/>
        <x:v>0</x:v>
      </x:c>
      <x:c r="I1797" s="64"/>
      <x:c r="J1797" s="63">
        <x:f t="shared" si="120"/>
        <x:v>0</x:v>
      </x:c>
      <x:c r="K1797" s="63" t="str">
        <x:f t="shared" si="122"/>
      </x:c>
      <x:c r="L1797" s="63">
        <x:f t="shared" si="121"/>
        <x:v>0</x:v>
      </x:c>
      <x:c r="M1797" s="61"/>
    </x:row>
    <x:row r="1798">
      <x:c r="A1798" s="61" t="str">
        <x:f>IF(E1798="","",MAX($A$6:A1797)+1)</x:f>
      </x:c>
      <x:c r="B1798" s="61"/>
      <x:c r="C1798" s="61"/>
      <x:c r="D1798" s="62"/>
      <x:c r="E1798" s="61"/>
      <x:c r="F1798" s="61"/>
      <x:c r="G1798" s="63"/>
      <x:c r="H1798" s="63" t="n">
        <x:f t="shared" ref="H1798:H1861" si="123">IFERROR(IF(OR($F$1="",D1798=""),0,MAX(0,$F$1-D1798)),0)</x:f>
        <x:v>0</x:v>
      </x:c>
      <x:c r="I1798" s="64"/>
      <x:c r="J1798" s="63" t="n">
        <x:f t="shared" ref="J1798:J1861" si="124">IFERROR(IF(OR(G1798="",I1798="",D1798="",$F$1=""),0,IF($F$1&lt;D1798,0,MIN(MAX(G1798-1,0),MAX(0,(G1798*I1798/365)*H1798)))),0)</x:f>
        <x:v>0</x:v>
      </x:c>
      <x:c r="K1798" s="63" t="str">
        <x:f t="shared" si="122"/>
      </x:c>
      <x:c r="L1798" s="63" t="n">
        <x:f t="shared" ref="L1798:L1861" si="125">IFERROR(IF(OR(G1798="",I1798="",D1798="",$F$1=""),0,IF($F$1&lt;D1798,0,IF(K1798&lt;=1,0,MIN(G1798*I1798/12,K1798-1)))),0)</x:f>
        <x:v>0</x:v>
      </x:c>
      <x:c r="M1798" s="61"/>
    </x:row>
    <x:row r="1799">
      <x:c r="A1799" s="61" t="str">
        <x:f>IF(E1799="","",MAX($A$6:A1798)+1)</x:f>
      </x:c>
      <x:c r="B1799" s="61"/>
      <x:c r="C1799" s="61"/>
      <x:c r="D1799" s="62"/>
      <x:c r="E1799" s="61"/>
      <x:c r="F1799" s="61"/>
      <x:c r="G1799" s="63"/>
      <x:c r="H1799" s="63">
        <x:f t="shared" si="123"/>
        <x:v>0</x:v>
      </x:c>
      <x:c r="I1799" s="64"/>
      <x:c r="J1799" s="63">
        <x:f t="shared" si="124"/>
        <x:v>0</x:v>
      </x:c>
      <x:c r="K1799" s="63" t="str">
        <x:f t="shared" si="122"/>
      </x:c>
      <x:c r="L1799" s="63">
        <x:f t="shared" si="125"/>
        <x:v>0</x:v>
      </x:c>
      <x:c r="M1799" s="61"/>
    </x:row>
    <x:row r="1800">
      <x:c r="A1800" s="61" t="str">
        <x:f>IF(E1800="","",MAX($A$6:A1799)+1)</x:f>
      </x:c>
      <x:c r="B1800" s="61"/>
      <x:c r="C1800" s="61"/>
      <x:c r="D1800" s="62"/>
      <x:c r="E1800" s="61"/>
      <x:c r="F1800" s="61"/>
      <x:c r="G1800" s="63"/>
      <x:c r="H1800" s="63">
        <x:f t="shared" si="123"/>
        <x:v>0</x:v>
      </x:c>
      <x:c r="I1800" s="64"/>
      <x:c r="J1800" s="63">
        <x:f t="shared" si="124"/>
        <x:v>0</x:v>
      </x:c>
      <x:c r="K1800" s="63" t="str">
        <x:f t="shared" si="122"/>
      </x:c>
      <x:c r="L1800" s="63">
        <x:f t="shared" si="125"/>
        <x:v>0</x:v>
      </x:c>
      <x:c r="M1800" s="61"/>
    </x:row>
    <x:row r="1801">
      <x:c r="A1801" s="61" t="str">
        <x:f>IF(E1801="","",MAX($A$6:A1800)+1)</x:f>
      </x:c>
      <x:c r="B1801" s="61"/>
      <x:c r="C1801" s="61"/>
      <x:c r="D1801" s="62"/>
      <x:c r="E1801" s="61"/>
      <x:c r="F1801" s="61"/>
      <x:c r="G1801" s="63"/>
      <x:c r="H1801" s="63">
        <x:f t="shared" si="123"/>
        <x:v>0</x:v>
      </x:c>
      <x:c r="I1801" s="64"/>
      <x:c r="J1801" s="63">
        <x:f t="shared" si="124"/>
        <x:v>0</x:v>
      </x:c>
      <x:c r="K1801" s="63" t="str">
        <x:f t="shared" si="122"/>
      </x:c>
      <x:c r="L1801" s="63">
        <x:f t="shared" si="125"/>
        <x:v>0</x:v>
      </x:c>
      <x:c r="M1801" s="61"/>
    </x:row>
    <x:row r="1802">
      <x:c r="A1802" s="61" t="str">
        <x:f>IF(E1802="","",MAX($A$6:A1801)+1)</x:f>
      </x:c>
      <x:c r="B1802" s="61"/>
      <x:c r="C1802" s="61"/>
      <x:c r="D1802" s="62"/>
      <x:c r="E1802" s="61"/>
      <x:c r="F1802" s="61"/>
      <x:c r="G1802" s="63"/>
      <x:c r="H1802" s="63">
        <x:f t="shared" si="123"/>
        <x:v>0</x:v>
      </x:c>
      <x:c r="I1802" s="64"/>
      <x:c r="J1802" s="63">
        <x:f t="shared" si="124"/>
        <x:v>0</x:v>
      </x:c>
      <x:c r="K1802" s="63" t="str">
        <x:f t="shared" si="122"/>
      </x:c>
      <x:c r="L1802" s="63">
        <x:f t="shared" si="125"/>
        <x:v>0</x:v>
      </x:c>
      <x:c r="M1802" s="61"/>
    </x:row>
    <x:row r="1803">
      <x:c r="A1803" s="61" t="str">
        <x:f>IF(E1803="","",MAX($A$6:A1802)+1)</x:f>
      </x:c>
      <x:c r="B1803" s="61"/>
      <x:c r="C1803" s="61"/>
      <x:c r="D1803" s="62"/>
      <x:c r="E1803" s="61"/>
      <x:c r="F1803" s="61"/>
      <x:c r="G1803" s="63"/>
      <x:c r="H1803" s="63">
        <x:f t="shared" si="123"/>
        <x:v>0</x:v>
      </x:c>
      <x:c r="I1803" s="64"/>
      <x:c r="J1803" s="63">
        <x:f t="shared" si="124"/>
        <x:v>0</x:v>
      </x:c>
      <x:c r="K1803" s="63" t="str">
        <x:f t="shared" si="122"/>
      </x:c>
      <x:c r="L1803" s="63">
        <x:f t="shared" si="125"/>
        <x:v>0</x:v>
      </x:c>
      <x:c r="M1803" s="61"/>
    </x:row>
    <x:row r="1804">
      <x:c r="A1804" s="61" t="str">
        <x:f>IF(E1804="","",MAX($A$6:A1803)+1)</x:f>
      </x:c>
      <x:c r="B1804" s="61"/>
      <x:c r="C1804" s="61"/>
      <x:c r="D1804" s="62"/>
      <x:c r="E1804" s="61"/>
      <x:c r="F1804" s="61"/>
      <x:c r="G1804" s="63"/>
      <x:c r="H1804" s="63">
        <x:f t="shared" si="123"/>
        <x:v>0</x:v>
      </x:c>
      <x:c r="I1804" s="64"/>
      <x:c r="J1804" s="63">
        <x:f t="shared" si="124"/>
        <x:v>0</x:v>
      </x:c>
      <x:c r="K1804" s="63" t="str">
        <x:f t="shared" si="122"/>
      </x:c>
      <x:c r="L1804" s="63">
        <x:f t="shared" si="125"/>
        <x:v>0</x:v>
      </x:c>
      <x:c r="M1804" s="61"/>
    </x:row>
    <x:row r="1805">
      <x:c r="A1805" s="61" t="str">
        <x:f>IF(E1805="","",MAX($A$6:A1804)+1)</x:f>
      </x:c>
      <x:c r="B1805" s="61"/>
      <x:c r="C1805" s="61"/>
      <x:c r="D1805" s="62"/>
      <x:c r="E1805" s="61"/>
      <x:c r="F1805" s="61"/>
      <x:c r="G1805" s="63"/>
      <x:c r="H1805" s="63">
        <x:f t="shared" si="123"/>
        <x:v>0</x:v>
      </x:c>
      <x:c r="I1805" s="64"/>
      <x:c r="J1805" s="63">
        <x:f t="shared" si="124"/>
        <x:v>0</x:v>
      </x:c>
      <x:c r="K1805" s="63" t="str">
        <x:f t="shared" si="122"/>
      </x:c>
      <x:c r="L1805" s="63">
        <x:f t="shared" si="125"/>
        <x:v>0</x:v>
      </x:c>
      <x:c r="M1805" s="61"/>
    </x:row>
    <x:row r="1806">
      <x:c r="A1806" s="61" t="str">
        <x:f>IF(E1806="","",MAX($A$6:A1805)+1)</x:f>
      </x:c>
      <x:c r="B1806" s="61"/>
      <x:c r="C1806" s="61"/>
      <x:c r="D1806" s="62"/>
      <x:c r="E1806" s="61"/>
      <x:c r="F1806" s="61"/>
      <x:c r="G1806" s="63"/>
      <x:c r="H1806" s="63">
        <x:f t="shared" si="123"/>
        <x:v>0</x:v>
      </x:c>
      <x:c r="I1806" s="64"/>
      <x:c r="J1806" s="63">
        <x:f t="shared" si="124"/>
        <x:v>0</x:v>
      </x:c>
      <x:c r="K1806" s="63" t="str">
        <x:f t="shared" si="122"/>
      </x:c>
      <x:c r="L1806" s="63">
        <x:f t="shared" si="125"/>
        <x:v>0</x:v>
      </x:c>
      <x:c r="M1806" s="61"/>
    </x:row>
    <x:row r="1807">
      <x:c r="A1807" s="61" t="str">
        <x:f>IF(E1807="","",MAX($A$6:A1806)+1)</x:f>
      </x:c>
      <x:c r="B1807" s="61"/>
      <x:c r="C1807" s="61"/>
      <x:c r="D1807" s="62"/>
      <x:c r="E1807" s="61"/>
      <x:c r="F1807" s="61"/>
      <x:c r="G1807" s="63"/>
      <x:c r="H1807" s="63">
        <x:f t="shared" si="123"/>
        <x:v>0</x:v>
      </x:c>
      <x:c r="I1807" s="64"/>
      <x:c r="J1807" s="63">
        <x:f t="shared" si="124"/>
        <x:v>0</x:v>
      </x:c>
      <x:c r="K1807" s="63" t="str">
        <x:f t="shared" si="122"/>
      </x:c>
      <x:c r="L1807" s="63">
        <x:f t="shared" si="125"/>
        <x:v>0</x:v>
      </x:c>
      <x:c r="M1807" s="61"/>
    </x:row>
    <x:row r="1808">
      <x:c r="A1808" s="61" t="str">
        <x:f>IF(E1808="","",MAX($A$6:A1807)+1)</x:f>
      </x:c>
      <x:c r="B1808" s="61"/>
      <x:c r="C1808" s="61"/>
      <x:c r="D1808" s="62"/>
      <x:c r="E1808" s="61"/>
      <x:c r="F1808" s="61"/>
      <x:c r="G1808" s="63"/>
      <x:c r="H1808" s="63">
        <x:f t="shared" si="123"/>
        <x:v>0</x:v>
      </x:c>
      <x:c r="I1808" s="64"/>
      <x:c r="J1808" s="63">
        <x:f t="shared" si="124"/>
        <x:v>0</x:v>
      </x:c>
      <x:c r="K1808" s="63" t="str">
        <x:f t="shared" si="122"/>
      </x:c>
      <x:c r="L1808" s="63">
        <x:f t="shared" si="125"/>
        <x:v>0</x:v>
      </x:c>
      <x:c r="M1808" s="61"/>
    </x:row>
    <x:row r="1809">
      <x:c r="A1809" s="61" t="str">
        <x:f>IF(E1809="","",MAX($A$6:A1808)+1)</x:f>
      </x:c>
      <x:c r="B1809" s="61"/>
      <x:c r="C1809" s="61"/>
      <x:c r="D1809" s="62"/>
      <x:c r="E1809" s="61"/>
      <x:c r="F1809" s="61"/>
      <x:c r="G1809" s="63"/>
      <x:c r="H1809" s="63">
        <x:f t="shared" si="123"/>
        <x:v>0</x:v>
      </x:c>
      <x:c r="I1809" s="64"/>
      <x:c r="J1809" s="63">
        <x:f t="shared" si="124"/>
        <x:v>0</x:v>
      </x:c>
      <x:c r="K1809" s="63" t="str">
        <x:f t="shared" si="122"/>
      </x:c>
      <x:c r="L1809" s="63">
        <x:f t="shared" si="125"/>
        <x:v>0</x:v>
      </x:c>
      <x:c r="M1809" s="61"/>
    </x:row>
    <x:row r="1810">
      <x:c r="A1810" s="61" t="str">
        <x:f>IF(E1810="","",MAX($A$6:A1809)+1)</x:f>
      </x:c>
      <x:c r="B1810" s="61"/>
      <x:c r="C1810" s="61"/>
      <x:c r="D1810" s="62"/>
      <x:c r="E1810" s="61"/>
      <x:c r="F1810" s="61"/>
      <x:c r="G1810" s="63"/>
      <x:c r="H1810" s="63">
        <x:f t="shared" si="123"/>
        <x:v>0</x:v>
      </x:c>
      <x:c r="I1810" s="64"/>
      <x:c r="J1810" s="63">
        <x:f t="shared" si="124"/>
        <x:v>0</x:v>
      </x:c>
      <x:c r="K1810" s="63" t="str">
        <x:f t="shared" si="122"/>
      </x:c>
      <x:c r="L1810" s="63">
        <x:f t="shared" si="125"/>
        <x:v>0</x:v>
      </x:c>
      <x:c r="M1810" s="61"/>
    </x:row>
    <x:row r="1811">
      <x:c r="A1811" s="61" t="str">
        <x:f>IF(E1811="","",MAX($A$6:A1810)+1)</x:f>
      </x:c>
      <x:c r="B1811" s="61"/>
      <x:c r="C1811" s="61"/>
      <x:c r="D1811" s="62"/>
      <x:c r="E1811" s="61"/>
      <x:c r="F1811" s="61"/>
      <x:c r="G1811" s="63"/>
      <x:c r="H1811" s="63">
        <x:f t="shared" si="123"/>
        <x:v>0</x:v>
      </x:c>
      <x:c r="I1811" s="64"/>
      <x:c r="J1811" s="63">
        <x:f t="shared" si="124"/>
        <x:v>0</x:v>
      </x:c>
      <x:c r="K1811" s="63" t="str">
        <x:f t="shared" si="122"/>
      </x:c>
      <x:c r="L1811" s="63">
        <x:f t="shared" si="125"/>
        <x:v>0</x:v>
      </x:c>
      <x:c r="M1811" s="61"/>
    </x:row>
    <x:row r="1812">
      <x:c r="A1812" s="61" t="str">
        <x:f>IF(E1812="","",MAX($A$6:A1811)+1)</x:f>
      </x:c>
      <x:c r="B1812" s="61"/>
      <x:c r="C1812" s="61"/>
      <x:c r="D1812" s="62"/>
      <x:c r="E1812" s="61"/>
      <x:c r="F1812" s="61"/>
      <x:c r="G1812" s="63"/>
      <x:c r="H1812" s="63">
        <x:f t="shared" si="123"/>
        <x:v>0</x:v>
      </x:c>
      <x:c r="I1812" s="64"/>
      <x:c r="J1812" s="63">
        <x:f t="shared" si="124"/>
        <x:v>0</x:v>
      </x:c>
      <x:c r="K1812" s="63" t="str">
        <x:f t="shared" si="122"/>
      </x:c>
      <x:c r="L1812" s="63">
        <x:f t="shared" si="125"/>
        <x:v>0</x:v>
      </x:c>
      <x:c r="M1812" s="61"/>
    </x:row>
    <x:row r="1813">
      <x:c r="A1813" s="61" t="str">
        <x:f>IF(E1813="","",MAX($A$6:A1812)+1)</x:f>
      </x:c>
      <x:c r="B1813" s="61"/>
      <x:c r="C1813" s="61"/>
      <x:c r="D1813" s="62"/>
      <x:c r="E1813" s="61"/>
      <x:c r="F1813" s="61"/>
      <x:c r="G1813" s="63"/>
      <x:c r="H1813" s="63">
        <x:f t="shared" si="123"/>
        <x:v>0</x:v>
      </x:c>
      <x:c r="I1813" s="64"/>
      <x:c r="J1813" s="63">
        <x:f t="shared" si="124"/>
        <x:v>0</x:v>
      </x:c>
      <x:c r="K1813" s="63" t="str">
        <x:f t="shared" si="122"/>
      </x:c>
      <x:c r="L1813" s="63">
        <x:f t="shared" si="125"/>
        <x:v>0</x:v>
      </x:c>
      <x:c r="M1813" s="61"/>
    </x:row>
    <x:row r="1814">
      <x:c r="A1814" s="61" t="str">
        <x:f>IF(E1814="","",MAX($A$6:A1813)+1)</x:f>
      </x:c>
      <x:c r="B1814" s="61"/>
      <x:c r="C1814" s="61"/>
      <x:c r="D1814" s="62"/>
      <x:c r="E1814" s="61"/>
      <x:c r="F1814" s="61"/>
      <x:c r="G1814" s="63"/>
      <x:c r="H1814" s="63">
        <x:f t="shared" si="123"/>
        <x:v>0</x:v>
      </x:c>
      <x:c r="I1814" s="64"/>
      <x:c r="J1814" s="63">
        <x:f t="shared" si="124"/>
        <x:v>0</x:v>
      </x:c>
      <x:c r="K1814" s="63" t="str">
        <x:f t="shared" si="122"/>
      </x:c>
      <x:c r="L1814" s="63">
        <x:f t="shared" si="125"/>
        <x:v>0</x:v>
      </x:c>
      <x:c r="M1814" s="61"/>
    </x:row>
    <x:row r="1815">
      <x:c r="A1815" s="61" t="str">
        <x:f>IF(E1815="","",MAX($A$6:A1814)+1)</x:f>
      </x:c>
      <x:c r="B1815" s="61"/>
      <x:c r="C1815" s="61"/>
      <x:c r="D1815" s="62"/>
      <x:c r="E1815" s="61"/>
      <x:c r="F1815" s="61"/>
      <x:c r="G1815" s="63"/>
      <x:c r="H1815" s="63">
        <x:f t="shared" si="123"/>
        <x:v>0</x:v>
      </x:c>
      <x:c r="I1815" s="64"/>
      <x:c r="J1815" s="63">
        <x:f t="shared" si="124"/>
        <x:v>0</x:v>
      </x:c>
      <x:c r="K1815" s="63" t="str">
        <x:f t="shared" si="122"/>
      </x:c>
      <x:c r="L1815" s="63">
        <x:f t="shared" si="125"/>
        <x:v>0</x:v>
      </x:c>
      <x:c r="M1815" s="61"/>
    </x:row>
    <x:row r="1816">
      <x:c r="A1816" s="61" t="str">
        <x:f>IF(E1816="","",MAX($A$6:A1815)+1)</x:f>
      </x:c>
      <x:c r="B1816" s="61"/>
      <x:c r="C1816" s="61"/>
      <x:c r="D1816" s="62"/>
      <x:c r="E1816" s="61"/>
      <x:c r="F1816" s="61"/>
      <x:c r="G1816" s="63"/>
      <x:c r="H1816" s="63">
        <x:f t="shared" si="123"/>
        <x:v>0</x:v>
      </x:c>
      <x:c r="I1816" s="64"/>
      <x:c r="J1816" s="63">
        <x:f t="shared" si="124"/>
        <x:v>0</x:v>
      </x:c>
      <x:c r="K1816" s="63" t="str">
        <x:f t="shared" si="122"/>
      </x:c>
      <x:c r="L1816" s="63">
        <x:f t="shared" si="125"/>
        <x:v>0</x:v>
      </x:c>
      <x:c r="M1816" s="61"/>
    </x:row>
    <x:row r="1817">
      <x:c r="A1817" s="61" t="str">
        <x:f>IF(E1817="","",MAX($A$6:A1816)+1)</x:f>
      </x:c>
      <x:c r="B1817" s="61"/>
      <x:c r="C1817" s="61"/>
      <x:c r="D1817" s="62"/>
      <x:c r="E1817" s="61"/>
      <x:c r="F1817" s="61"/>
      <x:c r="G1817" s="63"/>
      <x:c r="H1817" s="63">
        <x:f t="shared" si="123"/>
        <x:v>0</x:v>
      </x:c>
      <x:c r="I1817" s="64"/>
      <x:c r="J1817" s="63">
        <x:f t="shared" si="124"/>
        <x:v>0</x:v>
      </x:c>
      <x:c r="K1817" s="63" t="str">
        <x:f t="shared" si="122"/>
      </x:c>
      <x:c r="L1817" s="63">
        <x:f t="shared" si="125"/>
        <x:v>0</x:v>
      </x:c>
      <x:c r="M1817" s="61"/>
    </x:row>
    <x:row r="1818">
      <x:c r="A1818" s="61" t="str">
        <x:f>IF(E1818="","",MAX($A$6:A1817)+1)</x:f>
      </x:c>
      <x:c r="B1818" s="61"/>
      <x:c r="C1818" s="61"/>
      <x:c r="D1818" s="62"/>
      <x:c r="E1818" s="61"/>
      <x:c r="F1818" s="61"/>
      <x:c r="G1818" s="63"/>
      <x:c r="H1818" s="63">
        <x:f t="shared" si="123"/>
        <x:v>0</x:v>
      </x:c>
      <x:c r="I1818" s="64"/>
      <x:c r="J1818" s="63">
        <x:f t="shared" si="124"/>
        <x:v>0</x:v>
      </x:c>
      <x:c r="K1818" s="63" t="str">
        <x:f t="shared" si="122"/>
      </x:c>
      <x:c r="L1818" s="63">
        <x:f t="shared" si="125"/>
        <x:v>0</x:v>
      </x:c>
      <x:c r="M1818" s="61"/>
    </x:row>
    <x:row r="1819">
      <x:c r="A1819" s="61" t="str">
        <x:f>IF(E1819="","",MAX($A$6:A1818)+1)</x:f>
      </x:c>
      <x:c r="B1819" s="61"/>
      <x:c r="C1819" s="61"/>
      <x:c r="D1819" s="62"/>
      <x:c r="E1819" s="61"/>
      <x:c r="F1819" s="61"/>
      <x:c r="G1819" s="63"/>
      <x:c r="H1819" s="63">
        <x:f t="shared" si="123"/>
        <x:v>0</x:v>
      </x:c>
      <x:c r="I1819" s="64"/>
      <x:c r="J1819" s="63">
        <x:f t="shared" si="124"/>
        <x:v>0</x:v>
      </x:c>
      <x:c r="K1819" s="63" t="str">
        <x:f t="shared" si="122"/>
      </x:c>
      <x:c r="L1819" s="63">
        <x:f t="shared" si="125"/>
        <x:v>0</x:v>
      </x:c>
      <x:c r="M1819" s="61"/>
    </x:row>
    <x:row r="1820">
      <x:c r="A1820" s="61" t="str">
        <x:f>IF(E1820="","",MAX($A$6:A1819)+1)</x:f>
      </x:c>
      <x:c r="B1820" s="61"/>
      <x:c r="C1820" s="61"/>
      <x:c r="D1820" s="62"/>
      <x:c r="E1820" s="61"/>
      <x:c r="F1820" s="61"/>
      <x:c r="G1820" s="63"/>
      <x:c r="H1820" s="63">
        <x:f t="shared" si="123"/>
        <x:v>0</x:v>
      </x:c>
      <x:c r="I1820" s="64"/>
      <x:c r="J1820" s="63">
        <x:f t="shared" si="124"/>
        <x:v>0</x:v>
      </x:c>
      <x:c r="K1820" s="63" t="str">
        <x:f t="shared" si="122"/>
      </x:c>
      <x:c r="L1820" s="63">
        <x:f t="shared" si="125"/>
        <x:v>0</x:v>
      </x:c>
      <x:c r="M1820" s="61"/>
    </x:row>
    <x:row r="1821">
      <x:c r="A1821" s="61" t="str">
        <x:f>IF(E1821="","",MAX($A$6:A1820)+1)</x:f>
      </x:c>
      <x:c r="B1821" s="61"/>
      <x:c r="C1821" s="61"/>
      <x:c r="D1821" s="62"/>
      <x:c r="E1821" s="61"/>
      <x:c r="F1821" s="61"/>
      <x:c r="G1821" s="63"/>
      <x:c r="H1821" s="63">
        <x:f t="shared" si="123"/>
        <x:v>0</x:v>
      </x:c>
      <x:c r="I1821" s="64"/>
      <x:c r="J1821" s="63">
        <x:f t="shared" si="124"/>
        <x:v>0</x:v>
      </x:c>
      <x:c r="K1821" s="63" t="str">
        <x:f t="shared" si="122"/>
      </x:c>
      <x:c r="L1821" s="63">
        <x:f t="shared" si="125"/>
        <x:v>0</x:v>
      </x:c>
      <x:c r="M1821" s="61"/>
    </x:row>
    <x:row r="1822">
      <x:c r="A1822" s="61" t="str">
        <x:f>IF(E1822="","",MAX($A$6:A1821)+1)</x:f>
      </x:c>
      <x:c r="B1822" s="61"/>
      <x:c r="C1822" s="61"/>
      <x:c r="D1822" s="62"/>
      <x:c r="E1822" s="61"/>
      <x:c r="F1822" s="61"/>
      <x:c r="G1822" s="63"/>
      <x:c r="H1822" s="63">
        <x:f t="shared" si="123"/>
        <x:v>0</x:v>
      </x:c>
      <x:c r="I1822" s="64"/>
      <x:c r="J1822" s="63">
        <x:f t="shared" si="124"/>
        <x:v>0</x:v>
      </x:c>
      <x:c r="K1822" s="63" t="str">
        <x:f t="shared" si="122"/>
      </x:c>
      <x:c r="L1822" s="63">
        <x:f t="shared" si="125"/>
        <x:v>0</x:v>
      </x:c>
      <x:c r="M1822" s="61"/>
    </x:row>
    <x:row r="1823">
      <x:c r="A1823" s="61" t="str">
        <x:f>IF(E1823="","",MAX($A$6:A1822)+1)</x:f>
      </x:c>
      <x:c r="B1823" s="61"/>
      <x:c r="C1823" s="61"/>
      <x:c r="D1823" s="62"/>
      <x:c r="E1823" s="61"/>
      <x:c r="F1823" s="61"/>
      <x:c r="G1823" s="63"/>
      <x:c r="H1823" s="63">
        <x:f t="shared" si="123"/>
        <x:v>0</x:v>
      </x:c>
      <x:c r="I1823" s="64"/>
      <x:c r="J1823" s="63">
        <x:f t="shared" si="124"/>
        <x:v>0</x:v>
      </x:c>
      <x:c r="K1823" s="63" t="str">
        <x:f t="shared" si="122"/>
      </x:c>
      <x:c r="L1823" s="63">
        <x:f t="shared" si="125"/>
        <x:v>0</x:v>
      </x:c>
      <x:c r="M1823" s="61"/>
    </x:row>
    <x:row r="1824">
      <x:c r="A1824" s="61" t="str">
        <x:f>IF(E1824="","",MAX($A$6:A1823)+1)</x:f>
      </x:c>
      <x:c r="B1824" s="61"/>
      <x:c r="C1824" s="61"/>
      <x:c r="D1824" s="62"/>
      <x:c r="E1824" s="61"/>
      <x:c r="F1824" s="61"/>
      <x:c r="G1824" s="63"/>
      <x:c r="H1824" s="63">
        <x:f t="shared" si="123"/>
        <x:v>0</x:v>
      </x:c>
      <x:c r="I1824" s="64"/>
      <x:c r="J1824" s="63">
        <x:f t="shared" si="124"/>
        <x:v>0</x:v>
      </x:c>
      <x:c r="K1824" s="63" t="str">
        <x:f t="shared" si="122"/>
      </x:c>
      <x:c r="L1824" s="63">
        <x:f t="shared" si="125"/>
        <x:v>0</x:v>
      </x:c>
      <x:c r="M1824" s="61"/>
    </x:row>
    <x:row r="1825">
      <x:c r="A1825" s="61" t="str">
        <x:f>IF(E1825="","",MAX($A$6:A1824)+1)</x:f>
      </x:c>
      <x:c r="B1825" s="61"/>
      <x:c r="C1825" s="61"/>
      <x:c r="D1825" s="62"/>
      <x:c r="E1825" s="61"/>
      <x:c r="F1825" s="61"/>
      <x:c r="G1825" s="63"/>
      <x:c r="H1825" s="63">
        <x:f t="shared" si="123"/>
        <x:v>0</x:v>
      </x:c>
      <x:c r="I1825" s="64"/>
      <x:c r="J1825" s="63">
        <x:f t="shared" si="124"/>
        <x:v>0</x:v>
      </x:c>
      <x:c r="K1825" s="63" t="str">
        <x:f t="shared" si="122"/>
      </x:c>
      <x:c r="L1825" s="63">
        <x:f t="shared" si="125"/>
        <x:v>0</x:v>
      </x:c>
      <x:c r="M1825" s="61"/>
    </x:row>
    <x:row r="1826">
      <x:c r="A1826" s="61" t="str">
        <x:f>IF(E1826="","",MAX($A$6:A1825)+1)</x:f>
      </x:c>
      <x:c r="B1826" s="61"/>
      <x:c r="C1826" s="61"/>
      <x:c r="D1826" s="62"/>
      <x:c r="E1826" s="61"/>
      <x:c r="F1826" s="61"/>
      <x:c r="G1826" s="63"/>
      <x:c r="H1826" s="63">
        <x:f t="shared" si="123"/>
        <x:v>0</x:v>
      </x:c>
      <x:c r="I1826" s="64"/>
      <x:c r="J1826" s="63">
        <x:f t="shared" si="124"/>
        <x:v>0</x:v>
      </x:c>
      <x:c r="K1826" s="63" t="str">
        <x:f t="shared" si="122"/>
      </x:c>
      <x:c r="L1826" s="63">
        <x:f t="shared" si="125"/>
        <x:v>0</x:v>
      </x:c>
      <x:c r="M1826" s="61"/>
    </x:row>
    <x:row r="1827">
      <x:c r="A1827" s="61" t="str">
        <x:f>IF(E1827="","",MAX($A$6:A1826)+1)</x:f>
      </x:c>
      <x:c r="B1827" s="61"/>
      <x:c r="C1827" s="61"/>
      <x:c r="D1827" s="62"/>
      <x:c r="E1827" s="61"/>
      <x:c r="F1827" s="61"/>
      <x:c r="G1827" s="63"/>
      <x:c r="H1827" s="63">
        <x:f t="shared" si="123"/>
        <x:v>0</x:v>
      </x:c>
      <x:c r="I1827" s="64"/>
      <x:c r="J1827" s="63">
        <x:f t="shared" si="124"/>
        <x:v>0</x:v>
      </x:c>
      <x:c r="K1827" s="63" t="str">
        <x:f t="shared" si="122"/>
      </x:c>
      <x:c r="L1827" s="63">
        <x:f t="shared" si="125"/>
        <x:v>0</x:v>
      </x:c>
      <x:c r="M1827" s="61"/>
    </x:row>
    <x:row r="1828">
      <x:c r="A1828" s="61" t="str">
        <x:f>IF(E1828="","",MAX($A$6:A1827)+1)</x:f>
      </x:c>
      <x:c r="B1828" s="61"/>
      <x:c r="C1828" s="61"/>
      <x:c r="D1828" s="62"/>
      <x:c r="E1828" s="61"/>
      <x:c r="F1828" s="61"/>
      <x:c r="G1828" s="63"/>
      <x:c r="H1828" s="63">
        <x:f t="shared" si="123"/>
        <x:v>0</x:v>
      </x:c>
      <x:c r="I1828" s="64"/>
      <x:c r="J1828" s="63">
        <x:f t="shared" si="124"/>
        <x:v>0</x:v>
      </x:c>
      <x:c r="K1828" s="63" t="str">
        <x:f t="shared" si="122"/>
      </x:c>
      <x:c r="L1828" s="63">
        <x:f t="shared" si="125"/>
        <x:v>0</x:v>
      </x:c>
      <x:c r="M1828" s="61"/>
    </x:row>
    <x:row r="1829">
      <x:c r="A1829" s="61" t="str">
        <x:f>IF(E1829="","",MAX($A$6:A1828)+1)</x:f>
      </x:c>
      <x:c r="B1829" s="61"/>
      <x:c r="C1829" s="61"/>
      <x:c r="D1829" s="62"/>
      <x:c r="E1829" s="61"/>
      <x:c r="F1829" s="61"/>
      <x:c r="G1829" s="63"/>
      <x:c r="H1829" s="63">
        <x:f t="shared" si="123"/>
        <x:v>0</x:v>
      </x:c>
      <x:c r="I1829" s="64"/>
      <x:c r="J1829" s="63">
        <x:f t="shared" si="124"/>
        <x:v>0</x:v>
      </x:c>
      <x:c r="K1829" s="63" t="str">
        <x:f t="shared" si="122"/>
      </x:c>
      <x:c r="L1829" s="63">
        <x:f t="shared" si="125"/>
        <x:v>0</x:v>
      </x:c>
      <x:c r="M1829" s="61"/>
    </x:row>
    <x:row r="1830">
      <x:c r="A1830" s="61" t="str">
        <x:f>IF(E1830="","",MAX($A$6:A1829)+1)</x:f>
      </x:c>
      <x:c r="B1830" s="61"/>
      <x:c r="C1830" s="61"/>
      <x:c r="D1830" s="62"/>
      <x:c r="E1830" s="61"/>
      <x:c r="F1830" s="61"/>
      <x:c r="G1830" s="63"/>
      <x:c r="H1830" s="63">
        <x:f t="shared" si="123"/>
        <x:v>0</x:v>
      </x:c>
      <x:c r="I1830" s="64"/>
      <x:c r="J1830" s="63">
        <x:f t="shared" si="124"/>
        <x:v>0</x:v>
      </x:c>
      <x:c r="K1830" s="63" t="str">
        <x:f t="shared" si="122"/>
      </x:c>
      <x:c r="L1830" s="63">
        <x:f t="shared" si="125"/>
        <x:v>0</x:v>
      </x:c>
      <x:c r="M1830" s="61"/>
    </x:row>
    <x:row r="1831">
      <x:c r="A1831" s="61" t="str">
        <x:f>IF(E1831="","",MAX($A$6:A1830)+1)</x:f>
      </x:c>
      <x:c r="B1831" s="61"/>
      <x:c r="C1831" s="61"/>
      <x:c r="D1831" s="62"/>
      <x:c r="E1831" s="61"/>
      <x:c r="F1831" s="61"/>
      <x:c r="G1831" s="63"/>
      <x:c r="H1831" s="63">
        <x:f t="shared" si="123"/>
        <x:v>0</x:v>
      </x:c>
      <x:c r="I1831" s="64"/>
      <x:c r="J1831" s="63">
        <x:f t="shared" si="124"/>
        <x:v>0</x:v>
      </x:c>
      <x:c r="K1831" s="63" t="str">
        <x:f t="shared" si="122"/>
      </x:c>
      <x:c r="L1831" s="63">
        <x:f t="shared" si="125"/>
        <x:v>0</x:v>
      </x:c>
      <x:c r="M1831" s="61"/>
    </x:row>
    <x:row r="1832">
      <x:c r="A1832" s="61" t="str">
        <x:f>IF(E1832="","",MAX($A$6:A1831)+1)</x:f>
      </x:c>
      <x:c r="B1832" s="61"/>
      <x:c r="C1832" s="61"/>
      <x:c r="D1832" s="62"/>
      <x:c r="E1832" s="61"/>
      <x:c r="F1832" s="61"/>
      <x:c r="G1832" s="63"/>
      <x:c r="H1832" s="63">
        <x:f t="shared" si="123"/>
        <x:v>0</x:v>
      </x:c>
      <x:c r="I1832" s="64"/>
      <x:c r="J1832" s="63">
        <x:f t="shared" si="124"/>
        <x:v>0</x:v>
      </x:c>
      <x:c r="K1832" s="63" t="str">
        <x:f t="shared" si="122"/>
      </x:c>
      <x:c r="L1832" s="63">
        <x:f t="shared" si="125"/>
        <x:v>0</x:v>
      </x:c>
      <x:c r="M1832" s="61"/>
    </x:row>
    <x:row r="1833">
      <x:c r="A1833" s="61" t="str">
        <x:f>IF(E1833="","",MAX($A$6:A1832)+1)</x:f>
      </x:c>
      <x:c r="B1833" s="61"/>
      <x:c r="C1833" s="61"/>
      <x:c r="D1833" s="62"/>
      <x:c r="E1833" s="61"/>
      <x:c r="F1833" s="61"/>
      <x:c r="G1833" s="63"/>
      <x:c r="H1833" s="63">
        <x:f t="shared" si="123"/>
        <x:v>0</x:v>
      </x:c>
      <x:c r="I1833" s="64"/>
      <x:c r="J1833" s="63">
        <x:f t="shared" si="124"/>
        <x:v>0</x:v>
      </x:c>
      <x:c r="K1833" s="63" t="str">
        <x:f t="shared" si="122"/>
      </x:c>
      <x:c r="L1833" s="63">
        <x:f t="shared" si="125"/>
        <x:v>0</x:v>
      </x:c>
      <x:c r="M1833" s="61"/>
    </x:row>
    <x:row r="1834">
      <x:c r="A1834" s="61" t="str">
        <x:f>IF(E1834="","",MAX($A$6:A1833)+1)</x:f>
      </x:c>
      <x:c r="B1834" s="61"/>
      <x:c r="C1834" s="61"/>
      <x:c r="D1834" s="62"/>
      <x:c r="E1834" s="61"/>
      <x:c r="F1834" s="61"/>
      <x:c r="G1834" s="63"/>
      <x:c r="H1834" s="63">
        <x:f t="shared" si="123"/>
        <x:v>0</x:v>
      </x:c>
      <x:c r="I1834" s="64"/>
      <x:c r="J1834" s="63">
        <x:f t="shared" si="124"/>
        <x:v>0</x:v>
      </x:c>
      <x:c r="K1834" s="63" t="str">
        <x:f t="shared" si="122"/>
      </x:c>
      <x:c r="L1834" s="63">
        <x:f t="shared" si="125"/>
        <x:v>0</x:v>
      </x:c>
      <x:c r="M1834" s="61"/>
    </x:row>
    <x:row r="1835">
      <x:c r="A1835" s="61" t="str">
        <x:f>IF(E1835="","",MAX($A$6:A1834)+1)</x:f>
      </x:c>
      <x:c r="B1835" s="61"/>
      <x:c r="C1835" s="61"/>
      <x:c r="D1835" s="62"/>
      <x:c r="E1835" s="61"/>
      <x:c r="F1835" s="61"/>
      <x:c r="G1835" s="63"/>
      <x:c r="H1835" s="63">
        <x:f t="shared" si="123"/>
        <x:v>0</x:v>
      </x:c>
      <x:c r="I1835" s="64"/>
      <x:c r="J1835" s="63">
        <x:f t="shared" si="124"/>
        <x:v>0</x:v>
      </x:c>
      <x:c r="K1835" s="63" t="str">
        <x:f t="shared" si="122"/>
      </x:c>
      <x:c r="L1835" s="63">
        <x:f t="shared" si="125"/>
        <x:v>0</x:v>
      </x:c>
      <x:c r="M1835" s="61"/>
    </x:row>
    <x:row r="1836">
      <x:c r="A1836" s="61" t="str">
        <x:f>IF(E1836="","",MAX($A$6:A1835)+1)</x:f>
      </x:c>
      <x:c r="B1836" s="61"/>
      <x:c r="C1836" s="61"/>
      <x:c r="D1836" s="62"/>
      <x:c r="E1836" s="61"/>
      <x:c r="F1836" s="61"/>
      <x:c r="G1836" s="63"/>
      <x:c r="H1836" s="63">
        <x:f t="shared" si="123"/>
        <x:v>0</x:v>
      </x:c>
      <x:c r="I1836" s="64"/>
      <x:c r="J1836" s="63">
        <x:f t="shared" si="124"/>
        <x:v>0</x:v>
      </x:c>
      <x:c r="K1836" s="63" t="str">
        <x:f t="shared" si="122"/>
      </x:c>
      <x:c r="L1836" s="63">
        <x:f t="shared" si="125"/>
        <x:v>0</x:v>
      </x:c>
      <x:c r="M1836" s="61"/>
    </x:row>
    <x:row r="1837">
      <x:c r="A1837" s="61" t="str">
        <x:f>IF(E1837="","",MAX($A$6:A1836)+1)</x:f>
      </x:c>
      <x:c r="B1837" s="61"/>
      <x:c r="C1837" s="61"/>
      <x:c r="D1837" s="62"/>
      <x:c r="E1837" s="61"/>
      <x:c r="F1837" s="61"/>
      <x:c r="G1837" s="63"/>
      <x:c r="H1837" s="63">
        <x:f t="shared" si="123"/>
        <x:v>0</x:v>
      </x:c>
      <x:c r="I1837" s="64"/>
      <x:c r="J1837" s="63">
        <x:f t="shared" si="124"/>
        <x:v>0</x:v>
      </x:c>
      <x:c r="K1837" s="63" t="str">
        <x:f t="shared" si="122"/>
      </x:c>
      <x:c r="L1837" s="63">
        <x:f t="shared" si="125"/>
        <x:v>0</x:v>
      </x:c>
      <x:c r="M1837" s="61"/>
    </x:row>
    <x:row r="1838">
      <x:c r="A1838" s="61" t="str">
        <x:f>IF(E1838="","",MAX($A$6:A1837)+1)</x:f>
      </x:c>
      <x:c r="B1838" s="61"/>
      <x:c r="C1838" s="61"/>
      <x:c r="D1838" s="62"/>
      <x:c r="E1838" s="61"/>
      <x:c r="F1838" s="61"/>
      <x:c r="G1838" s="63"/>
      <x:c r="H1838" s="63">
        <x:f t="shared" si="123"/>
        <x:v>0</x:v>
      </x:c>
      <x:c r="I1838" s="64"/>
      <x:c r="J1838" s="63">
        <x:f t="shared" si="124"/>
        <x:v>0</x:v>
      </x:c>
      <x:c r="K1838" s="63" t="str">
        <x:f t="shared" si="122"/>
      </x:c>
      <x:c r="L1838" s="63">
        <x:f t="shared" si="125"/>
        <x:v>0</x:v>
      </x:c>
      <x:c r="M1838" s="61"/>
    </x:row>
    <x:row r="1839">
      <x:c r="A1839" s="61" t="str">
        <x:f>IF(E1839="","",MAX($A$6:A1838)+1)</x:f>
      </x:c>
      <x:c r="B1839" s="61"/>
      <x:c r="C1839" s="61"/>
      <x:c r="D1839" s="62"/>
      <x:c r="E1839" s="61"/>
      <x:c r="F1839" s="61"/>
      <x:c r="G1839" s="63"/>
      <x:c r="H1839" s="63">
        <x:f t="shared" si="123"/>
        <x:v>0</x:v>
      </x:c>
      <x:c r="I1839" s="64"/>
      <x:c r="J1839" s="63">
        <x:f t="shared" si="124"/>
        <x:v>0</x:v>
      </x:c>
      <x:c r="K1839" s="63" t="str">
        <x:f t="shared" si="122"/>
      </x:c>
      <x:c r="L1839" s="63">
        <x:f t="shared" si="125"/>
        <x:v>0</x:v>
      </x:c>
      <x:c r="M1839" s="61"/>
    </x:row>
    <x:row r="1840">
      <x:c r="A1840" s="61" t="str">
        <x:f>IF(E1840="","",MAX($A$6:A1839)+1)</x:f>
      </x:c>
      <x:c r="B1840" s="61"/>
      <x:c r="C1840" s="61"/>
      <x:c r="D1840" s="62"/>
      <x:c r="E1840" s="61"/>
      <x:c r="F1840" s="61"/>
      <x:c r="G1840" s="63"/>
      <x:c r="H1840" s="63">
        <x:f t="shared" si="123"/>
        <x:v>0</x:v>
      </x:c>
      <x:c r="I1840" s="64"/>
      <x:c r="J1840" s="63">
        <x:f t="shared" si="124"/>
        <x:v>0</x:v>
      </x:c>
      <x:c r="K1840" s="63" t="str">
        <x:f t="shared" si="122"/>
      </x:c>
      <x:c r="L1840" s="63">
        <x:f t="shared" si="125"/>
        <x:v>0</x:v>
      </x:c>
      <x:c r="M1840" s="61"/>
    </x:row>
    <x:row r="1841">
      <x:c r="A1841" s="61" t="str">
        <x:f>IF(E1841="","",MAX($A$6:A1840)+1)</x:f>
      </x:c>
      <x:c r="B1841" s="61"/>
      <x:c r="C1841" s="61"/>
      <x:c r="D1841" s="62"/>
      <x:c r="E1841" s="61"/>
      <x:c r="F1841" s="61"/>
      <x:c r="G1841" s="63"/>
      <x:c r="H1841" s="63">
        <x:f t="shared" si="123"/>
        <x:v>0</x:v>
      </x:c>
      <x:c r="I1841" s="64"/>
      <x:c r="J1841" s="63">
        <x:f t="shared" si="124"/>
        <x:v>0</x:v>
      </x:c>
      <x:c r="K1841" s="63" t="str">
        <x:f t="shared" si="122"/>
      </x:c>
      <x:c r="L1841" s="63">
        <x:f t="shared" si="125"/>
        <x:v>0</x:v>
      </x:c>
      <x:c r="M1841" s="61"/>
    </x:row>
    <x:row r="1842">
      <x:c r="A1842" s="61" t="str">
        <x:f>IF(E1842="","",MAX($A$6:A1841)+1)</x:f>
      </x:c>
      <x:c r="B1842" s="61"/>
      <x:c r="C1842" s="61"/>
      <x:c r="D1842" s="62"/>
      <x:c r="E1842" s="61"/>
      <x:c r="F1842" s="61"/>
      <x:c r="G1842" s="63"/>
      <x:c r="H1842" s="63">
        <x:f t="shared" si="123"/>
        <x:v>0</x:v>
      </x:c>
      <x:c r="I1842" s="64"/>
      <x:c r="J1842" s="63">
        <x:f t="shared" si="124"/>
        <x:v>0</x:v>
      </x:c>
      <x:c r="K1842" s="63" t="str">
        <x:f t="shared" si="122"/>
      </x:c>
      <x:c r="L1842" s="63">
        <x:f t="shared" si="125"/>
        <x:v>0</x:v>
      </x:c>
      <x:c r="M1842" s="61"/>
    </x:row>
    <x:row r="1843">
      <x:c r="A1843" s="61" t="str">
        <x:f>IF(E1843="","",MAX($A$6:A1842)+1)</x:f>
      </x:c>
      <x:c r="B1843" s="61"/>
      <x:c r="C1843" s="61"/>
      <x:c r="D1843" s="62"/>
      <x:c r="E1843" s="61"/>
      <x:c r="F1843" s="61"/>
      <x:c r="G1843" s="63"/>
      <x:c r="H1843" s="63">
        <x:f t="shared" si="123"/>
        <x:v>0</x:v>
      </x:c>
      <x:c r="I1843" s="64"/>
      <x:c r="J1843" s="63">
        <x:f t="shared" si="124"/>
        <x:v>0</x:v>
      </x:c>
      <x:c r="K1843" s="63" t="str">
        <x:f t="shared" si="122"/>
      </x:c>
      <x:c r="L1843" s="63">
        <x:f t="shared" si="125"/>
        <x:v>0</x:v>
      </x:c>
      <x:c r="M1843" s="61"/>
    </x:row>
    <x:row r="1844">
      <x:c r="A1844" s="61" t="str">
        <x:f>IF(E1844="","",MAX($A$6:A1843)+1)</x:f>
      </x:c>
      <x:c r="B1844" s="61"/>
      <x:c r="C1844" s="61"/>
      <x:c r="D1844" s="62"/>
      <x:c r="E1844" s="61"/>
      <x:c r="F1844" s="61"/>
      <x:c r="G1844" s="63"/>
      <x:c r="H1844" s="63">
        <x:f t="shared" si="123"/>
        <x:v>0</x:v>
      </x:c>
      <x:c r="I1844" s="64"/>
      <x:c r="J1844" s="63">
        <x:f t="shared" si="124"/>
        <x:v>0</x:v>
      </x:c>
      <x:c r="K1844" s="63" t="str">
        <x:f t="shared" si="122"/>
      </x:c>
      <x:c r="L1844" s="63">
        <x:f t="shared" si="125"/>
        <x:v>0</x:v>
      </x:c>
      <x:c r="M1844" s="61"/>
    </x:row>
    <x:row r="1845">
      <x:c r="A1845" s="61" t="str">
        <x:f>IF(E1845="","",MAX($A$6:A1844)+1)</x:f>
      </x:c>
      <x:c r="B1845" s="61"/>
      <x:c r="C1845" s="61"/>
      <x:c r="D1845" s="62"/>
      <x:c r="E1845" s="61"/>
      <x:c r="F1845" s="61"/>
      <x:c r="G1845" s="63"/>
      <x:c r="H1845" s="63">
        <x:f t="shared" si="123"/>
        <x:v>0</x:v>
      </x:c>
      <x:c r="I1845" s="64"/>
      <x:c r="J1845" s="63">
        <x:f t="shared" si="124"/>
        <x:v>0</x:v>
      </x:c>
      <x:c r="K1845" s="63" t="str">
        <x:f t="shared" si="122"/>
      </x:c>
      <x:c r="L1845" s="63">
        <x:f t="shared" si="125"/>
        <x:v>0</x:v>
      </x:c>
      <x:c r="M1845" s="61"/>
    </x:row>
    <x:row r="1846">
      <x:c r="A1846" s="61" t="str">
        <x:f>IF(E1846="","",MAX($A$6:A1845)+1)</x:f>
      </x:c>
      <x:c r="B1846" s="61"/>
      <x:c r="C1846" s="61"/>
      <x:c r="D1846" s="62"/>
      <x:c r="E1846" s="61"/>
      <x:c r="F1846" s="61"/>
      <x:c r="G1846" s="63"/>
      <x:c r="H1846" s="63">
        <x:f t="shared" si="123"/>
        <x:v>0</x:v>
      </x:c>
      <x:c r="I1846" s="64"/>
      <x:c r="J1846" s="63">
        <x:f t="shared" si="124"/>
        <x:v>0</x:v>
      </x:c>
      <x:c r="K1846" s="63" t="str">
        <x:f t="shared" ref="K1846:K1909" si="126">IFERROR(IF(G1846="","",MAX(1,G1846-J1846)),0)</x:f>
      </x:c>
      <x:c r="L1846" s="63">
        <x:f t="shared" si="125"/>
        <x:v>0</x:v>
      </x:c>
      <x:c r="M1846" s="61"/>
    </x:row>
    <x:row r="1847">
      <x:c r="A1847" s="61" t="str">
        <x:f>IF(E1847="","",MAX($A$6:A1846)+1)</x:f>
      </x:c>
      <x:c r="B1847" s="61"/>
      <x:c r="C1847" s="61"/>
      <x:c r="D1847" s="62"/>
      <x:c r="E1847" s="61"/>
      <x:c r="F1847" s="61"/>
      <x:c r="G1847" s="63"/>
      <x:c r="H1847" s="63">
        <x:f t="shared" si="123"/>
        <x:v>0</x:v>
      </x:c>
      <x:c r="I1847" s="64"/>
      <x:c r="J1847" s="63">
        <x:f t="shared" si="124"/>
        <x:v>0</x:v>
      </x:c>
      <x:c r="K1847" s="63" t="str">
        <x:f t="shared" si="126"/>
      </x:c>
      <x:c r="L1847" s="63">
        <x:f t="shared" si="125"/>
        <x:v>0</x:v>
      </x:c>
      <x:c r="M1847" s="61"/>
    </x:row>
    <x:row r="1848">
      <x:c r="A1848" s="61" t="str">
        <x:f>IF(E1848="","",MAX($A$6:A1847)+1)</x:f>
      </x:c>
      <x:c r="B1848" s="61"/>
      <x:c r="C1848" s="61"/>
      <x:c r="D1848" s="62"/>
      <x:c r="E1848" s="61"/>
      <x:c r="F1848" s="61"/>
      <x:c r="G1848" s="63"/>
      <x:c r="H1848" s="63">
        <x:f t="shared" si="123"/>
        <x:v>0</x:v>
      </x:c>
      <x:c r="I1848" s="64"/>
      <x:c r="J1848" s="63">
        <x:f t="shared" si="124"/>
        <x:v>0</x:v>
      </x:c>
      <x:c r="K1848" s="63" t="str">
        <x:f t="shared" si="126"/>
      </x:c>
      <x:c r="L1848" s="63">
        <x:f t="shared" si="125"/>
        <x:v>0</x:v>
      </x:c>
      <x:c r="M1848" s="61"/>
    </x:row>
    <x:row r="1849">
      <x:c r="A1849" s="61" t="str">
        <x:f>IF(E1849="","",MAX($A$6:A1848)+1)</x:f>
      </x:c>
      <x:c r="B1849" s="61"/>
      <x:c r="C1849" s="61"/>
      <x:c r="D1849" s="62"/>
      <x:c r="E1849" s="61"/>
      <x:c r="F1849" s="61"/>
      <x:c r="G1849" s="63"/>
      <x:c r="H1849" s="63">
        <x:f t="shared" si="123"/>
        <x:v>0</x:v>
      </x:c>
      <x:c r="I1849" s="64"/>
      <x:c r="J1849" s="63">
        <x:f t="shared" si="124"/>
        <x:v>0</x:v>
      </x:c>
      <x:c r="K1849" s="63" t="str">
        <x:f t="shared" si="126"/>
      </x:c>
      <x:c r="L1849" s="63">
        <x:f t="shared" si="125"/>
        <x:v>0</x:v>
      </x:c>
      <x:c r="M1849" s="61"/>
    </x:row>
    <x:row r="1850">
      <x:c r="A1850" s="61" t="str">
        <x:f>IF(E1850="","",MAX($A$6:A1849)+1)</x:f>
      </x:c>
      <x:c r="B1850" s="61"/>
      <x:c r="C1850" s="61"/>
      <x:c r="D1850" s="62"/>
      <x:c r="E1850" s="61"/>
      <x:c r="F1850" s="61"/>
      <x:c r="G1850" s="63"/>
      <x:c r="H1850" s="63">
        <x:f t="shared" si="123"/>
        <x:v>0</x:v>
      </x:c>
      <x:c r="I1850" s="64"/>
      <x:c r="J1850" s="63">
        <x:f t="shared" si="124"/>
        <x:v>0</x:v>
      </x:c>
      <x:c r="K1850" s="63" t="str">
        <x:f t="shared" si="126"/>
      </x:c>
      <x:c r="L1850" s="63">
        <x:f t="shared" si="125"/>
        <x:v>0</x:v>
      </x:c>
      <x:c r="M1850" s="61"/>
    </x:row>
    <x:row r="1851">
      <x:c r="A1851" s="61" t="str">
        <x:f>IF(E1851="","",MAX($A$6:A1850)+1)</x:f>
      </x:c>
      <x:c r="B1851" s="61"/>
      <x:c r="C1851" s="61"/>
      <x:c r="D1851" s="62"/>
      <x:c r="E1851" s="61"/>
      <x:c r="F1851" s="61"/>
      <x:c r="G1851" s="63"/>
      <x:c r="H1851" s="63">
        <x:f t="shared" si="123"/>
        <x:v>0</x:v>
      </x:c>
      <x:c r="I1851" s="64"/>
      <x:c r="J1851" s="63">
        <x:f t="shared" si="124"/>
        <x:v>0</x:v>
      </x:c>
      <x:c r="K1851" s="63" t="str">
        <x:f t="shared" si="126"/>
      </x:c>
      <x:c r="L1851" s="63">
        <x:f t="shared" si="125"/>
        <x:v>0</x:v>
      </x:c>
      <x:c r="M1851" s="61"/>
    </x:row>
    <x:row r="1852">
      <x:c r="A1852" s="61" t="str">
        <x:f>IF(E1852="","",MAX($A$6:A1851)+1)</x:f>
      </x:c>
      <x:c r="B1852" s="61"/>
      <x:c r="C1852" s="61"/>
      <x:c r="D1852" s="62"/>
      <x:c r="E1852" s="61"/>
      <x:c r="F1852" s="61"/>
      <x:c r="G1852" s="63"/>
      <x:c r="H1852" s="63">
        <x:f t="shared" si="123"/>
        <x:v>0</x:v>
      </x:c>
      <x:c r="I1852" s="64"/>
      <x:c r="J1852" s="63">
        <x:f t="shared" si="124"/>
        <x:v>0</x:v>
      </x:c>
      <x:c r="K1852" s="63" t="str">
        <x:f t="shared" si="126"/>
      </x:c>
      <x:c r="L1852" s="63">
        <x:f t="shared" si="125"/>
        <x:v>0</x:v>
      </x:c>
      <x:c r="M1852" s="61"/>
    </x:row>
    <x:row r="1853">
      <x:c r="A1853" s="61" t="str">
        <x:f>IF(E1853="","",MAX($A$6:A1852)+1)</x:f>
      </x:c>
      <x:c r="B1853" s="61"/>
      <x:c r="C1853" s="61"/>
      <x:c r="D1853" s="62"/>
      <x:c r="E1853" s="61"/>
      <x:c r="F1853" s="61"/>
      <x:c r="G1853" s="63"/>
      <x:c r="H1853" s="63">
        <x:f t="shared" si="123"/>
        <x:v>0</x:v>
      </x:c>
      <x:c r="I1853" s="64"/>
      <x:c r="J1853" s="63">
        <x:f t="shared" si="124"/>
        <x:v>0</x:v>
      </x:c>
      <x:c r="K1853" s="63" t="str">
        <x:f t="shared" si="126"/>
      </x:c>
      <x:c r="L1853" s="63">
        <x:f t="shared" si="125"/>
        <x:v>0</x:v>
      </x:c>
      <x:c r="M1853" s="61"/>
    </x:row>
    <x:row r="1854">
      <x:c r="A1854" s="61" t="str">
        <x:f>IF(E1854="","",MAX($A$6:A1853)+1)</x:f>
      </x:c>
      <x:c r="B1854" s="61"/>
      <x:c r="C1854" s="61"/>
      <x:c r="D1854" s="62"/>
      <x:c r="E1854" s="61"/>
      <x:c r="F1854" s="61"/>
      <x:c r="G1854" s="63"/>
      <x:c r="H1854" s="63">
        <x:f t="shared" si="123"/>
        <x:v>0</x:v>
      </x:c>
      <x:c r="I1854" s="64"/>
      <x:c r="J1854" s="63">
        <x:f t="shared" si="124"/>
        <x:v>0</x:v>
      </x:c>
      <x:c r="K1854" s="63" t="str">
        <x:f t="shared" si="126"/>
      </x:c>
      <x:c r="L1854" s="63">
        <x:f t="shared" si="125"/>
        <x:v>0</x:v>
      </x:c>
      <x:c r="M1854" s="61"/>
    </x:row>
    <x:row r="1855">
      <x:c r="A1855" s="61" t="str">
        <x:f>IF(E1855="","",MAX($A$6:A1854)+1)</x:f>
      </x:c>
      <x:c r="B1855" s="61"/>
      <x:c r="C1855" s="61"/>
      <x:c r="D1855" s="62"/>
      <x:c r="E1855" s="61"/>
      <x:c r="F1855" s="61"/>
      <x:c r="G1855" s="63"/>
      <x:c r="H1855" s="63">
        <x:f t="shared" si="123"/>
        <x:v>0</x:v>
      </x:c>
      <x:c r="I1855" s="64"/>
      <x:c r="J1855" s="63">
        <x:f t="shared" si="124"/>
        <x:v>0</x:v>
      </x:c>
      <x:c r="K1855" s="63" t="str">
        <x:f t="shared" si="126"/>
      </x:c>
      <x:c r="L1855" s="63">
        <x:f t="shared" si="125"/>
        <x:v>0</x:v>
      </x:c>
      <x:c r="M1855" s="61"/>
    </x:row>
    <x:row r="1856">
      <x:c r="A1856" s="61" t="str">
        <x:f>IF(E1856="","",MAX($A$6:A1855)+1)</x:f>
      </x:c>
      <x:c r="B1856" s="61"/>
      <x:c r="C1856" s="61"/>
      <x:c r="D1856" s="62"/>
      <x:c r="E1856" s="61"/>
      <x:c r="F1856" s="61"/>
      <x:c r="G1856" s="63"/>
      <x:c r="H1856" s="63">
        <x:f t="shared" si="123"/>
        <x:v>0</x:v>
      </x:c>
      <x:c r="I1856" s="64"/>
      <x:c r="J1856" s="63">
        <x:f t="shared" si="124"/>
        <x:v>0</x:v>
      </x:c>
      <x:c r="K1856" s="63" t="str">
        <x:f t="shared" si="126"/>
      </x:c>
      <x:c r="L1856" s="63">
        <x:f t="shared" si="125"/>
        <x:v>0</x:v>
      </x:c>
      <x:c r="M1856" s="61"/>
    </x:row>
    <x:row r="1857">
      <x:c r="A1857" s="61" t="str">
        <x:f>IF(E1857="","",MAX($A$6:A1856)+1)</x:f>
      </x:c>
      <x:c r="B1857" s="61"/>
      <x:c r="C1857" s="61"/>
      <x:c r="D1857" s="62"/>
      <x:c r="E1857" s="61"/>
      <x:c r="F1857" s="61"/>
      <x:c r="G1857" s="63"/>
      <x:c r="H1857" s="63">
        <x:f t="shared" si="123"/>
        <x:v>0</x:v>
      </x:c>
      <x:c r="I1857" s="64"/>
      <x:c r="J1857" s="63">
        <x:f t="shared" si="124"/>
        <x:v>0</x:v>
      </x:c>
      <x:c r="K1857" s="63" t="str">
        <x:f t="shared" si="126"/>
      </x:c>
      <x:c r="L1857" s="63">
        <x:f t="shared" si="125"/>
        <x:v>0</x:v>
      </x:c>
      <x:c r="M1857" s="61"/>
    </x:row>
    <x:row r="1858">
      <x:c r="A1858" s="61" t="str">
        <x:f>IF(E1858="","",MAX($A$6:A1857)+1)</x:f>
      </x:c>
      <x:c r="B1858" s="61"/>
      <x:c r="C1858" s="61"/>
      <x:c r="D1858" s="62"/>
      <x:c r="E1858" s="61"/>
      <x:c r="F1858" s="61"/>
      <x:c r="G1858" s="63"/>
      <x:c r="H1858" s="63">
        <x:f t="shared" si="123"/>
        <x:v>0</x:v>
      </x:c>
      <x:c r="I1858" s="64"/>
      <x:c r="J1858" s="63">
        <x:f t="shared" si="124"/>
        <x:v>0</x:v>
      </x:c>
      <x:c r="K1858" s="63" t="str">
        <x:f t="shared" si="126"/>
      </x:c>
      <x:c r="L1858" s="63">
        <x:f t="shared" si="125"/>
        <x:v>0</x:v>
      </x:c>
      <x:c r="M1858" s="61"/>
    </x:row>
    <x:row r="1859">
      <x:c r="A1859" s="61" t="str">
        <x:f>IF(E1859="","",MAX($A$6:A1858)+1)</x:f>
      </x:c>
      <x:c r="B1859" s="61"/>
      <x:c r="C1859" s="61"/>
      <x:c r="D1859" s="62"/>
      <x:c r="E1859" s="61"/>
      <x:c r="F1859" s="61"/>
      <x:c r="G1859" s="63"/>
      <x:c r="H1859" s="63">
        <x:f t="shared" si="123"/>
        <x:v>0</x:v>
      </x:c>
      <x:c r="I1859" s="64"/>
      <x:c r="J1859" s="63">
        <x:f t="shared" si="124"/>
        <x:v>0</x:v>
      </x:c>
      <x:c r="K1859" s="63" t="str">
        <x:f t="shared" si="126"/>
      </x:c>
      <x:c r="L1859" s="63">
        <x:f t="shared" si="125"/>
        <x:v>0</x:v>
      </x:c>
      <x:c r="M1859" s="61"/>
    </x:row>
    <x:row r="1860">
      <x:c r="A1860" s="61" t="str">
        <x:f>IF(E1860="","",MAX($A$6:A1859)+1)</x:f>
      </x:c>
      <x:c r="B1860" s="61"/>
      <x:c r="C1860" s="61"/>
      <x:c r="D1860" s="62"/>
      <x:c r="E1860" s="61"/>
      <x:c r="F1860" s="61"/>
      <x:c r="G1860" s="63"/>
      <x:c r="H1860" s="63">
        <x:f t="shared" si="123"/>
        <x:v>0</x:v>
      </x:c>
      <x:c r="I1860" s="64"/>
      <x:c r="J1860" s="63">
        <x:f t="shared" si="124"/>
        <x:v>0</x:v>
      </x:c>
      <x:c r="K1860" s="63" t="str">
        <x:f t="shared" si="126"/>
      </x:c>
      <x:c r="L1860" s="63">
        <x:f t="shared" si="125"/>
        <x:v>0</x:v>
      </x:c>
      <x:c r="M1860" s="61"/>
    </x:row>
    <x:row r="1861">
      <x:c r="A1861" s="61" t="str">
        <x:f>IF(E1861="","",MAX($A$6:A1860)+1)</x:f>
      </x:c>
      <x:c r="B1861" s="61"/>
      <x:c r="C1861" s="61"/>
      <x:c r="D1861" s="62"/>
      <x:c r="E1861" s="61"/>
      <x:c r="F1861" s="61"/>
      <x:c r="G1861" s="63"/>
      <x:c r="H1861" s="63">
        <x:f t="shared" si="123"/>
        <x:v>0</x:v>
      </x:c>
      <x:c r="I1861" s="64"/>
      <x:c r="J1861" s="63">
        <x:f t="shared" si="124"/>
        <x:v>0</x:v>
      </x:c>
      <x:c r="K1861" s="63" t="str">
        <x:f t="shared" si="126"/>
      </x:c>
      <x:c r="L1861" s="63">
        <x:f t="shared" si="125"/>
        <x:v>0</x:v>
      </x:c>
      <x:c r="M1861" s="61"/>
    </x:row>
    <x:row r="1862">
      <x:c r="A1862" s="61" t="str">
        <x:f>IF(E1862="","",MAX($A$6:A1861)+1)</x:f>
      </x:c>
      <x:c r="B1862" s="61"/>
      <x:c r="C1862" s="61"/>
      <x:c r="D1862" s="62"/>
      <x:c r="E1862" s="61"/>
      <x:c r="F1862" s="61"/>
      <x:c r="G1862" s="63"/>
      <x:c r="H1862" s="63" t="n">
        <x:f t="shared" ref="H1862:H1925" si="127">IFERROR(IF(OR($F$1="",D1862=""),0,MAX(0,$F$1-D1862)),0)</x:f>
        <x:v>0</x:v>
      </x:c>
      <x:c r="I1862" s="64"/>
      <x:c r="J1862" s="63" t="n">
        <x:f t="shared" ref="J1862:J1925" si="128">IFERROR(IF(OR(G1862="",I1862="",D1862="",$F$1=""),0,IF($F$1&lt;D1862,0,MIN(MAX(G1862-1,0),MAX(0,(G1862*I1862/365)*H1862)))),0)</x:f>
        <x:v>0</x:v>
      </x:c>
      <x:c r="K1862" s="63" t="str">
        <x:f t="shared" si="126"/>
      </x:c>
      <x:c r="L1862" s="63" t="n">
        <x:f t="shared" ref="L1862:L1925" si="129">IFERROR(IF(OR(G1862="",I1862="",D1862="",$F$1=""),0,IF($F$1&lt;D1862,0,IF(K1862&lt;=1,0,MIN(G1862*I1862/12,K1862-1)))),0)</x:f>
        <x:v>0</x:v>
      </x:c>
      <x:c r="M1862" s="61"/>
    </x:row>
    <x:row r="1863">
      <x:c r="A1863" s="61" t="str">
        <x:f>IF(E1863="","",MAX($A$6:A1862)+1)</x:f>
      </x:c>
      <x:c r="B1863" s="61"/>
      <x:c r="C1863" s="61"/>
      <x:c r="D1863" s="62"/>
      <x:c r="E1863" s="61"/>
      <x:c r="F1863" s="61"/>
      <x:c r="G1863" s="63"/>
      <x:c r="H1863" s="63">
        <x:f t="shared" si="127"/>
        <x:v>0</x:v>
      </x:c>
      <x:c r="I1863" s="64"/>
      <x:c r="J1863" s="63">
        <x:f t="shared" si="128"/>
        <x:v>0</x:v>
      </x:c>
      <x:c r="K1863" s="63" t="str">
        <x:f t="shared" si="126"/>
      </x:c>
      <x:c r="L1863" s="63">
        <x:f t="shared" si="129"/>
        <x:v>0</x:v>
      </x:c>
      <x:c r="M1863" s="61"/>
    </x:row>
    <x:row r="1864">
      <x:c r="A1864" s="61" t="str">
        <x:f>IF(E1864="","",MAX($A$6:A1863)+1)</x:f>
      </x:c>
      <x:c r="B1864" s="61"/>
      <x:c r="C1864" s="61"/>
      <x:c r="D1864" s="62"/>
      <x:c r="E1864" s="61"/>
      <x:c r="F1864" s="61"/>
      <x:c r="G1864" s="63"/>
      <x:c r="H1864" s="63">
        <x:f t="shared" si="127"/>
        <x:v>0</x:v>
      </x:c>
      <x:c r="I1864" s="64"/>
      <x:c r="J1864" s="63">
        <x:f t="shared" si="128"/>
        <x:v>0</x:v>
      </x:c>
      <x:c r="K1864" s="63" t="str">
        <x:f t="shared" si="126"/>
      </x:c>
      <x:c r="L1864" s="63">
        <x:f t="shared" si="129"/>
        <x:v>0</x:v>
      </x:c>
      <x:c r="M1864" s="61"/>
    </x:row>
    <x:row r="1865">
      <x:c r="A1865" s="61" t="str">
        <x:f>IF(E1865="","",MAX($A$6:A1864)+1)</x:f>
      </x:c>
      <x:c r="B1865" s="61"/>
      <x:c r="C1865" s="61"/>
      <x:c r="D1865" s="62"/>
      <x:c r="E1865" s="61"/>
      <x:c r="F1865" s="61"/>
      <x:c r="G1865" s="63"/>
      <x:c r="H1865" s="63">
        <x:f t="shared" si="127"/>
        <x:v>0</x:v>
      </x:c>
      <x:c r="I1865" s="64"/>
      <x:c r="J1865" s="63">
        <x:f t="shared" si="128"/>
        <x:v>0</x:v>
      </x:c>
      <x:c r="K1865" s="63" t="str">
        <x:f t="shared" si="126"/>
      </x:c>
      <x:c r="L1865" s="63">
        <x:f t="shared" si="129"/>
        <x:v>0</x:v>
      </x:c>
      <x:c r="M1865" s="61"/>
    </x:row>
    <x:row r="1866">
      <x:c r="A1866" s="61" t="str">
        <x:f>IF(E1866="","",MAX($A$6:A1865)+1)</x:f>
      </x:c>
      <x:c r="B1866" s="61"/>
      <x:c r="C1866" s="61"/>
      <x:c r="D1866" s="62"/>
      <x:c r="E1866" s="61"/>
      <x:c r="F1866" s="61"/>
      <x:c r="G1866" s="63"/>
      <x:c r="H1866" s="63">
        <x:f t="shared" si="127"/>
        <x:v>0</x:v>
      </x:c>
      <x:c r="I1866" s="64"/>
      <x:c r="J1866" s="63">
        <x:f t="shared" si="128"/>
        <x:v>0</x:v>
      </x:c>
      <x:c r="K1866" s="63" t="str">
        <x:f t="shared" si="126"/>
      </x:c>
      <x:c r="L1866" s="63">
        <x:f t="shared" si="129"/>
        <x:v>0</x:v>
      </x:c>
      <x:c r="M1866" s="61"/>
    </x:row>
    <x:row r="1867">
      <x:c r="A1867" s="61" t="str">
        <x:f>IF(E1867="","",MAX($A$6:A1866)+1)</x:f>
      </x:c>
      <x:c r="B1867" s="61"/>
      <x:c r="C1867" s="61"/>
      <x:c r="D1867" s="62"/>
      <x:c r="E1867" s="61"/>
      <x:c r="F1867" s="61"/>
      <x:c r="G1867" s="63"/>
      <x:c r="H1867" s="63">
        <x:f t="shared" si="127"/>
        <x:v>0</x:v>
      </x:c>
      <x:c r="I1867" s="64"/>
      <x:c r="J1867" s="63">
        <x:f t="shared" si="128"/>
        <x:v>0</x:v>
      </x:c>
      <x:c r="K1867" s="63" t="str">
        <x:f t="shared" si="126"/>
      </x:c>
      <x:c r="L1867" s="63">
        <x:f t="shared" si="129"/>
        <x:v>0</x:v>
      </x:c>
      <x:c r="M1867" s="61"/>
    </x:row>
    <x:row r="1868">
      <x:c r="A1868" s="61" t="str">
        <x:f>IF(E1868="","",MAX($A$6:A1867)+1)</x:f>
      </x:c>
      <x:c r="B1868" s="61"/>
      <x:c r="C1868" s="61"/>
      <x:c r="D1868" s="62"/>
      <x:c r="E1868" s="61"/>
      <x:c r="F1868" s="61"/>
      <x:c r="G1868" s="63"/>
      <x:c r="H1868" s="63">
        <x:f t="shared" si="127"/>
        <x:v>0</x:v>
      </x:c>
      <x:c r="I1868" s="64"/>
      <x:c r="J1868" s="63">
        <x:f t="shared" si="128"/>
        <x:v>0</x:v>
      </x:c>
      <x:c r="K1868" s="63" t="str">
        <x:f t="shared" si="126"/>
      </x:c>
      <x:c r="L1868" s="63">
        <x:f t="shared" si="129"/>
        <x:v>0</x:v>
      </x:c>
      <x:c r="M1868" s="61"/>
    </x:row>
    <x:row r="1869">
      <x:c r="A1869" s="61" t="str">
        <x:f>IF(E1869="","",MAX($A$6:A1868)+1)</x:f>
      </x:c>
      <x:c r="B1869" s="61"/>
      <x:c r="C1869" s="61"/>
      <x:c r="D1869" s="62"/>
      <x:c r="E1869" s="61"/>
      <x:c r="F1869" s="61"/>
      <x:c r="G1869" s="63"/>
      <x:c r="H1869" s="63">
        <x:f t="shared" si="127"/>
        <x:v>0</x:v>
      </x:c>
      <x:c r="I1869" s="64"/>
      <x:c r="J1869" s="63">
        <x:f t="shared" si="128"/>
        <x:v>0</x:v>
      </x:c>
      <x:c r="K1869" s="63" t="str">
        <x:f t="shared" si="126"/>
      </x:c>
      <x:c r="L1869" s="63">
        <x:f t="shared" si="129"/>
        <x:v>0</x:v>
      </x:c>
      <x:c r="M1869" s="61"/>
    </x:row>
    <x:row r="1870">
      <x:c r="A1870" s="61" t="str">
        <x:f>IF(E1870="","",MAX($A$6:A1869)+1)</x:f>
      </x:c>
      <x:c r="B1870" s="61"/>
      <x:c r="C1870" s="61"/>
      <x:c r="D1870" s="62"/>
      <x:c r="E1870" s="61"/>
      <x:c r="F1870" s="61"/>
      <x:c r="G1870" s="63"/>
      <x:c r="H1870" s="63">
        <x:f t="shared" si="127"/>
        <x:v>0</x:v>
      </x:c>
      <x:c r="I1870" s="64"/>
      <x:c r="J1870" s="63">
        <x:f t="shared" si="128"/>
        <x:v>0</x:v>
      </x:c>
      <x:c r="K1870" s="63" t="str">
        <x:f t="shared" si="126"/>
      </x:c>
      <x:c r="L1870" s="63">
        <x:f t="shared" si="129"/>
        <x:v>0</x:v>
      </x:c>
      <x:c r="M1870" s="61"/>
    </x:row>
    <x:row r="1871">
      <x:c r="A1871" s="61" t="str">
        <x:f>IF(E1871="","",MAX($A$6:A1870)+1)</x:f>
      </x:c>
      <x:c r="B1871" s="61"/>
      <x:c r="C1871" s="61"/>
      <x:c r="D1871" s="62"/>
      <x:c r="E1871" s="61"/>
      <x:c r="F1871" s="61"/>
      <x:c r="G1871" s="63"/>
      <x:c r="H1871" s="63">
        <x:f t="shared" si="127"/>
        <x:v>0</x:v>
      </x:c>
      <x:c r="I1871" s="64"/>
      <x:c r="J1871" s="63">
        <x:f t="shared" si="128"/>
        <x:v>0</x:v>
      </x:c>
      <x:c r="K1871" s="63" t="str">
        <x:f t="shared" si="126"/>
      </x:c>
      <x:c r="L1871" s="63">
        <x:f t="shared" si="129"/>
        <x:v>0</x:v>
      </x:c>
      <x:c r="M1871" s="61"/>
    </x:row>
    <x:row r="1872">
      <x:c r="A1872" s="61" t="str">
        <x:f>IF(E1872="","",MAX($A$6:A1871)+1)</x:f>
      </x:c>
      <x:c r="B1872" s="61"/>
      <x:c r="C1872" s="61"/>
      <x:c r="D1872" s="62"/>
      <x:c r="E1872" s="61"/>
      <x:c r="F1872" s="61"/>
      <x:c r="G1872" s="63"/>
      <x:c r="H1872" s="63">
        <x:f t="shared" si="127"/>
        <x:v>0</x:v>
      </x:c>
      <x:c r="I1872" s="64"/>
      <x:c r="J1872" s="63">
        <x:f t="shared" si="128"/>
        <x:v>0</x:v>
      </x:c>
      <x:c r="K1872" s="63" t="str">
        <x:f t="shared" si="126"/>
      </x:c>
      <x:c r="L1872" s="63">
        <x:f t="shared" si="129"/>
        <x:v>0</x:v>
      </x:c>
      <x:c r="M1872" s="61"/>
    </x:row>
    <x:row r="1873">
      <x:c r="A1873" s="61" t="str">
        <x:f>IF(E1873="","",MAX($A$6:A1872)+1)</x:f>
      </x:c>
      <x:c r="B1873" s="61"/>
      <x:c r="C1873" s="61"/>
      <x:c r="D1873" s="62"/>
      <x:c r="E1873" s="61"/>
      <x:c r="F1873" s="61"/>
      <x:c r="G1873" s="63"/>
      <x:c r="H1873" s="63">
        <x:f t="shared" si="127"/>
        <x:v>0</x:v>
      </x:c>
      <x:c r="I1873" s="64"/>
      <x:c r="J1873" s="63">
        <x:f t="shared" si="128"/>
        <x:v>0</x:v>
      </x:c>
      <x:c r="K1873" s="63" t="str">
        <x:f t="shared" si="126"/>
      </x:c>
      <x:c r="L1873" s="63">
        <x:f t="shared" si="129"/>
        <x:v>0</x:v>
      </x:c>
      <x:c r="M1873" s="61"/>
    </x:row>
    <x:row r="1874">
      <x:c r="A1874" s="61" t="str">
        <x:f>IF(E1874="","",MAX($A$6:A1873)+1)</x:f>
      </x:c>
      <x:c r="B1874" s="61"/>
      <x:c r="C1874" s="61"/>
      <x:c r="D1874" s="62"/>
      <x:c r="E1874" s="61"/>
      <x:c r="F1874" s="61"/>
      <x:c r="G1874" s="63"/>
      <x:c r="H1874" s="63">
        <x:f t="shared" si="127"/>
        <x:v>0</x:v>
      </x:c>
      <x:c r="I1874" s="64"/>
      <x:c r="J1874" s="63">
        <x:f t="shared" si="128"/>
        <x:v>0</x:v>
      </x:c>
      <x:c r="K1874" s="63" t="str">
        <x:f t="shared" si="126"/>
      </x:c>
      <x:c r="L1874" s="63">
        <x:f t="shared" si="129"/>
        <x:v>0</x:v>
      </x:c>
      <x:c r="M1874" s="61"/>
    </x:row>
    <x:row r="1875">
      <x:c r="A1875" s="61" t="str">
        <x:f>IF(E1875="","",MAX($A$6:A1874)+1)</x:f>
      </x:c>
      <x:c r="B1875" s="61"/>
      <x:c r="C1875" s="61"/>
      <x:c r="D1875" s="62"/>
      <x:c r="E1875" s="61"/>
      <x:c r="F1875" s="61"/>
      <x:c r="G1875" s="63"/>
      <x:c r="H1875" s="63">
        <x:f t="shared" si="127"/>
        <x:v>0</x:v>
      </x:c>
      <x:c r="I1875" s="64"/>
      <x:c r="J1875" s="63">
        <x:f t="shared" si="128"/>
        <x:v>0</x:v>
      </x:c>
      <x:c r="K1875" s="63" t="str">
        <x:f t="shared" si="126"/>
      </x:c>
      <x:c r="L1875" s="63">
        <x:f t="shared" si="129"/>
        <x:v>0</x:v>
      </x:c>
      <x:c r="M1875" s="61"/>
    </x:row>
    <x:row r="1876">
      <x:c r="A1876" s="61" t="str">
        <x:f>IF(E1876="","",MAX($A$6:A1875)+1)</x:f>
      </x:c>
      <x:c r="B1876" s="61"/>
      <x:c r="C1876" s="61"/>
      <x:c r="D1876" s="62"/>
      <x:c r="E1876" s="61"/>
      <x:c r="F1876" s="61"/>
      <x:c r="G1876" s="63"/>
      <x:c r="H1876" s="63">
        <x:f t="shared" si="127"/>
        <x:v>0</x:v>
      </x:c>
      <x:c r="I1876" s="64"/>
      <x:c r="J1876" s="63">
        <x:f t="shared" si="128"/>
        <x:v>0</x:v>
      </x:c>
      <x:c r="K1876" s="63" t="str">
        <x:f t="shared" si="126"/>
      </x:c>
      <x:c r="L1876" s="63">
        <x:f t="shared" si="129"/>
        <x:v>0</x:v>
      </x:c>
      <x:c r="M1876" s="61"/>
    </x:row>
    <x:row r="1877">
      <x:c r="A1877" s="61" t="str">
        <x:f>IF(E1877="","",MAX($A$6:A1876)+1)</x:f>
      </x:c>
      <x:c r="B1877" s="61"/>
      <x:c r="C1877" s="61"/>
      <x:c r="D1877" s="62"/>
      <x:c r="E1877" s="61"/>
      <x:c r="F1877" s="61"/>
      <x:c r="G1877" s="63"/>
      <x:c r="H1877" s="63">
        <x:f t="shared" si="127"/>
        <x:v>0</x:v>
      </x:c>
      <x:c r="I1877" s="64"/>
      <x:c r="J1877" s="63">
        <x:f t="shared" si="128"/>
        <x:v>0</x:v>
      </x:c>
      <x:c r="K1877" s="63" t="str">
        <x:f t="shared" si="126"/>
      </x:c>
      <x:c r="L1877" s="63">
        <x:f t="shared" si="129"/>
        <x:v>0</x:v>
      </x:c>
      <x:c r="M1877" s="61"/>
    </x:row>
    <x:row r="1878">
      <x:c r="A1878" s="61" t="str">
        <x:f>IF(E1878="","",MAX($A$6:A1877)+1)</x:f>
      </x:c>
      <x:c r="B1878" s="61"/>
      <x:c r="C1878" s="61"/>
      <x:c r="D1878" s="62"/>
      <x:c r="E1878" s="61"/>
      <x:c r="F1878" s="61"/>
      <x:c r="G1878" s="63"/>
      <x:c r="H1878" s="63">
        <x:f t="shared" si="127"/>
        <x:v>0</x:v>
      </x:c>
      <x:c r="I1878" s="64"/>
      <x:c r="J1878" s="63">
        <x:f t="shared" si="128"/>
        <x:v>0</x:v>
      </x:c>
      <x:c r="K1878" s="63" t="str">
        <x:f t="shared" si="126"/>
      </x:c>
      <x:c r="L1878" s="63">
        <x:f t="shared" si="129"/>
        <x:v>0</x:v>
      </x:c>
      <x:c r="M1878" s="61"/>
    </x:row>
    <x:row r="1879">
      <x:c r="A1879" s="61" t="str">
        <x:f>IF(E1879="","",MAX($A$6:A1878)+1)</x:f>
      </x:c>
      <x:c r="B1879" s="61"/>
      <x:c r="C1879" s="61"/>
      <x:c r="D1879" s="62"/>
      <x:c r="E1879" s="61"/>
      <x:c r="F1879" s="61"/>
      <x:c r="G1879" s="63"/>
      <x:c r="H1879" s="63">
        <x:f t="shared" si="127"/>
        <x:v>0</x:v>
      </x:c>
      <x:c r="I1879" s="64"/>
      <x:c r="J1879" s="63">
        <x:f t="shared" si="128"/>
        <x:v>0</x:v>
      </x:c>
      <x:c r="K1879" s="63" t="str">
        <x:f t="shared" si="126"/>
      </x:c>
      <x:c r="L1879" s="63">
        <x:f t="shared" si="129"/>
        <x:v>0</x:v>
      </x:c>
      <x:c r="M1879" s="61"/>
    </x:row>
    <x:row r="1880">
      <x:c r="A1880" s="61" t="str">
        <x:f>IF(E1880="","",MAX($A$6:A1879)+1)</x:f>
      </x:c>
      <x:c r="B1880" s="61"/>
      <x:c r="C1880" s="61"/>
      <x:c r="D1880" s="62"/>
      <x:c r="E1880" s="61"/>
      <x:c r="F1880" s="61"/>
      <x:c r="G1880" s="63"/>
      <x:c r="H1880" s="63">
        <x:f t="shared" si="127"/>
        <x:v>0</x:v>
      </x:c>
      <x:c r="I1880" s="64"/>
      <x:c r="J1880" s="63">
        <x:f t="shared" si="128"/>
        <x:v>0</x:v>
      </x:c>
      <x:c r="K1880" s="63" t="str">
        <x:f t="shared" si="126"/>
      </x:c>
      <x:c r="L1880" s="63">
        <x:f t="shared" si="129"/>
        <x:v>0</x:v>
      </x:c>
      <x:c r="M1880" s="61"/>
    </x:row>
    <x:row r="1881">
      <x:c r="A1881" s="61" t="str">
        <x:f>IF(E1881="","",MAX($A$6:A1880)+1)</x:f>
      </x:c>
      <x:c r="B1881" s="61"/>
      <x:c r="C1881" s="61"/>
      <x:c r="D1881" s="62"/>
      <x:c r="E1881" s="61"/>
      <x:c r="F1881" s="61"/>
      <x:c r="G1881" s="63"/>
      <x:c r="H1881" s="63">
        <x:f t="shared" si="127"/>
        <x:v>0</x:v>
      </x:c>
      <x:c r="I1881" s="64"/>
      <x:c r="J1881" s="63">
        <x:f t="shared" si="128"/>
        <x:v>0</x:v>
      </x:c>
      <x:c r="K1881" s="63" t="str">
        <x:f t="shared" si="126"/>
      </x:c>
      <x:c r="L1881" s="63">
        <x:f t="shared" si="129"/>
        <x:v>0</x:v>
      </x:c>
      <x:c r="M1881" s="61"/>
    </x:row>
    <x:row r="1882">
      <x:c r="A1882" s="61" t="str">
        <x:f>IF(E1882="","",MAX($A$6:A1881)+1)</x:f>
      </x:c>
      <x:c r="B1882" s="61"/>
      <x:c r="C1882" s="61"/>
      <x:c r="D1882" s="62"/>
      <x:c r="E1882" s="61"/>
      <x:c r="F1882" s="61"/>
      <x:c r="G1882" s="63"/>
      <x:c r="H1882" s="63">
        <x:f t="shared" si="127"/>
        <x:v>0</x:v>
      </x:c>
      <x:c r="I1882" s="64"/>
      <x:c r="J1882" s="63">
        <x:f t="shared" si="128"/>
        <x:v>0</x:v>
      </x:c>
      <x:c r="K1882" s="63" t="str">
        <x:f t="shared" si="126"/>
      </x:c>
      <x:c r="L1882" s="63">
        <x:f t="shared" si="129"/>
        <x:v>0</x:v>
      </x:c>
      <x:c r="M1882" s="61"/>
    </x:row>
    <x:row r="1883">
      <x:c r="A1883" s="61" t="str">
        <x:f>IF(E1883="","",MAX($A$6:A1882)+1)</x:f>
      </x:c>
      <x:c r="B1883" s="61"/>
      <x:c r="C1883" s="61"/>
      <x:c r="D1883" s="62"/>
      <x:c r="E1883" s="61"/>
      <x:c r="F1883" s="61"/>
      <x:c r="G1883" s="63"/>
      <x:c r="H1883" s="63">
        <x:f t="shared" si="127"/>
        <x:v>0</x:v>
      </x:c>
      <x:c r="I1883" s="64"/>
      <x:c r="J1883" s="63">
        <x:f t="shared" si="128"/>
        <x:v>0</x:v>
      </x:c>
      <x:c r="K1883" s="63" t="str">
        <x:f t="shared" si="126"/>
      </x:c>
      <x:c r="L1883" s="63">
        <x:f t="shared" si="129"/>
        <x:v>0</x:v>
      </x:c>
      <x:c r="M1883" s="61"/>
    </x:row>
    <x:row r="1884">
      <x:c r="A1884" s="61" t="str">
        <x:f>IF(E1884="","",MAX($A$6:A1883)+1)</x:f>
      </x:c>
      <x:c r="B1884" s="61"/>
      <x:c r="C1884" s="61"/>
      <x:c r="D1884" s="62"/>
      <x:c r="E1884" s="61"/>
      <x:c r="F1884" s="61"/>
      <x:c r="G1884" s="63"/>
      <x:c r="H1884" s="63">
        <x:f t="shared" si="127"/>
        <x:v>0</x:v>
      </x:c>
      <x:c r="I1884" s="64"/>
      <x:c r="J1884" s="63">
        <x:f t="shared" si="128"/>
        <x:v>0</x:v>
      </x:c>
      <x:c r="K1884" s="63" t="str">
        <x:f t="shared" si="126"/>
      </x:c>
      <x:c r="L1884" s="63">
        <x:f t="shared" si="129"/>
        <x:v>0</x:v>
      </x:c>
      <x:c r="M1884" s="61"/>
    </x:row>
    <x:row r="1885">
      <x:c r="A1885" s="61" t="str">
        <x:f>IF(E1885="","",MAX($A$6:A1884)+1)</x:f>
      </x:c>
      <x:c r="B1885" s="61"/>
      <x:c r="C1885" s="61"/>
      <x:c r="D1885" s="62"/>
      <x:c r="E1885" s="61"/>
      <x:c r="F1885" s="61"/>
      <x:c r="G1885" s="63"/>
      <x:c r="H1885" s="63">
        <x:f t="shared" si="127"/>
        <x:v>0</x:v>
      </x:c>
      <x:c r="I1885" s="64"/>
      <x:c r="J1885" s="63">
        <x:f t="shared" si="128"/>
        <x:v>0</x:v>
      </x:c>
      <x:c r="K1885" s="63" t="str">
        <x:f t="shared" si="126"/>
      </x:c>
      <x:c r="L1885" s="63">
        <x:f t="shared" si="129"/>
        <x:v>0</x:v>
      </x:c>
      <x:c r="M1885" s="61"/>
    </x:row>
    <x:row r="1886">
      <x:c r="A1886" s="61" t="str">
        <x:f>IF(E1886="","",MAX($A$6:A1885)+1)</x:f>
      </x:c>
      <x:c r="B1886" s="61"/>
      <x:c r="C1886" s="61"/>
      <x:c r="D1886" s="62"/>
      <x:c r="E1886" s="61"/>
      <x:c r="F1886" s="61"/>
      <x:c r="G1886" s="63"/>
      <x:c r="H1886" s="63">
        <x:f t="shared" si="127"/>
        <x:v>0</x:v>
      </x:c>
      <x:c r="I1886" s="64"/>
      <x:c r="J1886" s="63">
        <x:f t="shared" si="128"/>
        <x:v>0</x:v>
      </x:c>
      <x:c r="K1886" s="63" t="str">
        <x:f t="shared" si="126"/>
      </x:c>
      <x:c r="L1886" s="63">
        <x:f t="shared" si="129"/>
        <x:v>0</x:v>
      </x:c>
      <x:c r="M1886" s="61"/>
    </x:row>
    <x:row r="1887">
      <x:c r="A1887" s="61" t="str">
        <x:f>IF(E1887="","",MAX($A$6:A1886)+1)</x:f>
      </x:c>
      <x:c r="B1887" s="61"/>
      <x:c r="C1887" s="61"/>
      <x:c r="D1887" s="62"/>
      <x:c r="E1887" s="61"/>
      <x:c r="F1887" s="61"/>
      <x:c r="G1887" s="63"/>
      <x:c r="H1887" s="63">
        <x:f t="shared" si="127"/>
        <x:v>0</x:v>
      </x:c>
      <x:c r="I1887" s="64"/>
      <x:c r="J1887" s="63">
        <x:f t="shared" si="128"/>
        <x:v>0</x:v>
      </x:c>
      <x:c r="K1887" s="63" t="str">
        <x:f t="shared" si="126"/>
      </x:c>
      <x:c r="L1887" s="63">
        <x:f t="shared" si="129"/>
        <x:v>0</x:v>
      </x:c>
      <x:c r="M1887" s="61"/>
    </x:row>
    <x:row r="1888">
      <x:c r="A1888" s="61" t="str">
        <x:f>IF(E1888="","",MAX($A$6:A1887)+1)</x:f>
      </x:c>
      <x:c r="B1888" s="61"/>
      <x:c r="C1888" s="61"/>
      <x:c r="D1888" s="62"/>
      <x:c r="E1888" s="61"/>
      <x:c r="F1888" s="61"/>
      <x:c r="G1888" s="63"/>
      <x:c r="H1888" s="63">
        <x:f t="shared" si="127"/>
        <x:v>0</x:v>
      </x:c>
      <x:c r="I1888" s="64"/>
      <x:c r="J1888" s="63">
        <x:f t="shared" si="128"/>
        <x:v>0</x:v>
      </x:c>
      <x:c r="K1888" s="63" t="str">
        <x:f t="shared" si="126"/>
      </x:c>
      <x:c r="L1888" s="63">
        <x:f t="shared" si="129"/>
        <x:v>0</x:v>
      </x:c>
      <x:c r="M1888" s="61"/>
    </x:row>
    <x:row r="1889">
      <x:c r="A1889" s="61" t="str">
        <x:f>IF(E1889="","",MAX($A$6:A1888)+1)</x:f>
      </x:c>
      <x:c r="B1889" s="61"/>
      <x:c r="C1889" s="61"/>
      <x:c r="D1889" s="62"/>
      <x:c r="E1889" s="61"/>
      <x:c r="F1889" s="61"/>
      <x:c r="G1889" s="63"/>
      <x:c r="H1889" s="63">
        <x:f t="shared" si="127"/>
        <x:v>0</x:v>
      </x:c>
      <x:c r="I1889" s="64"/>
      <x:c r="J1889" s="63">
        <x:f t="shared" si="128"/>
        <x:v>0</x:v>
      </x:c>
      <x:c r="K1889" s="63" t="str">
        <x:f t="shared" si="126"/>
      </x:c>
      <x:c r="L1889" s="63">
        <x:f t="shared" si="129"/>
        <x:v>0</x:v>
      </x:c>
      <x:c r="M1889" s="61"/>
    </x:row>
    <x:row r="1890">
      <x:c r="A1890" s="61" t="str">
        <x:f>IF(E1890="","",MAX($A$6:A1889)+1)</x:f>
      </x:c>
      <x:c r="B1890" s="61"/>
      <x:c r="C1890" s="61"/>
      <x:c r="D1890" s="62"/>
      <x:c r="E1890" s="61"/>
      <x:c r="F1890" s="61"/>
      <x:c r="G1890" s="63"/>
      <x:c r="H1890" s="63">
        <x:f t="shared" si="127"/>
        <x:v>0</x:v>
      </x:c>
      <x:c r="I1890" s="64"/>
      <x:c r="J1890" s="63">
        <x:f t="shared" si="128"/>
        <x:v>0</x:v>
      </x:c>
      <x:c r="K1890" s="63" t="str">
        <x:f t="shared" si="126"/>
      </x:c>
      <x:c r="L1890" s="63">
        <x:f t="shared" si="129"/>
        <x:v>0</x:v>
      </x:c>
      <x:c r="M1890" s="61"/>
    </x:row>
    <x:row r="1891">
      <x:c r="A1891" s="61" t="str">
        <x:f>IF(E1891="","",MAX($A$6:A1890)+1)</x:f>
      </x:c>
      <x:c r="B1891" s="61"/>
      <x:c r="C1891" s="61"/>
      <x:c r="D1891" s="62"/>
      <x:c r="E1891" s="61"/>
      <x:c r="F1891" s="61"/>
      <x:c r="G1891" s="63"/>
      <x:c r="H1891" s="63">
        <x:f t="shared" si="127"/>
        <x:v>0</x:v>
      </x:c>
      <x:c r="I1891" s="64"/>
      <x:c r="J1891" s="63">
        <x:f t="shared" si="128"/>
        <x:v>0</x:v>
      </x:c>
      <x:c r="K1891" s="63" t="str">
        <x:f t="shared" si="126"/>
      </x:c>
      <x:c r="L1891" s="63">
        <x:f t="shared" si="129"/>
        <x:v>0</x:v>
      </x:c>
      <x:c r="M1891" s="61"/>
    </x:row>
    <x:row r="1892">
      <x:c r="A1892" s="61" t="str">
        <x:f>IF(E1892="","",MAX($A$6:A1891)+1)</x:f>
      </x:c>
      <x:c r="B1892" s="61"/>
      <x:c r="C1892" s="61"/>
      <x:c r="D1892" s="62"/>
      <x:c r="E1892" s="61"/>
      <x:c r="F1892" s="61"/>
      <x:c r="G1892" s="63"/>
      <x:c r="H1892" s="63">
        <x:f t="shared" si="127"/>
        <x:v>0</x:v>
      </x:c>
      <x:c r="I1892" s="64"/>
      <x:c r="J1892" s="63">
        <x:f t="shared" si="128"/>
        <x:v>0</x:v>
      </x:c>
      <x:c r="K1892" s="63" t="str">
        <x:f t="shared" si="126"/>
      </x:c>
      <x:c r="L1892" s="63">
        <x:f t="shared" si="129"/>
        <x:v>0</x:v>
      </x:c>
      <x:c r="M1892" s="61"/>
    </x:row>
    <x:row r="1893">
      <x:c r="A1893" s="61" t="str">
        <x:f>IF(E1893="","",MAX($A$6:A1892)+1)</x:f>
      </x:c>
      <x:c r="B1893" s="61"/>
      <x:c r="C1893" s="61"/>
      <x:c r="D1893" s="62"/>
      <x:c r="E1893" s="61"/>
      <x:c r="F1893" s="61"/>
      <x:c r="G1893" s="63"/>
      <x:c r="H1893" s="63">
        <x:f t="shared" si="127"/>
        <x:v>0</x:v>
      </x:c>
      <x:c r="I1893" s="64"/>
      <x:c r="J1893" s="63">
        <x:f t="shared" si="128"/>
        <x:v>0</x:v>
      </x:c>
      <x:c r="K1893" s="63" t="str">
        <x:f t="shared" si="126"/>
      </x:c>
      <x:c r="L1893" s="63">
        <x:f t="shared" si="129"/>
        <x:v>0</x:v>
      </x:c>
      <x:c r="M1893" s="61"/>
    </x:row>
    <x:row r="1894">
      <x:c r="A1894" s="61" t="str">
        <x:f>IF(E1894="","",MAX($A$6:A1893)+1)</x:f>
      </x:c>
      <x:c r="B1894" s="61"/>
      <x:c r="C1894" s="61"/>
      <x:c r="D1894" s="62"/>
      <x:c r="E1894" s="61"/>
      <x:c r="F1894" s="61"/>
      <x:c r="G1894" s="63"/>
      <x:c r="H1894" s="63">
        <x:f t="shared" si="127"/>
        <x:v>0</x:v>
      </x:c>
      <x:c r="I1894" s="64"/>
      <x:c r="J1894" s="63">
        <x:f t="shared" si="128"/>
        <x:v>0</x:v>
      </x:c>
      <x:c r="K1894" s="63" t="str">
        <x:f t="shared" si="126"/>
      </x:c>
      <x:c r="L1894" s="63">
        <x:f t="shared" si="129"/>
        <x:v>0</x:v>
      </x:c>
      <x:c r="M1894" s="61"/>
    </x:row>
    <x:row r="1895">
      <x:c r="A1895" s="61" t="str">
        <x:f>IF(E1895="","",MAX($A$6:A1894)+1)</x:f>
      </x:c>
      <x:c r="B1895" s="61"/>
      <x:c r="C1895" s="61"/>
      <x:c r="D1895" s="62"/>
      <x:c r="E1895" s="61"/>
      <x:c r="F1895" s="61"/>
      <x:c r="G1895" s="63"/>
      <x:c r="H1895" s="63">
        <x:f t="shared" si="127"/>
        <x:v>0</x:v>
      </x:c>
      <x:c r="I1895" s="64"/>
      <x:c r="J1895" s="63">
        <x:f t="shared" si="128"/>
        <x:v>0</x:v>
      </x:c>
      <x:c r="K1895" s="63" t="str">
        <x:f t="shared" si="126"/>
      </x:c>
      <x:c r="L1895" s="63">
        <x:f t="shared" si="129"/>
        <x:v>0</x:v>
      </x:c>
      <x:c r="M1895" s="61"/>
    </x:row>
    <x:row r="1896">
      <x:c r="A1896" s="61" t="str">
        <x:f>IF(E1896="","",MAX($A$6:A1895)+1)</x:f>
      </x:c>
      <x:c r="B1896" s="61"/>
      <x:c r="C1896" s="61"/>
      <x:c r="D1896" s="62"/>
      <x:c r="E1896" s="61"/>
      <x:c r="F1896" s="61"/>
      <x:c r="G1896" s="63"/>
      <x:c r="H1896" s="63">
        <x:f t="shared" si="127"/>
        <x:v>0</x:v>
      </x:c>
      <x:c r="I1896" s="64"/>
      <x:c r="J1896" s="63">
        <x:f t="shared" si="128"/>
        <x:v>0</x:v>
      </x:c>
      <x:c r="K1896" s="63" t="str">
        <x:f t="shared" si="126"/>
      </x:c>
      <x:c r="L1896" s="63">
        <x:f t="shared" si="129"/>
        <x:v>0</x:v>
      </x:c>
      <x:c r="M1896" s="61"/>
    </x:row>
    <x:row r="1897">
      <x:c r="A1897" s="61" t="str">
        <x:f>IF(E1897="","",MAX($A$6:A1896)+1)</x:f>
      </x:c>
      <x:c r="B1897" s="61"/>
      <x:c r="C1897" s="61"/>
      <x:c r="D1897" s="62"/>
      <x:c r="E1897" s="61"/>
      <x:c r="F1897" s="61"/>
      <x:c r="G1897" s="63"/>
      <x:c r="H1897" s="63">
        <x:f t="shared" si="127"/>
        <x:v>0</x:v>
      </x:c>
      <x:c r="I1897" s="64"/>
      <x:c r="J1897" s="63">
        <x:f t="shared" si="128"/>
        <x:v>0</x:v>
      </x:c>
      <x:c r="K1897" s="63" t="str">
        <x:f t="shared" si="126"/>
      </x:c>
      <x:c r="L1897" s="63">
        <x:f t="shared" si="129"/>
        <x:v>0</x:v>
      </x:c>
      <x:c r="M1897" s="61"/>
    </x:row>
    <x:row r="1898">
      <x:c r="A1898" s="61" t="str">
        <x:f>IF(E1898="","",MAX($A$6:A1897)+1)</x:f>
      </x:c>
      <x:c r="B1898" s="61"/>
      <x:c r="C1898" s="61"/>
      <x:c r="D1898" s="62"/>
      <x:c r="E1898" s="61"/>
      <x:c r="F1898" s="61"/>
      <x:c r="G1898" s="63"/>
      <x:c r="H1898" s="63">
        <x:f t="shared" si="127"/>
        <x:v>0</x:v>
      </x:c>
      <x:c r="I1898" s="64"/>
      <x:c r="J1898" s="63">
        <x:f t="shared" si="128"/>
        <x:v>0</x:v>
      </x:c>
      <x:c r="K1898" s="63" t="str">
        <x:f t="shared" si="126"/>
      </x:c>
      <x:c r="L1898" s="63">
        <x:f t="shared" si="129"/>
        <x:v>0</x:v>
      </x:c>
      <x:c r="M1898" s="61"/>
    </x:row>
    <x:row r="1899">
      <x:c r="A1899" s="61" t="str">
        <x:f>IF(E1899="","",MAX($A$6:A1898)+1)</x:f>
      </x:c>
      <x:c r="B1899" s="61"/>
      <x:c r="C1899" s="61"/>
      <x:c r="D1899" s="62"/>
      <x:c r="E1899" s="61"/>
      <x:c r="F1899" s="61"/>
      <x:c r="G1899" s="63"/>
      <x:c r="H1899" s="63">
        <x:f t="shared" si="127"/>
        <x:v>0</x:v>
      </x:c>
      <x:c r="I1899" s="64"/>
      <x:c r="J1899" s="63">
        <x:f t="shared" si="128"/>
        <x:v>0</x:v>
      </x:c>
      <x:c r="K1899" s="63" t="str">
        <x:f t="shared" si="126"/>
      </x:c>
      <x:c r="L1899" s="63">
        <x:f t="shared" si="129"/>
        <x:v>0</x:v>
      </x:c>
      <x:c r="M1899" s="61"/>
    </x:row>
    <x:row r="1900">
      <x:c r="A1900" s="61" t="str">
        <x:f>IF(E1900="","",MAX($A$6:A1899)+1)</x:f>
      </x:c>
      <x:c r="B1900" s="61"/>
      <x:c r="C1900" s="61"/>
      <x:c r="D1900" s="62"/>
      <x:c r="E1900" s="61"/>
      <x:c r="F1900" s="61"/>
      <x:c r="G1900" s="63"/>
      <x:c r="H1900" s="63">
        <x:f t="shared" si="127"/>
        <x:v>0</x:v>
      </x:c>
      <x:c r="I1900" s="64"/>
      <x:c r="J1900" s="63">
        <x:f t="shared" si="128"/>
        <x:v>0</x:v>
      </x:c>
      <x:c r="K1900" s="63" t="str">
        <x:f t="shared" si="126"/>
      </x:c>
      <x:c r="L1900" s="63">
        <x:f t="shared" si="129"/>
        <x:v>0</x:v>
      </x:c>
      <x:c r="M1900" s="61"/>
    </x:row>
    <x:row r="1901">
      <x:c r="A1901" s="61" t="str">
        <x:f>IF(E1901="","",MAX($A$6:A1900)+1)</x:f>
      </x:c>
      <x:c r="B1901" s="61"/>
      <x:c r="C1901" s="61"/>
      <x:c r="D1901" s="62"/>
      <x:c r="E1901" s="61"/>
      <x:c r="F1901" s="61"/>
      <x:c r="G1901" s="63"/>
      <x:c r="H1901" s="63">
        <x:f t="shared" si="127"/>
        <x:v>0</x:v>
      </x:c>
      <x:c r="I1901" s="64"/>
      <x:c r="J1901" s="63">
        <x:f t="shared" si="128"/>
        <x:v>0</x:v>
      </x:c>
      <x:c r="K1901" s="63" t="str">
        <x:f t="shared" si="126"/>
      </x:c>
      <x:c r="L1901" s="63">
        <x:f t="shared" si="129"/>
        <x:v>0</x:v>
      </x:c>
      <x:c r="M1901" s="61"/>
    </x:row>
    <x:row r="1902">
      <x:c r="A1902" s="61" t="str">
        <x:f>IF(E1902="","",MAX($A$6:A1901)+1)</x:f>
      </x:c>
      <x:c r="B1902" s="61"/>
      <x:c r="C1902" s="61"/>
      <x:c r="D1902" s="62"/>
      <x:c r="E1902" s="61"/>
      <x:c r="F1902" s="61"/>
      <x:c r="G1902" s="63"/>
      <x:c r="H1902" s="63">
        <x:f t="shared" si="127"/>
        <x:v>0</x:v>
      </x:c>
      <x:c r="I1902" s="64"/>
      <x:c r="J1902" s="63">
        <x:f t="shared" si="128"/>
        <x:v>0</x:v>
      </x:c>
      <x:c r="K1902" s="63" t="str">
        <x:f t="shared" si="126"/>
      </x:c>
      <x:c r="L1902" s="63">
        <x:f t="shared" si="129"/>
        <x:v>0</x:v>
      </x:c>
      <x:c r="M1902" s="61"/>
    </x:row>
    <x:row r="1903">
      <x:c r="A1903" s="61" t="str">
        <x:f>IF(E1903="","",MAX($A$6:A1902)+1)</x:f>
      </x:c>
      <x:c r="B1903" s="61"/>
      <x:c r="C1903" s="61"/>
      <x:c r="D1903" s="62"/>
      <x:c r="E1903" s="61"/>
      <x:c r="F1903" s="61"/>
      <x:c r="G1903" s="63"/>
      <x:c r="H1903" s="63">
        <x:f t="shared" si="127"/>
        <x:v>0</x:v>
      </x:c>
      <x:c r="I1903" s="64"/>
      <x:c r="J1903" s="63">
        <x:f t="shared" si="128"/>
        <x:v>0</x:v>
      </x:c>
      <x:c r="K1903" s="63" t="str">
        <x:f t="shared" si="126"/>
      </x:c>
      <x:c r="L1903" s="63">
        <x:f t="shared" si="129"/>
        <x:v>0</x:v>
      </x:c>
      <x:c r="M1903" s="61"/>
    </x:row>
    <x:row r="1904">
      <x:c r="A1904" s="61" t="str">
        <x:f>IF(E1904="","",MAX($A$6:A1903)+1)</x:f>
      </x:c>
      <x:c r="B1904" s="61"/>
      <x:c r="C1904" s="61"/>
      <x:c r="D1904" s="62"/>
      <x:c r="E1904" s="61"/>
      <x:c r="F1904" s="61"/>
      <x:c r="G1904" s="63"/>
      <x:c r="H1904" s="63">
        <x:f t="shared" si="127"/>
        <x:v>0</x:v>
      </x:c>
      <x:c r="I1904" s="64"/>
      <x:c r="J1904" s="63">
        <x:f t="shared" si="128"/>
        <x:v>0</x:v>
      </x:c>
      <x:c r="K1904" s="63" t="str">
        <x:f t="shared" si="126"/>
      </x:c>
      <x:c r="L1904" s="63">
        <x:f t="shared" si="129"/>
        <x:v>0</x:v>
      </x:c>
      <x:c r="M1904" s="61"/>
    </x:row>
    <x:row r="1905">
      <x:c r="A1905" s="61" t="str">
        <x:f>IF(E1905="","",MAX($A$6:A1904)+1)</x:f>
      </x:c>
      <x:c r="B1905" s="61"/>
      <x:c r="C1905" s="61"/>
      <x:c r="D1905" s="62"/>
      <x:c r="E1905" s="61"/>
      <x:c r="F1905" s="61"/>
      <x:c r="G1905" s="63"/>
      <x:c r="H1905" s="63">
        <x:f t="shared" si="127"/>
        <x:v>0</x:v>
      </x:c>
      <x:c r="I1905" s="64"/>
      <x:c r="J1905" s="63">
        <x:f t="shared" si="128"/>
        <x:v>0</x:v>
      </x:c>
      <x:c r="K1905" s="63" t="str">
        <x:f t="shared" si="126"/>
      </x:c>
      <x:c r="L1905" s="63">
        <x:f t="shared" si="129"/>
        <x:v>0</x:v>
      </x:c>
      <x:c r="M1905" s="61"/>
    </x:row>
    <x:row r="1906">
      <x:c r="A1906" s="61" t="str">
        <x:f>IF(E1906="","",MAX($A$6:A1905)+1)</x:f>
      </x:c>
      <x:c r="B1906" s="61"/>
      <x:c r="C1906" s="61"/>
      <x:c r="D1906" s="62"/>
      <x:c r="E1906" s="61"/>
      <x:c r="F1906" s="61"/>
      <x:c r="G1906" s="63"/>
      <x:c r="H1906" s="63">
        <x:f t="shared" si="127"/>
        <x:v>0</x:v>
      </x:c>
      <x:c r="I1906" s="64"/>
      <x:c r="J1906" s="63">
        <x:f t="shared" si="128"/>
        <x:v>0</x:v>
      </x:c>
      <x:c r="K1906" s="63" t="str">
        <x:f t="shared" si="126"/>
      </x:c>
      <x:c r="L1906" s="63">
        <x:f t="shared" si="129"/>
        <x:v>0</x:v>
      </x:c>
      <x:c r="M1906" s="61"/>
    </x:row>
    <x:row r="1907">
      <x:c r="A1907" s="61" t="str">
        <x:f>IF(E1907="","",MAX($A$6:A1906)+1)</x:f>
      </x:c>
      <x:c r="B1907" s="61"/>
      <x:c r="C1907" s="61"/>
      <x:c r="D1907" s="62"/>
      <x:c r="E1907" s="61"/>
      <x:c r="F1907" s="61"/>
      <x:c r="G1907" s="63"/>
      <x:c r="H1907" s="63">
        <x:f t="shared" si="127"/>
        <x:v>0</x:v>
      </x:c>
      <x:c r="I1907" s="64"/>
      <x:c r="J1907" s="63">
        <x:f t="shared" si="128"/>
        <x:v>0</x:v>
      </x:c>
      <x:c r="K1907" s="63" t="str">
        <x:f t="shared" si="126"/>
      </x:c>
      <x:c r="L1907" s="63">
        <x:f t="shared" si="129"/>
        <x:v>0</x:v>
      </x:c>
      <x:c r="M1907" s="61"/>
    </x:row>
    <x:row r="1908">
      <x:c r="A1908" s="61" t="str">
        <x:f>IF(E1908="","",MAX($A$6:A1907)+1)</x:f>
      </x:c>
      <x:c r="B1908" s="61"/>
      <x:c r="C1908" s="61"/>
      <x:c r="D1908" s="62"/>
      <x:c r="E1908" s="61"/>
      <x:c r="F1908" s="61"/>
      <x:c r="G1908" s="63"/>
      <x:c r="H1908" s="63">
        <x:f t="shared" si="127"/>
        <x:v>0</x:v>
      </x:c>
      <x:c r="I1908" s="64"/>
      <x:c r="J1908" s="63">
        <x:f t="shared" si="128"/>
        <x:v>0</x:v>
      </x:c>
      <x:c r="K1908" s="63" t="str">
        <x:f t="shared" si="126"/>
      </x:c>
      <x:c r="L1908" s="63">
        <x:f t="shared" si="129"/>
        <x:v>0</x:v>
      </x:c>
      <x:c r="M1908" s="61"/>
    </x:row>
    <x:row r="1909">
      <x:c r="A1909" s="61" t="str">
        <x:f>IF(E1909="","",MAX($A$6:A1908)+1)</x:f>
      </x:c>
      <x:c r="B1909" s="61"/>
      <x:c r="C1909" s="61"/>
      <x:c r="D1909" s="62"/>
      <x:c r="E1909" s="61"/>
      <x:c r="F1909" s="61"/>
      <x:c r="G1909" s="63"/>
      <x:c r="H1909" s="63">
        <x:f t="shared" si="127"/>
        <x:v>0</x:v>
      </x:c>
      <x:c r="I1909" s="64"/>
      <x:c r="J1909" s="63">
        <x:f t="shared" si="128"/>
        <x:v>0</x:v>
      </x:c>
      <x:c r="K1909" s="63" t="str">
        <x:f t="shared" si="126"/>
      </x:c>
      <x:c r="L1909" s="63">
        <x:f t="shared" si="129"/>
        <x:v>0</x:v>
      </x:c>
      <x:c r="M1909" s="61"/>
    </x:row>
    <x:row r="1910">
      <x:c r="A1910" s="61" t="str">
        <x:f>IF(E1910="","",MAX($A$6:A1909)+1)</x:f>
      </x:c>
      <x:c r="B1910" s="61"/>
      <x:c r="C1910" s="61"/>
      <x:c r="D1910" s="62"/>
      <x:c r="E1910" s="61"/>
      <x:c r="F1910" s="61"/>
      <x:c r="G1910" s="63"/>
      <x:c r="H1910" s="63">
        <x:f t="shared" si="127"/>
        <x:v>0</x:v>
      </x:c>
      <x:c r="I1910" s="64"/>
      <x:c r="J1910" s="63">
        <x:f t="shared" si="128"/>
        <x:v>0</x:v>
      </x:c>
      <x:c r="K1910" s="63" t="str">
        <x:f t="shared" ref="K1910:K1973" si="130">IFERROR(IF(G1910="","",MAX(1,G1910-J1910)),0)</x:f>
      </x:c>
      <x:c r="L1910" s="63">
        <x:f t="shared" si="129"/>
        <x:v>0</x:v>
      </x:c>
      <x:c r="M1910" s="61"/>
    </x:row>
    <x:row r="1911">
      <x:c r="A1911" s="61" t="str">
        <x:f>IF(E1911="","",MAX($A$6:A1910)+1)</x:f>
      </x:c>
      <x:c r="B1911" s="61"/>
      <x:c r="C1911" s="61"/>
      <x:c r="D1911" s="62"/>
      <x:c r="E1911" s="61"/>
      <x:c r="F1911" s="61"/>
      <x:c r="G1911" s="63"/>
      <x:c r="H1911" s="63">
        <x:f t="shared" si="127"/>
        <x:v>0</x:v>
      </x:c>
      <x:c r="I1911" s="64"/>
      <x:c r="J1911" s="63">
        <x:f t="shared" si="128"/>
        <x:v>0</x:v>
      </x:c>
      <x:c r="K1911" s="63" t="str">
        <x:f t="shared" si="130"/>
      </x:c>
      <x:c r="L1911" s="63">
        <x:f t="shared" si="129"/>
        <x:v>0</x:v>
      </x:c>
      <x:c r="M1911" s="61"/>
    </x:row>
    <x:row r="1912">
      <x:c r="A1912" s="61" t="str">
        <x:f>IF(E1912="","",MAX($A$6:A1911)+1)</x:f>
      </x:c>
      <x:c r="B1912" s="61"/>
      <x:c r="C1912" s="61"/>
      <x:c r="D1912" s="62"/>
      <x:c r="E1912" s="61"/>
      <x:c r="F1912" s="61"/>
      <x:c r="G1912" s="63"/>
      <x:c r="H1912" s="63">
        <x:f t="shared" si="127"/>
        <x:v>0</x:v>
      </x:c>
      <x:c r="I1912" s="64"/>
      <x:c r="J1912" s="63">
        <x:f t="shared" si="128"/>
        <x:v>0</x:v>
      </x:c>
      <x:c r="K1912" s="63" t="str">
        <x:f t="shared" si="130"/>
      </x:c>
      <x:c r="L1912" s="63">
        <x:f t="shared" si="129"/>
        <x:v>0</x:v>
      </x:c>
      <x:c r="M1912" s="61"/>
    </x:row>
    <x:row r="1913">
      <x:c r="A1913" s="61" t="str">
        <x:f>IF(E1913="","",MAX($A$6:A1912)+1)</x:f>
      </x:c>
      <x:c r="B1913" s="61"/>
      <x:c r="C1913" s="61"/>
      <x:c r="D1913" s="62"/>
      <x:c r="E1913" s="61"/>
      <x:c r="F1913" s="61"/>
      <x:c r="G1913" s="63"/>
      <x:c r="H1913" s="63">
        <x:f t="shared" si="127"/>
        <x:v>0</x:v>
      </x:c>
      <x:c r="I1913" s="64"/>
      <x:c r="J1913" s="63">
        <x:f t="shared" si="128"/>
        <x:v>0</x:v>
      </x:c>
      <x:c r="K1913" s="63" t="str">
        <x:f t="shared" si="130"/>
      </x:c>
      <x:c r="L1913" s="63">
        <x:f t="shared" si="129"/>
        <x:v>0</x:v>
      </x:c>
      <x:c r="M1913" s="61"/>
    </x:row>
    <x:row r="1914">
      <x:c r="A1914" s="61" t="str">
        <x:f>IF(E1914="","",MAX($A$6:A1913)+1)</x:f>
      </x:c>
      <x:c r="B1914" s="61"/>
      <x:c r="C1914" s="61"/>
      <x:c r="D1914" s="62"/>
      <x:c r="E1914" s="61"/>
      <x:c r="F1914" s="61"/>
      <x:c r="G1914" s="63"/>
      <x:c r="H1914" s="63">
        <x:f t="shared" si="127"/>
        <x:v>0</x:v>
      </x:c>
      <x:c r="I1914" s="64"/>
      <x:c r="J1914" s="63">
        <x:f t="shared" si="128"/>
        <x:v>0</x:v>
      </x:c>
      <x:c r="K1914" s="63" t="str">
        <x:f t="shared" si="130"/>
      </x:c>
      <x:c r="L1914" s="63">
        <x:f t="shared" si="129"/>
        <x:v>0</x:v>
      </x:c>
      <x:c r="M1914" s="61"/>
    </x:row>
    <x:row r="1915">
      <x:c r="A1915" s="61" t="str">
        <x:f>IF(E1915="","",MAX($A$6:A1914)+1)</x:f>
      </x:c>
      <x:c r="B1915" s="61"/>
      <x:c r="C1915" s="61"/>
      <x:c r="D1915" s="62"/>
      <x:c r="E1915" s="61"/>
      <x:c r="F1915" s="61"/>
      <x:c r="G1915" s="63"/>
      <x:c r="H1915" s="63">
        <x:f t="shared" si="127"/>
        <x:v>0</x:v>
      </x:c>
      <x:c r="I1915" s="64"/>
      <x:c r="J1915" s="63">
        <x:f t="shared" si="128"/>
        <x:v>0</x:v>
      </x:c>
      <x:c r="K1915" s="63" t="str">
        <x:f t="shared" si="130"/>
      </x:c>
      <x:c r="L1915" s="63">
        <x:f t="shared" si="129"/>
        <x:v>0</x:v>
      </x:c>
      <x:c r="M1915" s="61"/>
    </x:row>
    <x:row r="1916">
      <x:c r="A1916" s="61" t="str">
        <x:f>IF(E1916="","",MAX($A$6:A1915)+1)</x:f>
      </x:c>
      <x:c r="B1916" s="61"/>
      <x:c r="C1916" s="61"/>
      <x:c r="D1916" s="62"/>
      <x:c r="E1916" s="61"/>
      <x:c r="F1916" s="61"/>
      <x:c r="G1916" s="63"/>
      <x:c r="H1916" s="63">
        <x:f t="shared" si="127"/>
        <x:v>0</x:v>
      </x:c>
      <x:c r="I1916" s="64"/>
      <x:c r="J1916" s="63">
        <x:f t="shared" si="128"/>
        <x:v>0</x:v>
      </x:c>
      <x:c r="K1916" s="63" t="str">
        <x:f t="shared" si="130"/>
      </x:c>
      <x:c r="L1916" s="63">
        <x:f t="shared" si="129"/>
        <x:v>0</x:v>
      </x:c>
      <x:c r="M1916" s="61"/>
    </x:row>
    <x:row r="1917">
      <x:c r="A1917" s="61" t="str">
        <x:f>IF(E1917="","",MAX($A$6:A1916)+1)</x:f>
      </x:c>
      <x:c r="B1917" s="61"/>
      <x:c r="C1917" s="61"/>
      <x:c r="D1917" s="62"/>
      <x:c r="E1917" s="61"/>
      <x:c r="F1917" s="61"/>
      <x:c r="G1917" s="63"/>
      <x:c r="H1917" s="63">
        <x:f t="shared" si="127"/>
        <x:v>0</x:v>
      </x:c>
      <x:c r="I1917" s="64"/>
      <x:c r="J1917" s="63">
        <x:f t="shared" si="128"/>
        <x:v>0</x:v>
      </x:c>
      <x:c r="K1917" s="63" t="str">
        <x:f t="shared" si="130"/>
      </x:c>
      <x:c r="L1917" s="63">
        <x:f t="shared" si="129"/>
        <x:v>0</x:v>
      </x:c>
      <x:c r="M1917" s="61"/>
    </x:row>
    <x:row r="1918">
      <x:c r="A1918" s="61" t="str">
        <x:f>IF(E1918="","",MAX($A$6:A1917)+1)</x:f>
      </x:c>
      <x:c r="B1918" s="61"/>
      <x:c r="C1918" s="61"/>
      <x:c r="D1918" s="62"/>
      <x:c r="E1918" s="61"/>
      <x:c r="F1918" s="61"/>
      <x:c r="G1918" s="63"/>
      <x:c r="H1918" s="63">
        <x:f t="shared" si="127"/>
        <x:v>0</x:v>
      </x:c>
      <x:c r="I1918" s="64"/>
      <x:c r="J1918" s="63">
        <x:f t="shared" si="128"/>
        <x:v>0</x:v>
      </x:c>
      <x:c r="K1918" s="63" t="str">
        <x:f t="shared" si="130"/>
      </x:c>
      <x:c r="L1918" s="63">
        <x:f t="shared" si="129"/>
        <x:v>0</x:v>
      </x:c>
      <x:c r="M1918" s="61"/>
    </x:row>
    <x:row r="1919">
      <x:c r="A1919" s="61" t="str">
        <x:f>IF(E1919="","",MAX($A$6:A1918)+1)</x:f>
      </x:c>
      <x:c r="B1919" s="61"/>
      <x:c r="C1919" s="61"/>
      <x:c r="D1919" s="62"/>
      <x:c r="E1919" s="61"/>
      <x:c r="F1919" s="61"/>
      <x:c r="G1919" s="63"/>
      <x:c r="H1919" s="63">
        <x:f t="shared" si="127"/>
        <x:v>0</x:v>
      </x:c>
      <x:c r="I1919" s="64"/>
      <x:c r="J1919" s="63">
        <x:f t="shared" si="128"/>
        <x:v>0</x:v>
      </x:c>
      <x:c r="K1919" s="63" t="str">
        <x:f t="shared" si="130"/>
      </x:c>
      <x:c r="L1919" s="63">
        <x:f t="shared" si="129"/>
        <x:v>0</x:v>
      </x:c>
      <x:c r="M1919" s="61"/>
    </x:row>
    <x:row r="1920">
      <x:c r="A1920" s="61" t="str">
        <x:f>IF(E1920="","",MAX($A$6:A1919)+1)</x:f>
      </x:c>
      <x:c r="B1920" s="61"/>
      <x:c r="C1920" s="61"/>
      <x:c r="D1920" s="62"/>
      <x:c r="E1920" s="61"/>
      <x:c r="F1920" s="61"/>
      <x:c r="G1920" s="63"/>
      <x:c r="H1920" s="63">
        <x:f t="shared" si="127"/>
        <x:v>0</x:v>
      </x:c>
      <x:c r="I1920" s="64"/>
      <x:c r="J1920" s="63">
        <x:f t="shared" si="128"/>
        <x:v>0</x:v>
      </x:c>
      <x:c r="K1920" s="63" t="str">
        <x:f t="shared" si="130"/>
      </x:c>
      <x:c r="L1920" s="63">
        <x:f t="shared" si="129"/>
        <x:v>0</x:v>
      </x:c>
      <x:c r="M1920" s="61"/>
    </x:row>
    <x:row r="1921">
      <x:c r="A1921" s="61" t="str">
        <x:f>IF(E1921="","",MAX($A$6:A1920)+1)</x:f>
      </x:c>
      <x:c r="B1921" s="61"/>
      <x:c r="C1921" s="61"/>
      <x:c r="D1921" s="62"/>
      <x:c r="E1921" s="61"/>
      <x:c r="F1921" s="61"/>
      <x:c r="G1921" s="63"/>
      <x:c r="H1921" s="63">
        <x:f t="shared" si="127"/>
        <x:v>0</x:v>
      </x:c>
      <x:c r="I1921" s="64"/>
      <x:c r="J1921" s="63">
        <x:f t="shared" si="128"/>
        <x:v>0</x:v>
      </x:c>
      <x:c r="K1921" s="63" t="str">
        <x:f t="shared" si="130"/>
      </x:c>
      <x:c r="L1921" s="63">
        <x:f t="shared" si="129"/>
        <x:v>0</x:v>
      </x:c>
      <x:c r="M1921" s="61"/>
    </x:row>
    <x:row r="1922">
      <x:c r="A1922" s="61" t="str">
        <x:f>IF(E1922="","",MAX($A$6:A1921)+1)</x:f>
      </x:c>
      <x:c r="B1922" s="61"/>
      <x:c r="C1922" s="61"/>
      <x:c r="D1922" s="62"/>
      <x:c r="E1922" s="61"/>
      <x:c r="F1922" s="61"/>
      <x:c r="G1922" s="63"/>
      <x:c r="H1922" s="63">
        <x:f t="shared" si="127"/>
        <x:v>0</x:v>
      </x:c>
      <x:c r="I1922" s="64"/>
      <x:c r="J1922" s="63">
        <x:f t="shared" si="128"/>
        <x:v>0</x:v>
      </x:c>
      <x:c r="K1922" s="63" t="str">
        <x:f t="shared" si="130"/>
      </x:c>
      <x:c r="L1922" s="63">
        <x:f t="shared" si="129"/>
        <x:v>0</x:v>
      </x:c>
      <x:c r="M1922" s="61"/>
    </x:row>
    <x:row r="1923">
      <x:c r="A1923" s="61" t="str">
        <x:f>IF(E1923="","",MAX($A$6:A1922)+1)</x:f>
      </x:c>
      <x:c r="B1923" s="61"/>
      <x:c r="C1923" s="61"/>
      <x:c r="D1923" s="62"/>
      <x:c r="E1923" s="61"/>
      <x:c r="F1923" s="61"/>
      <x:c r="G1923" s="63"/>
      <x:c r="H1923" s="63">
        <x:f t="shared" si="127"/>
        <x:v>0</x:v>
      </x:c>
      <x:c r="I1923" s="64"/>
      <x:c r="J1923" s="63">
        <x:f t="shared" si="128"/>
        <x:v>0</x:v>
      </x:c>
      <x:c r="K1923" s="63" t="str">
        <x:f t="shared" si="130"/>
      </x:c>
      <x:c r="L1923" s="63">
        <x:f t="shared" si="129"/>
        <x:v>0</x:v>
      </x:c>
      <x:c r="M1923" s="61"/>
    </x:row>
    <x:row r="1924">
      <x:c r="A1924" s="61" t="str">
        <x:f>IF(E1924="","",MAX($A$6:A1923)+1)</x:f>
      </x:c>
      <x:c r="B1924" s="61"/>
      <x:c r="C1924" s="61"/>
      <x:c r="D1924" s="62"/>
      <x:c r="E1924" s="61"/>
      <x:c r="F1924" s="61"/>
      <x:c r="G1924" s="63"/>
      <x:c r="H1924" s="63">
        <x:f t="shared" si="127"/>
        <x:v>0</x:v>
      </x:c>
      <x:c r="I1924" s="64"/>
      <x:c r="J1924" s="63">
        <x:f t="shared" si="128"/>
        <x:v>0</x:v>
      </x:c>
      <x:c r="K1924" s="63" t="str">
        <x:f t="shared" si="130"/>
      </x:c>
      <x:c r="L1924" s="63">
        <x:f t="shared" si="129"/>
        <x:v>0</x:v>
      </x:c>
      <x:c r="M1924" s="61"/>
    </x:row>
    <x:row r="1925">
      <x:c r="A1925" s="61" t="str">
        <x:f>IF(E1925="","",MAX($A$6:A1924)+1)</x:f>
      </x:c>
      <x:c r="B1925" s="61"/>
      <x:c r="C1925" s="61"/>
      <x:c r="D1925" s="62"/>
      <x:c r="E1925" s="61"/>
      <x:c r="F1925" s="61"/>
      <x:c r="G1925" s="63"/>
      <x:c r="H1925" s="63">
        <x:f t="shared" si="127"/>
        <x:v>0</x:v>
      </x:c>
      <x:c r="I1925" s="64"/>
      <x:c r="J1925" s="63">
        <x:f t="shared" si="128"/>
        <x:v>0</x:v>
      </x:c>
      <x:c r="K1925" s="63" t="str">
        <x:f t="shared" si="130"/>
      </x:c>
      <x:c r="L1925" s="63">
        <x:f t="shared" si="129"/>
        <x:v>0</x:v>
      </x:c>
      <x:c r="M1925" s="61"/>
    </x:row>
    <x:row r="1926">
      <x:c r="A1926" s="61" t="str">
        <x:f>IF(E1926="","",MAX($A$6:A1925)+1)</x:f>
      </x:c>
      <x:c r="B1926" s="61"/>
      <x:c r="C1926" s="61"/>
      <x:c r="D1926" s="62"/>
      <x:c r="E1926" s="61"/>
      <x:c r="F1926" s="61"/>
      <x:c r="G1926" s="63"/>
      <x:c r="H1926" s="63" t="n">
        <x:f t="shared" ref="H1926:H1989" si="131">IFERROR(IF(OR($F$1="",D1926=""),0,MAX(0,$F$1-D1926)),0)</x:f>
        <x:v>0</x:v>
      </x:c>
      <x:c r="I1926" s="64"/>
      <x:c r="J1926" s="63" t="n">
        <x:f t="shared" ref="J1926:J1989" si="132">IFERROR(IF(OR(G1926="",I1926="",D1926="",$F$1=""),0,IF($F$1&lt;D1926,0,MIN(MAX(G1926-1,0),MAX(0,(G1926*I1926/365)*H1926)))),0)</x:f>
        <x:v>0</x:v>
      </x:c>
      <x:c r="K1926" s="63" t="str">
        <x:f t="shared" si="130"/>
      </x:c>
      <x:c r="L1926" s="63" t="n">
        <x:f t="shared" ref="L1926:L1989" si="133">IFERROR(IF(OR(G1926="",I1926="",D1926="",$F$1=""),0,IF($F$1&lt;D1926,0,IF(K1926&lt;=1,0,MIN(G1926*I1926/12,K1926-1)))),0)</x:f>
        <x:v>0</x:v>
      </x:c>
      <x:c r="M1926" s="61"/>
    </x:row>
    <x:row r="1927">
      <x:c r="A1927" s="61" t="str">
        <x:f>IF(E1927="","",MAX($A$6:A1926)+1)</x:f>
      </x:c>
      <x:c r="B1927" s="61"/>
      <x:c r="C1927" s="61"/>
      <x:c r="D1927" s="62"/>
      <x:c r="E1927" s="61"/>
      <x:c r="F1927" s="61"/>
      <x:c r="G1927" s="63"/>
      <x:c r="H1927" s="63">
        <x:f t="shared" si="131"/>
        <x:v>0</x:v>
      </x:c>
      <x:c r="I1927" s="64"/>
      <x:c r="J1927" s="63">
        <x:f t="shared" si="132"/>
        <x:v>0</x:v>
      </x:c>
      <x:c r="K1927" s="63" t="str">
        <x:f t="shared" si="130"/>
      </x:c>
      <x:c r="L1927" s="63">
        <x:f t="shared" si="133"/>
        <x:v>0</x:v>
      </x:c>
      <x:c r="M1927" s="61"/>
    </x:row>
    <x:row r="1928">
      <x:c r="A1928" s="61" t="str">
        <x:f>IF(E1928="","",MAX($A$6:A1927)+1)</x:f>
      </x:c>
      <x:c r="B1928" s="61"/>
      <x:c r="C1928" s="61"/>
      <x:c r="D1928" s="62"/>
      <x:c r="E1928" s="61"/>
      <x:c r="F1928" s="61"/>
      <x:c r="G1928" s="63"/>
      <x:c r="H1928" s="63">
        <x:f t="shared" si="131"/>
        <x:v>0</x:v>
      </x:c>
      <x:c r="I1928" s="64"/>
      <x:c r="J1928" s="63">
        <x:f t="shared" si="132"/>
        <x:v>0</x:v>
      </x:c>
      <x:c r="K1928" s="63" t="str">
        <x:f t="shared" si="130"/>
      </x:c>
      <x:c r="L1928" s="63">
        <x:f t="shared" si="133"/>
        <x:v>0</x:v>
      </x:c>
      <x:c r="M1928" s="61"/>
    </x:row>
    <x:row r="1929">
      <x:c r="A1929" s="61" t="str">
        <x:f>IF(E1929="","",MAX($A$6:A1928)+1)</x:f>
      </x:c>
      <x:c r="B1929" s="61"/>
      <x:c r="C1929" s="61"/>
      <x:c r="D1929" s="62"/>
      <x:c r="E1929" s="61"/>
      <x:c r="F1929" s="61"/>
      <x:c r="G1929" s="63"/>
      <x:c r="H1929" s="63">
        <x:f t="shared" si="131"/>
        <x:v>0</x:v>
      </x:c>
      <x:c r="I1929" s="64"/>
      <x:c r="J1929" s="63">
        <x:f t="shared" si="132"/>
        <x:v>0</x:v>
      </x:c>
      <x:c r="K1929" s="63" t="str">
        <x:f t="shared" si="130"/>
      </x:c>
      <x:c r="L1929" s="63">
        <x:f t="shared" si="133"/>
        <x:v>0</x:v>
      </x:c>
      <x:c r="M1929" s="61"/>
    </x:row>
    <x:row r="1930">
      <x:c r="A1930" s="61" t="str">
        <x:f>IF(E1930="","",MAX($A$6:A1929)+1)</x:f>
      </x:c>
      <x:c r="B1930" s="61"/>
      <x:c r="C1930" s="61"/>
      <x:c r="D1930" s="62"/>
      <x:c r="E1930" s="61"/>
      <x:c r="F1930" s="61"/>
      <x:c r="G1930" s="63"/>
      <x:c r="H1930" s="63">
        <x:f t="shared" si="131"/>
        <x:v>0</x:v>
      </x:c>
      <x:c r="I1930" s="64"/>
      <x:c r="J1930" s="63">
        <x:f t="shared" si="132"/>
        <x:v>0</x:v>
      </x:c>
      <x:c r="K1930" s="63" t="str">
        <x:f t="shared" si="130"/>
      </x:c>
      <x:c r="L1930" s="63">
        <x:f t="shared" si="133"/>
        <x:v>0</x:v>
      </x:c>
      <x:c r="M1930" s="61"/>
    </x:row>
    <x:row r="1931">
      <x:c r="A1931" s="61" t="str">
        <x:f>IF(E1931="","",MAX($A$6:A1930)+1)</x:f>
      </x:c>
      <x:c r="B1931" s="61"/>
      <x:c r="C1931" s="61"/>
      <x:c r="D1931" s="62"/>
      <x:c r="E1931" s="61"/>
      <x:c r="F1931" s="61"/>
      <x:c r="G1931" s="63"/>
      <x:c r="H1931" s="63">
        <x:f t="shared" si="131"/>
        <x:v>0</x:v>
      </x:c>
      <x:c r="I1931" s="64"/>
      <x:c r="J1931" s="63">
        <x:f t="shared" si="132"/>
        <x:v>0</x:v>
      </x:c>
      <x:c r="K1931" s="63" t="str">
        <x:f t="shared" si="130"/>
      </x:c>
      <x:c r="L1931" s="63">
        <x:f t="shared" si="133"/>
        <x:v>0</x:v>
      </x:c>
      <x:c r="M1931" s="61"/>
    </x:row>
    <x:row r="1932">
      <x:c r="A1932" s="61" t="str">
        <x:f>IF(E1932="","",MAX($A$6:A1931)+1)</x:f>
      </x:c>
      <x:c r="B1932" s="61"/>
      <x:c r="C1932" s="61"/>
      <x:c r="D1932" s="62"/>
      <x:c r="E1932" s="61"/>
      <x:c r="F1932" s="61"/>
      <x:c r="G1932" s="63"/>
      <x:c r="H1932" s="63">
        <x:f t="shared" si="131"/>
        <x:v>0</x:v>
      </x:c>
      <x:c r="I1932" s="64"/>
      <x:c r="J1932" s="63">
        <x:f t="shared" si="132"/>
        <x:v>0</x:v>
      </x:c>
      <x:c r="K1932" s="63" t="str">
        <x:f t="shared" si="130"/>
      </x:c>
      <x:c r="L1932" s="63">
        <x:f t="shared" si="133"/>
        <x:v>0</x:v>
      </x:c>
      <x:c r="M1932" s="61"/>
    </x:row>
    <x:row r="1933">
      <x:c r="A1933" s="61" t="str">
        <x:f>IF(E1933="","",MAX($A$6:A1932)+1)</x:f>
      </x:c>
      <x:c r="B1933" s="61"/>
      <x:c r="C1933" s="61"/>
      <x:c r="D1933" s="62"/>
      <x:c r="E1933" s="61"/>
      <x:c r="F1933" s="61"/>
      <x:c r="G1933" s="63"/>
      <x:c r="H1933" s="63">
        <x:f t="shared" si="131"/>
        <x:v>0</x:v>
      </x:c>
      <x:c r="I1933" s="64"/>
      <x:c r="J1933" s="63">
        <x:f t="shared" si="132"/>
        <x:v>0</x:v>
      </x:c>
      <x:c r="K1933" s="63" t="str">
        <x:f t="shared" si="130"/>
      </x:c>
      <x:c r="L1933" s="63">
        <x:f t="shared" si="133"/>
        <x:v>0</x:v>
      </x:c>
      <x:c r="M1933" s="61"/>
    </x:row>
    <x:row r="1934">
      <x:c r="A1934" s="61" t="str">
        <x:f>IF(E1934="","",MAX($A$6:A1933)+1)</x:f>
      </x:c>
      <x:c r="B1934" s="61"/>
      <x:c r="C1934" s="61"/>
      <x:c r="D1934" s="62"/>
      <x:c r="E1934" s="61"/>
      <x:c r="F1934" s="61"/>
      <x:c r="G1934" s="63"/>
      <x:c r="H1934" s="63">
        <x:f t="shared" si="131"/>
        <x:v>0</x:v>
      </x:c>
      <x:c r="I1934" s="64"/>
      <x:c r="J1934" s="63">
        <x:f t="shared" si="132"/>
        <x:v>0</x:v>
      </x:c>
      <x:c r="K1934" s="63" t="str">
        <x:f t="shared" si="130"/>
      </x:c>
      <x:c r="L1934" s="63">
        <x:f t="shared" si="133"/>
        <x:v>0</x:v>
      </x:c>
      <x:c r="M1934" s="61"/>
    </x:row>
    <x:row r="1935">
      <x:c r="A1935" s="61" t="str">
        <x:f>IF(E1935="","",MAX($A$6:A1934)+1)</x:f>
      </x:c>
      <x:c r="B1935" s="61"/>
      <x:c r="C1935" s="61"/>
      <x:c r="D1935" s="62"/>
      <x:c r="E1935" s="61"/>
      <x:c r="F1935" s="61"/>
      <x:c r="G1935" s="63"/>
      <x:c r="H1935" s="63">
        <x:f t="shared" si="131"/>
        <x:v>0</x:v>
      </x:c>
      <x:c r="I1935" s="64"/>
      <x:c r="J1935" s="63">
        <x:f t="shared" si="132"/>
        <x:v>0</x:v>
      </x:c>
      <x:c r="K1935" s="63" t="str">
        <x:f t="shared" si="130"/>
      </x:c>
      <x:c r="L1935" s="63">
        <x:f t="shared" si="133"/>
        <x:v>0</x:v>
      </x:c>
      <x:c r="M1935" s="61"/>
    </x:row>
    <x:row r="1936">
      <x:c r="A1936" s="61" t="str">
        <x:f>IF(E1936="","",MAX($A$6:A1935)+1)</x:f>
      </x:c>
      <x:c r="B1936" s="61"/>
      <x:c r="C1936" s="61"/>
      <x:c r="D1936" s="62"/>
      <x:c r="E1936" s="61"/>
      <x:c r="F1936" s="61"/>
      <x:c r="G1936" s="63"/>
      <x:c r="H1936" s="63">
        <x:f t="shared" si="131"/>
        <x:v>0</x:v>
      </x:c>
      <x:c r="I1936" s="64"/>
      <x:c r="J1936" s="63">
        <x:f t="shared" si="132"/>
        <x:v>0</x:v>
      </x:c>
      <x:c r="K1936" s="63" t="str">
        <x:f t="shared" si="130"/>
      </x:c>
      <x:c r="L1936" s="63">
        <x:f t="shared" si="133"/>
        <x:v>0</x:v>
      </x:c>
      <x:c r="M1936" s="61"/>
    </x:row>
    <x:row r="1937">
      <x:c r="A1937" s="61" t="str">
        <x:f>IF(E1937="","",MAX($A$6:A1936)+1)</x:f>
      </x:c>
      <x:c r="B1937" s="61"/>
      <x:c r="C1937" s="61"/>
      <x:c r="D1937" s="62"/>
      <x:c r="E1937" s="61"/>
      <x:c r="F1937" s="61"/>
      <x:c r="G1937" s="63"/>
      <x:c r="H1937" s="63">
        <x:f t="shared" si="131"/>
        <x:v>0</x:v>
      </x:c>
      <x:c r="I1937" s="64"/>
      <x:c r="J1937" s="63">
        <x:f t="shared" si="132"/>
        <x:v>0</x:v>
      </x:c>
      <x:c r="K1937" s="63" t="str">
        <x:f t="shared" si="130"/>
      </x:c>
      <x:c r="L1937" s="63">
        <x:f t="shared" si="133"/>
        <x:v>0</x:v>
      </x:c>
      <x:c r="M1937" s="61"/>
    </x:row>
    <x:row r="1938">
      <x:c r="A1938" s="61" t="str">
        <x:f>IF(E1938="","",MAX($A$6:A1937)+1)</x:f>
      </x:c>
      <x:c r="B1938" s="61"/>
      <x:c r="C1938" s="61"/>
      <x:c r="D1938" s="62"/>
      <x:c r="E1938" s="61"/>
      <x:c r="F1938" s="61"/>
      <x:c r="G1938" s="63"/>
      <x:c r="H1938" s="63">
        <x:f t="shared" si="131"/>
        <x:v>0</x:v>
      </x:c>
      <x:c r="I1938" s="64"/>
      <x:c r="J1938" s="63">
        <x:f t="shared" si="132"/>
        <x:v>0</x:v>
      </x:c>
      <x:c r="K1938" s="63" t="str">
        <x:f t="shared" si="130"/>
      </x:c>
      <x:c r="L1938" s="63">
        <x:f t="shared" si="133"/>
        <x:v>0</x:v>
      </x:c>
      <x:c r="M1938" s="61"/>
    </x:row>
    <x:row r="1939">
      <x:c r="A1939" s="61" t="str">
        <x:f>IF(E1939="","",MAX($A$6:A1938)+1)</x:f>
      </x:c>
      <x:c r="B1939" s="61"/>
      <x:c r="C1939" s="61"/>
      <x:c r="D1939" s="62"/>
      <x:c r="E1939" s="61"/>
      <x:c r="F1939" s="61"/>
      <x:c r="G1939" s="63"/>
      <x:c r="H1939" s="63">
        <x:f t="shared" si="131"/>
        <x:v>0</x:v>
      </x:c>
      <x:c r="I1939" s="64"/>
      <x:c r="J1939" s="63">
        <x:f t="shared" si="132"/>
        <x:v>0</x:v>
      </x:c>
      <x:c r="K1939" s="63" t="str">
        <x:f t="shared" si="130"/>
      </x:c>
      <x:c r="L1939" s="63">
        <x:f t="shared" si="133"/>
        <x:v>0</x:v>
      </x:c>
      <x:c r="M1939" s="61"/>
    </x:row>
    <x:row r="1940">
      <x:c r="A1940" s="61" t="str">
        <x:f>IF(E1940="","",MAX($A$6:A1939)+1)</x:f>
      </x:c>
      <x:c r="B1940" s="61"/>
      <x:c r="C1940" s="61"/>
      <x:c r="D1940" s="62"/>
      <x:c r="E1940" s="61"/>
      <x:c r="F1940" s="61"/>
      <x:c r="G1940" s="63"/>
      <x:c r="H1940" s="63">
        <x:f t="shared" si="131"/>
        <x:v>0</x:v>
      </x:c>
      <x:c r="I1940" s="64"/>
      <x:c r="J1940" s="63">
        <x:f t="shared" si="132"/>
        <x:v>0</x:v>
      </x:c>
      <x:c r="K1940" s="63" t="str">
        <x:f t="shared" si="130"/>
      </x:c>
      <x:c r="L1940" s="63">
        <x:f t="shared" si="133"/>
        <x:v>0</x:v>
      </x:c>
      <x:c r="M1940" s="61"/>
    </x:row>
    <x:row r="1941">
      <x:c r="A1941" s="61" t="str">
        <x:f>IF(E1941="","",MAX($A$6:A1940)+1)</x:f>
      </x:c>
      <x:c r="B1941" s="61"/>
      <x:c r="C1941" s="61"/>
      <x:c r="D1941" s="62"/>
      <x:c r="E1941" s="61"/>
      <x:c r="F1941" s="61"/>
      <x:c r="G1941" s="63"/>
      <x:c r="H1941" s="63">
        <x:f t="shared" si="131"/>
        <x:v>0</x:v>
      </x:c>
      <x:c r="I1941" s="64"/>
      <x:c r="J1941" s="63">
        <x:f t="shared" si="132"/>
        <x:v>0</x:v>
      </x:c>
      <x:c r="K1941" s="63" t="str">
        <x:f t="shared" si="130"/>
      </x:c>
      <x:c r="L1941" s="63">
        <x:f t="shared" si="133"/>
        <x:v>0</x:v>
      </x:c>
      <x:c r="M1941" s="61"/>
    </x:row>
    <x:row r="1942">
      <x:c r="A1942" s="61" t="str">
        <x:f>IF(E1942="","",MAX($A$6:A1941)+1)</x:f>
      </x:c>
      <x:c r="B1942" s="61"/>
      <x:c r="C1942" s="61"/>
      <x:c r="D1942" s="62"/>
      <x:c r="E1942" s="61"/>
      <x:c r="F1942" s="61"/>
      <x:c r="G1942" s="63"/>
      <x:c r="H1942" s="63">
        <x:f t="shared" si="131"/>
        <x:v>0</x:v>
      </x:c>
      <x:c r="I1942" s="64"/>
      <x:c r="J1942" s="63">
        <x:f t="shared" si="132"/>
        <x:v>0</x:v>
      </x:c>
      <x:c r="K1942" s="63" t="str">
        <x:f t="shared" si="130"/>
      </x:c>
      <x:c r="L1942" s="63">
        <x:f t="shared" si="133"/>
        <x:v>0</x:v>
      </x:c>
      <x:c r="M1942" s="61"/>
    </x:row>
    <x:row r="1943">
      <x:c r="A1943" s="61" t="str">
        <x:f>IF(E1943="","",MAX($A$6:A1942)+1)</x:f>
      </x:c>
      <x:c r="B1943" s="61"/>
      <x:c r="C1943" s="61"/>
      <x:c r="D1943" s="62"/>
      <x:c r="E1943" s="61"/>
      <x:c r="F1943" s="61"/>
      <x:c r="G1943" s="63"/>
      <x:c r="H1943" s="63">
        <x:f t="shared" si="131"/>
        <x:v>0</x:v>
      </x:c>
      <x:c r="I1943" s="64"/>
      <x:c r="J1943" s="63">
        <x:f t="shared" si="132"/>
        <x:v>0</x:v>
      </x:c>
      <x:c r="K1943" s="63" t="str">
        <x:f t="shared" si="130"/>
      </x:c>
      <x:c r="L1943" s="63">
        <x:f t="shared" si="133"/>
        <x:v>0</x:v>
      </x:c>
      <x:c r="M1943" s="61"/>
    </x:row>
    <x:row r="1944">
      <x:c r="A1944" s="61" t="str">
        <x:f>IF(E1944="","",MAX($A$6:A1943)+1)</x:f>
      </x:c>
      <x:c r="B1944" s="61"/>
      <x:c r="C1944" s="61"/>
      <x:c r="D1944" s="62"/>
      <x:c r="E1944" s="61"/>
      <x:c r="F1944" s="61"/>
      <x:c r="G1944" s="63"/>
      <x:c r="H1944" s="63">
        <x:f t="shared" si="131"/>
        <x:v>0</x:v>
      </x:c>
      <x:c r="I1944" s="64"/>
      <x:c r="J1944" s="63">
        <x:f t="shared" si="132"/>
        <x:v>0</x:v>
      </x:c>
      <x:c r="K1944" s="63" t="str">
        <x:f t="shared" si="130"/>
      </x:c>
      <x:c r="L1944" s="63">
        <x:f t="shared" si="133"/>
        <x:v>0</x:v>
      </x:c>
      <x:c r="M1944" s="61"/>
    </x:row>
    <x:row r="1945">
      <x:c r="A1945" s="61" t="str">
        <x:f>IF(E1945="","",MAX($A$6:A1944)+1)</x:f>
      </x:c>
      <x:c r="B1945" s="61"/>
      <x:c r="C1945" s="61"/>
      <x:c r="D1945" s="62"/>
      <x:c r="E1945" s="61"/>
      <x:c r="F1945" s="61"/>
      <x:c r="G1945" s="63"/>
      <x:c r="H1945" s="63">
        <x:f t="shared" si="131"/>
        <x:v>0</x:v>
      </x:c>
      <x:c r="I1945" s="64"/>
      <x:c r="J1945" s="63">
        <x:f t="shared" si="132"/>
        <x:v>0</x:v>
      </x:c>
      <x:c r="K1945" s="63" t="str">
        <x:f t="shared" si="130"/>
      </x:c>
      <x:c r="L1945" s="63">
        <x:f t="shared" si="133"/>
        <x:v>0</x:v>
      </x:c>
      <x:c r="M1945" s="61"/>
    </x:row>
    <x:row r="1946">
      <x:c r="A1946" s="61" t="str">
        <x:f>IF(E1946="","",MAX($A$6:A1945)+1)</x:f>
      </x:c>
      <x:c r="B1946" s="61"/>
      <x:c r="C1946" s="61"/>
      <x:c r="D1946" s="62"/>
      <x:c r="E1946" s="61"/>
      <x:c r="F1946" s="61"/>
      <x:c r="G1946" s="63"/>
      <x:c r="H1946" s="63">
        <x:f t="shared" si="131"/>
        <x:v>0</x:v>
      </x:c>
      <x:c r="I1946" s="64"/>
      <x:c r="J1946" s="63">
        <x:f t="shared" si="132"/>
        <x:v>0</x:v>
      </x:c>
      <x:c r="K1946" s="63" t="str">
        <x:f t="shared" si="130"/>
      </x:c>
      <x:c r="L1946" s="63">
        <x:f t="shared" si="133"/>
        <x:v>0</x:v>
      </x:c>
      <x:c r="M1946" s="61"/>
    </x:row>
    <x:row r="1947">
      <x:c r="A1947" s="61" t="str">
        <x:f>IF(E1947="","",MAX($A$6:A1946)+1)</x:f>
      </x:c>
      <x:c r="B1947" s="61"/>
      <x:c r="C1947" s="61"/>
      <x:c r="D1947" s="62"/>
      <x:c r="E1947" s="61"/>
      <x:c r="F1947" s="61"/>
      <x:c r="G1947" s="63"/>
      <x:c r="H1947" s="63">
        <x:f t="shared" si="131"/>
        <x:v>0</x:v>
      </x:c>
      <x:c r="I1947" s="64"/>
      <x:c r="J1947" s="63">
        <x:f t="shared" si="132"/>
        <x:v>0</x:v>
      </x:c>
      <x:c r="K1947" s="63" t="str">
        <x:f t="shared" si="130"/>
      </x:c>
      <x:c r="L1947" s="63">
        <x:f t="shared" si="133"/>
        <x:v>0</x:v>
      </x:c>
      <x:c r="M1947" s="61"/>
    </x:row>
    <x:row r="1948">
      <x:c r="A1948" s="61" t="str">
        <x:f>IF(E1948="","",MAX($A$6:A1947)+1)</x:f>
      </x:c>
      <x:c r="B1948" s="61"/>
      <x:c r="C1948" s="61"/>
      <x:c r="D1948" s="62"/>
      <x:c r="E1948" s="61"/>
      <x:c r="F1948" s="61"/>
      <x:c r="G1948" s="63"/>
      <x:c r="H1948" s="63">
        <x:f t="shared" si="131"/>
        <x:v>0</x:v>
      </x:c>
      <x:c r="I1948" s="64"/>
      <x:c r="J1948" s="63">
        <x:f t="shared" si="132"/>
        <x:v>0</x:v>
      </x:c>
      <x:c r="K1948" s="63" t="str">
        <x:f t="shared" si="130"/>
      </x:c>
      <x:c r="L1948" s="63">
        <x:f t="shared" si="133"/>
        <x:v>0</x:v>
      </x:c>
      <x:c r="M1948" s="61"/>
    </x:row>
    <x:row r="1949">
      <x:c r="A1949" s="61" t="str">
        <x:f>IF(E1949="","",MAX($A$6:A1948)+1)</x:f>
      </x:c>
      <x:c r="B1949" s="61"/>
      <x:c r="C1949" s="61"/>
      <x:c r="D1949" s="62"/>
      <x:c r="E1949" s="61"/>
      <x:c r="F1949" s="61"/>
      <x:c r="G1949" s="63"/>
      <x:c r="H1949" s="63">
        <x:f t="shared" si="131"/>
        <x:v>0</x:v>
      </x:c>
      <x:c r="I1949" s="64"/>
      <x:c r="J1949" s="63">
        <x:f t="shared" si="132"/>
        <x:v>0</x:v>
      </x:c>
      <x:c r="K1949" s="63" t="str">
        <x:f t="shared" si="130"/>
      </x:c>
      <x:c r="L1949" s="63">
        <x:f t="shared" si="133"/>
        <x:v>0</x:v>
      </x:c>
      <x:c r="M1949" s="61"/>
    </x:row>
    <x:row r="1950">
      <x:c r="A1950" s="61" t="str">
        <x:f>IF(E1950="","",MAX($A$6:A1949)+1)</x:f>
      </x:c>
      <x:c r="B1950" s="61"/>
      <x:c r="C1950" s="61"/>
      <x:c r="D1950" s="62"/>
      <x:c r="E1950" s="61"/>
      <x:c r="F1950" s="61"/>
      <x:c r="G1950" s="63"/>
      <x:c r="H1950" s="63">
        <x:f t="shared" si="131"/>
        <x:v>0</x:v>
      </x:c>
      <x:c r="I1950" s="64"/>
      <x:c r="J1950" s="63">
        <x:f t="shared" si="132"/>
        <x:v>0</x:v>
      </x:c>
      <x:c r="K1950" s="63" t="str">
        <x:f t="shared" si="130"/>
      </x:c>
      <x:c r="L1950" s="63">
        <x:f t="shared" si="133"/>
        <x:v>0</x:v>
      </x:c>
      <x:c r="M1950" s="61"/>
    </x:row>
    <x:row r="1951">
      <x:c r="A1951" s="61" t="str">
        <x:f>IF(E1951="","",MAX($A$6:A1950)+1)</x:f>
      </x:c>
      <x:c r="B1951" s="61"/>
      <x:c r="C1951" s="61"/>
      <x:c r="D1951" s="62"/>
      <x:c r="E1951" s="61"/>
      <x:c r="F1951" s="61"/>
      <x:c r="G1951" s="63"/>
      <x:c r="H1951" s="63">
        <x:f t="shared" si="131"/>
        <x:v>0</x:v>
      </x:c>
      <x:c r="I1951" s="64"/>
      <x:c r="J1951" s="63">
        <x:f t="shared" si="132"/>
        <x:v>0</x:v>
      </x:c>
      <x:c r="K1951" s="63" t="str">
        <x:f t="shared" si="130"/>
      </x:c>
      <x:c r="L1951" s="63">
        <x:f t="shared" si="133"/>
        <x:v>0</x:v>
      </x:c>
      <x:c r="M1951" s="61"/>
    </x:row>
    <x:row r="1952">
      <x:c r="A1952" s="61" t="str">
        <x:f>IF(E1952="","",MAX($A$6:A1951)+1)</x:f>
      </x:c>
      <x:c r="B1952" s="61"/>
      <x:c r="C1952" s="61"/>
      <x:c r="D1952" s="62"/>
      <x:c r="E1952" s="61"/>
      <x:c r="F1952" s="61"/>
      <x:c r="G1952" s="63"/>
      <x:c r="H1952" s="63">
        <x:f t="shared" si="131"/>
        <x:v>0</x:v>
      </x:c>
      <x:c r="I1952" s="64"/>
      <x:c r="J1952" s="63">
        <x:f t="shared" si="132"/>
        <x:v>0</x:v>
      </x:c>
      <x:c r="K1952" s="63" t="str">
        <x:f t="shared" si="130"/>
      </x:c>
      <x:c r="L1952" s="63">
        <x:f t="shared" si="133"/>
        <x:v>0</x:v>
      </x:c>
      <x:c r="M1952" s="61"/>
    </x:row>
    <x:row r="1953">
      <x:c r="A1953" s="61" t="str">
        <x:f>IF(E1953="","",MAX($A$6:A1952)+1)</x:f>
      </x:c>
      <x:c r="B1953" s="61"/>
      <x:c r="C1953" s="61"/>
      <x:c r="D1953" s="62"/>
      <x:c r="E1953" s="61"/>
      <x:c r="F1953" s="61"/>
      <x:c r="G1953" s="63"/>
      <x:c r="H1953" s="63">
        <x:f t="shared" si="131"/>
        <x:v>0</x:v>
      </x:c>
      <x:c r="I1953" s="64"/>
      <x:c r="J1953" s="63">
        <x:f t="shared" si="132"/>
        <x:v>0</x:v>
      </x:c>
      <x:c r="K1953" s="63" t="str">
        <x:f t="shared" si="130"/>
      </x:c>
      <x:c r="L1953" s="63">
        <x:f t="shared" si="133"/>
        <x:v>0</x:v>
      </x:c>
      <x:c r="M1953" s="61"/>
    </x:row>
    <x:row r="1954">
      <x:c r="A1954" s="61" t="str">
        <x:f>IF(E1954="","",MAX($A$6:A1953)+1)</x:f>
      </x:c>
      <x:c r="B1954" s="61"/>
      <x:c r="C1954" s="61"/>
      <x:c r="D1954" s="62"/>
      <x:c r="E1954" s="61"/>
      <x:c r="F1954" s="61"/>
      <x:c r="G1954" s="63"/>
      <x:c r="H1954" s="63">
        <x:f t="shared" si="131"/>
        <x:v>0</x:v>
      </x:c>
      <x:c r="I1954" s="64"/>
      <x:c r="J1954" s="63">
        <x:f t="shared" si="132"/>
        <x:v>0</x:v>
      </x:c>
      <x:c r="K1954" s="63" t="str">
        <x:f t="shared" si="130"/>
      </x:c>
      <x:c r="L1954" s="63">
        <x:f t="shared" si="133"/>
        <x:v>0</x:v>
      </x:c>
      <x:c r="M1954" s="61"/>
    </x:row>
    <x:row r="1955">
      <x:c r="A1955" s="61" t="str">
        <x:f>IF(E1955="","",MAX($A$6:A1954)+1)</x:f>
      </x:c>
      <x:c r="B1955" s="61"/>
      <x:c r="C1955" s="61"/>
      <x:c r="D1955" s="62"/>
      <x:c r="E1955" s="61"/>
      <x:c r="F1955" s="61"/>
      <x:c r="G1955" s="63"/>
      <x:c r="H1955" s="63">
        <x:f t="shared" si="131"/>
        <x:v>0</x:v>
      </x:c>
      <x:c r="I1955" s="64"/>
      <x:c r="J1955" s="63">
        <x:f t="shared" si="132"/>
        <x:v>0</x:v>
      </x:c>
      <x:c r="K1955" s="63" t="str">
        <x:f t="shared" si="130"/>
      </x:c>
      <x:c r="L1955" s="63">
        <x:f t="shared" si="133"/>
        <x:v>0</x:v>
      </x:c>
      <x:c r="M1955" s="61"/>
    </x:row>
    <x:row r="1956">
      <x:c r="A1956" s="61" t="str">
        <x:f>IF(E1956="","",MAX($A$6:A1955)+1)</x:f>
      </x:c>
      <x:c r="B1956" s="61"/>
      <x:c r="C1956" s="61"/>
      <x:c r="D1956" s="62"/>
      <x:c r="E1956" s="61"/>
      <x:c r="F1956" s="61"/>
      <x:c r="G1956" s="63"/>
      <x:c r="H1956" s="63">
        <x:f t="shared" si="131"/>
        <x:v>0</x:v>
      </x:c>
      <x:c r="I1956" s="64"/>
      <x:c r="J1956" s="63">
        <x:f t="shared" si="132"/>
        <x:v>0</x:v>
      </x:c>
      <x:c r="K1956" s="63" t="str">
        <x:f t="shared" si="130"/>
      </x:c>
      <x:c r="L1956" s="63">
        <x:f t="shared" si="133"/>
        <x:v>0</x:v>
      </x:c>
      <x:c r="M1956" s="61"/>
    </x:row>
    <x:row r="1957">
      <x:c r="A1957" s="61" t="str">
        <x:f>IF(E1957="","",MAX($A$6:A1956)+1)</x:f>
      </x:c>
      <x:c r="B1957" s="61"/>
      <x:c r="C1957" s="61"/>
      <x:c r="D1957" s="62"/>
      <x:c r="E1957" s="61"/>
      <x:c r="F1957" s="61"/>
      <x:c r="G1957" s="63"/>
      <x:c r="H1957" s="63">
        <x:f t="shared" si="131"/>
        <x:v>0</x:v>
      </x:c>
      <x:c r="I1957" s="64"/>
      <x:c r="J1957" s="63">
        <x:f t="shared" si="132"/>
        <x:v>0</x:v>
      </x:c>
      <x:c r="K1957" s="63" t="str">
        <x:f t="shared" si="130"/>
      </x:c>
      <x:c r="L1957" s="63">
        <x:f t="shared" si="133"/>
        <x:v>0</x:v>
      </x:c>
      <x:c r="M1957" s="61"/>
    </x:row>
    <x:row r="1958">
      <x:c r="A1958" s="61" t="str">
        <x:f>IF(E1958="","",MAX($A$6:A1957)+1)</x:f>
      </x:c>
      <x:c r="B1958" s="61"/>
      <x:c r="C1958" s="61"/>
      <x:c r="D1958" s="62"/>
      <x:c r="E1958" s="61"/>
      <x:c r="F1958" s="61"/>
      <x:c r="G1958" s="63"/>
      <x:c r="H1958" s="63">
        <x:f t="shared" si="131"/>
        <x:v>0</x:v>
      </x:c>
      <x:c r="I1958" s="64"/>
      <x:c r="J1958" s="63">
        <x:f t="shared" si="132"/>
        <x:v>0</x:v>
      </x:c>
      <x:c r="K1958" s="63" t="str">
        <x:f t="shared" si="130"/>
      </x:c>
      <x:c r="L1958" s="63">
        <x:f t="shared" si="133"/>
        <x:v>0</x:v>
      </x:c>
      <x:c r="M1958" s="61"/>
    </x:row>
    <x:row r="1959">
      <x:c r="A1959" s="61" t="str">
        <x:f>IF(E1959="","",MAX($A$6:A1958)+1)</x:f>
      </x:c>
      <x:c r="B1959" s="61"/>
      <x:c r="C1959" s="61"/>
      <x:c r="D1959" s="62"/>
      <x:c r="E1959" s="61"/>
      <x:c r="F1959" s="61"/>
      <x:c r="G1959" s="63"/>
      <x:c r="H1959" s="63">
        <x:f t="shared" si="131"/>
        <x:v>0</x:v>
      </x:c>
      <x:c r="I1959" s="64"/>
      <x:c r="J1959" s="63">
        <x:f t="shared" si="132"/>
        <x:v>0</x:v>
      </x:c>
      <x:c r="K1959" s="63" t="str">
        <x:f t="shared" si="130"/>
      </x:c>
      <x:c r="L1959" s="63">
        <x:f t="shared" si="133"/>
        <x:v>0</x:v>
      </x:c>
      <x:c r="M1959" s="61"/>
    </x:row>
    <x:row r="1960">
      <x:c r="A1960" s="61" t="str">
        <x:f>IF(E1960="","",MAX($A$6:A1959)+1)</x:f>
      </x:c>
      <x:c r="B1960" s="61"/>
      <x:c r="C1960" s="61"/>
      <x:c r="D1960" s="62"/>
      <x:c r="E1960" s="61"/>
      <x:c r="F1960" s="61"/>
      <x:c r="G1960" s="63"/>
      <x:c r="H1960" s="63">
        <x:f t="shared" si="131"/>
        <x:v>0</x:v>
      </x:c>
      <x:c r="I1960" s="64"/>
      <x:c r="J1960" s="63">
        <x:f t="shared" si="132"/>
        <x:v>0</x:v>
      </x:c>
      <x:c r="K1960" s="63" t="str">
        <x:f t="shared" si="130"/>
      </x:c>
      <x:c r="L1960" s="63">
        <x:f t="shared" si="133"/>
        <x:v>0</x:v>
      </x:c>
      <x:c r="M1960" s="61"/>
    </x:row>
    <x:row r="1961">
      <x:c r="A1961" s="61" t="str">
        <x:f>IF(E1961="","",MAX($A$6:A1960)+1)</x:f>
      </x:c>
      <x:c r="B1961" s="61"/>
      <x:c r="C1961" s="61"/>
      <x:c r="D1961" s="62"/>
      <x:c r="E1961" s="61"/>
      <x:c r="F1961" s="61"/>
      <x:c r="G1961" s="63"/>
      <x:c r="H1961" s="63">
        <x:f t="shared" si="131"/>
        <x:v>0</x:v>
      </x:c>
      <x:c r="I1961" s="64"/>
      <x:c r="J1961" s="63">
        <x:f t="shared" si="132"/>
        <x:v>0</x:v>
      </x:c>
      <x:c r="K1961" s="63" t="str">
        <x:f t="shared" si="130"/>
      </x:c>
      <x:c r="L1961" s="63">
        <x:f t="shared" si="133"/>
        <x:v>0</x:v>
      </x:c>
      <x:c r="M1961" s="61"/>
    </x:row>
    <x:row r="1962">
      <x:c r="A1962" s="61" t="str">
        <x:f>IF(E1962="","",MAX($A$6:A1961)+1)</x:f>
      </x:c>
      <x:c r="B1962" s="61"/>
      <x:c r="C1962" s="61"/>
      <x:c r="D1962" s="62"/>
      <x:c r="E1962" s="61"/>
      <x:c r="F1962" s="61"/>
      <x:c r="G1962" s="63"/>
      <x:c r="H1962" s="63">
        <x:f t="shared" si="131"/>
        <x:v>0</x:v>
      </x:c>
      <x:c r="I1962" s="64"/>
      <x:c r="J1962" s="63">
        <x:f t="shared" si="132"/>
        <x:v>0</x:v>
      </x:c>
      <x:c r="K1962" s="63" t="str">
        <x:f t="shared" si="130"/>
      </x:c>
      <x:c r="L1962" s="63">
        <x:f t="shared" si="133"/>
        <x:v>0</x:v>
      </x:c>
      <x:c r="M1962" s="61"/>
    </x:row>
    <x:row r="1963">
      <x:c r="A1963" s="61" t="str">
        <x:f>IF(E1963="","",MAX($A$6:A1962)+1)</x:f>
      </x:c>
      <x:c r="B1963" s="61"/>
      <x:c r="C1963" s="61"/>
      <x:c r="D1963" s="62"/>
      <x:c r="E1963" s="61"/>
      <x:c r="F1963" s="61"/>
      <x:c r="G1963" s="63"/>
      <x:c r="H1963" s="63">
        <x:f t="shared" si="131"/>
        <x:v>0</x:v>
      </x:c>
      <x:c r="I1963" s="64"/>
      <x:c r="J1963" s="63">
        <x:f t="shared" si="132"/>
        <x:v>0</x:v>
      </x:c>
      <x:c r="K1963" s="63" t="str">
        <x:f t="shared" si="130"/>
      </x:c>
      <x:c r="L1963" s="63">
        <x:f t="shared" si="133"/>
        <x:v>0</x:v>
      </x:c>
      <x:c r="M1963" s="61"/>
    </x:row>
    <x:row r="1964">
      <x:c r="A1964" s="61" t="str">
        <x:f>IF(E1964="","",MAX($A$6:A1963)+1)</x:f>
      </x:c>
      <x:c r="B1964" s="61"/>
      <x:c r="C1964" s="61"/>
      <x:c r="D1964" s="62"/>
      <x:c r="E1964" s="61"/>
      <x:c r="F1964" s="61"/>
      <x:c r="G1964" s="63"/>
      <x:c r="H1964" s="63">
        <x:f t="shared" si="131"/>
        <x:v>0</x:v>
      </x:c>
      <x:c r="I1964" s="64"/>
      <x:c r="J1964" s="63">
        <x:f t="shared" si="132"/>
        <x:v>0</x:v>
      </x:c>
      <x:c r="K1964" s="63" t="str">
        <x:f t="shared" si="130"/>
      </x:c>
      <x:c r="L1964" s="63">
        <x:f t="shared" si="133"/>
        <x:v>0</x:v>
      </x:c>
      <x:c r="M1964" s="61"/>
    </x:row>
    <x:row r="1965">
      <x:c r="A1965" s="61" t="str">
        <x:f>IF(E1965="","",MAX($A$6:A1964)+1)</x:f>
      </x:c>
      <x:c r="B1965" s="61"/>
      <x:c r="C1965" s="61"/>
      <x:c r="D1965" s="62"/>
      <x:c r="E1965" s="61"/>
      <x:c r="F1965" s="61"/>
      <x:c r="G1965" s="63"/>
      <x:c r="H1965" s="63">
        <x:f t="shared" si="131"/>
        <x:v>0</x:v>
      </x:c>
      <x:c r="I1965" s="64"/>
      <x:c r="J1965" s="63">
        <x:f t="shared" si="132"/>
        <x:v>0</x:v>
      </x:c>
      <x:c r="K1965" s="63" t="str">
        <x:f t="shared" si="130"/>
      </x:c>
      <x:c r="L1965" s="63">
        <x:f t="shared" si="133"/>
        <x:v>0</x:v>
      </x:c>
      <x:c r="M1965" s="61"/>
    </x:row>
    <x:row r="1966">
      <x:c r="A1966" s="61" t="str">
        <x:f>IF(E1966="","",MAX($A$6:A1965)+1)</x:f>
      </x:c>
      <x:c r="B1966" s="61"/>
      <x:c r="C1966" s="61"/>
      <x:c r="D1966" s="62"/>
      <x:c r="E1966" s="61"/>
      <x:c r="F1966" s="61"/>
      <x:c r="G1966" s="63"/>
      <x:c r="H1966" s="63">
        <x:f t="shared" si="131"/>
        <x:v>0</x:v>
      </x:c>
      <x:c r="I1966" s="64"/>
      <x:c r="J1966" s="63">
        <x:f t="shared" si="132"/>
        <x:v>0</x:v>
      </x:c>
      <x:c r="K1966" s="63" t="str">
        <x:f t="shared" si="130"/>
      </x:c>
      <x:c r="L1966" s="63">
        <x:f t="shared" si="133"/>
        <x:v>0</x:v>
      </x:c>
      <x:c r="M1966" s="61"/>
    </x:row>
    <x:row r="1967">
      <x:c r="A1967" s="61" t="str">
        <x:f>IF(E1967="","",MAX($A$6:A1966)+1)</x:f>
      </x:c>
      <x:c r="B1967" s="61"/>
      <x:c r="C1967" s="61"/>
      <x:c r="D1967" s="62"/>
      <x:c r="E1967" s="61"/>
      <x:c r="F1967" s="61"/>
      <x:c r="G1967" s="63"/>
      <x:c r="H1967" s="63">
        <x:f t="shared" si="131"/>
        <x:v>0</x:v>
      </x:c>
      <x:c r="I1967" s="64"/>
      <x:c r="J1967" s="63">
        <x:f t="shared" si="132"/>
        <x:v>0</x:v>
      </x:c>
      <x:c r="K1967" s="63" t="str">
        <x:f t="shared" si="130"/>
      </x:c>
      <x:c r="L1967" s="63">
        <x:f t="shared" si="133"/>
        <x:v>0</x:v>
      </x:c>
      <x:c r="M1967" s="61"/>
    </x:row>
    <x:row r="1968">
      <x:c r="A1968" s="61" t="str">
        <x:f>IF(E1968="","",MAX($A$6:A1967)+1)</x:f>
      </x:c>
      <x:c r="B1968" s="61"/>
      <x:c r="C1968" s="61"/>
      <x:c r="D1968" s="62"/>
      <x:c r="E1968" s="61"/>
      <x:c r="F1968" s="61"/>
      <x:c r="G1968" s="63"/>
      <x:c r="H1968" s="63">
        <x:f t="shared" si="131"/>
        <x:v>0</x:v>
      </x:c>
      <x:c r="I1968" s="64"/>
      <x:c r="J1968" s="63">
        <x:f t="shared" si="132"/>
        <x:v>0</x:v>
      </x:c>
      <x:c r="K1968" s="63" t="str">
        <x:f t="shared" si="130"/>
      </x:c>
      <x:c r="L1968" s="63">
        <x:f t="shared" si="133"/>
        <x:v>0</x:v>
      </x:c>
      <x:c r="M1968" s="61"/>
    </x:row>
    <x:row r="1969">
      <x:c r="A1969" s="61" t="str">
        <x:f>IF(E1969="","",MAX($A$6:A1968)+1)</x:f>
      </x:c>
      <x:c r="B1969" s="61"/>
      <x:c r="C1969" s="61"/>
      <x:c r="D1969" s="62"/>
      <x:c r="E1969" s="61"/>
      <x:c r="F1969" s="61"/>
      <x:c r="G1969" s="63"/>
      <x:c r="H1969" s="63">
        <x:f t="shared" si="131"/>
        <x:v>0</x:v>
      </x:c>
      <x:c r="I1969" s="64"/>
      <x:c r="J1969" s="63">
        <x:f t="shared" si="132"/>
        <x:v>0</x:v>
      </x:c>
      <x:c r="K1969" s="63" t="str">
        <x:f t="shared" si="130"/>
      </x:c>
      <x:c r="L1969" s="63">
        <x:f t="shared" si="133"/>
        <x:v>0</x:v>
      </x:c>
      <x:c r="M1969" s="61"/>
    </x:row>
    <x:row r="1970">
      <x:c r="A1970" s="61" t="str">
        <x:f>IF(E1970="","",MAX($A$6:A1969)+1)</x:f>
      </x:c>
      <x:c r="B1970" s="61"/>
      <x:c r="C1970" s="61"/>
      <x:c r="D1970" s="62"/>
      <x:c r="E1970" s="61"/>
      <x:c r="F1970" s="61"/>
      <x:c r="G1970" s="63"/>
      <x:c r="H1970" s="63">
        <x:f t="shared" si="131"/>
        <x:v>0</x:v>
      </x:c>
      <x:c r="I1970" s="64"/>
      <x:c r="J1970" s="63">
        <x:f t="shared" si="132"/>
        <x:v>0</x:v>
      </x:c>
      <x:c r="K1970" s="63" t="str">
        <x:f t="shared" si="130"/>
      </x:c>
      <x:c r="L1970" s="63">
        <x:f t="shared" si="133"/>
        <x:v>0</x:v>
      </x:c>
      <x:c r="M1970" s="61"/>
    </x:row>
    <x:row r="1971">
      <x:c r="A1971" s="61" t="str">
        <x:f>IF(E1971="","",MAX($A$6:A1970)+1)</x:f>
      </x:c>
      <x:c r="B1971" s="61"/>
      <x:c r="C1971" s="61"/>
      <x:c r="D1971" s="62"/>
      <x:c r="E1971" s="61"/>
      <x:c r="F1971" s="61"/>
      <x:c r="G1971" s="63"/>
      <x:c r="H1971" s="63">
        <x:f t="shared" si="131"/>
        <x:v>0</x:v>
      </x:c>
      <x:c r="I1971" s="64"/>
      <x:c r="J1971" s="63">
        <x:f t="shared" si="132"/>
        <x:v>0</x:v>
      </x:c>
      <x:c r="K1971" s="63" t="str">
        <x:f t="shared" si="130"/>
      </x:c>
      <x:c r="L1971" s="63">
        <x:f t="shared" si="133"/>
        <x:v>0</x:v>
      </x:c>
      <x:c r="M1971" s="61"/>
    </x:row>
    <x:row r="1972">
      <x:c r="A1972" s="61" t="str">
        <x:f>IF(E1972="","",MAX($A$6:A1971)+1)</x:f>
      </x:c>
      <x:c r="B1972" s="61"/>
      <x:c r="C1972" s="61"/>
      <x:c r="D1972" s="62"/>
      <x:c r="E1972" s="61"/>
      <x:c r="F1972" s="61"/>
      <x:c r="G1972" s="63"/>
      <x:c r="H1972" s="63">
        <x:f t="shared" si="131"/>
        <x:v>0</x:v>
      </x:c>
      <x:c r="I1972" s="64"/>
      <x:c r="J1972" s="63">
        <x:f t="shared" si="132"/>
        <x:v>0</x:v>
      </x:c>
      <x:c r="K1972" s="63" t="str">
        <x:f t="shared" si="130"/>
      </x:c>
      <x:c r="L1972" s="63">
        <x:f t="shared" si="133"/>
        <x:v>0</x:v>
      </x:c>
      <x:c r="M1972" s="61"/>
    </x:row>
    <x:row r="1973">
      <x:c r="A1973" s="61" t="str">
        <x:f>IF(E1973="","",MAX($A$6:A1972)+1)</x:f>
      </x:c>
      <x:c r="B1973" s="61"/>
      <x:c r="C1973" s="61"/>
      <x:c r="D1973" s="62"/>
      <x:c r="E1973" s="61"/>
      <x:c r="F1973" s="61"/>
      <x:c r="G1973" s="63"/>
      <x:c r="H1973" s="63">
        <x:f t="shared" si="131"/>
        <x:v>0</x:v>
      </x:c>
      <x:c r="I1973" s="64"/>
      <x:c r="J1973" s="63">
        <x:f t="shared" si="132"/>
        <x:v>0</x:v>
      </x:c>
      <x:c r="K1973" s="63" t="str">
        <x:f t="shared" si="130"/>
      </x:c>
      <x:c r="L1973" s="63">
        <x:f t="shared" si="133"/>
        <x:v>0</x:v>
      </x:c>
      <x:c r="M1973" s="61"/>
    </x:row>
    <x:row r="1974">
      <x:c r="A1974" s="61" t="str">
        <x:f>IF(E1974="","",MAX($A$6:A1973)+1)</x:f>
      </x:c>
      <x:c r="B1974" s="61"/>
      <x:c r="C1974" s="61"/>
      <x:c r="D1974" s="62"/>
      <x:c r="E1974" s="61"/>
      <x:c r="F1974" s="61"/>
      <x:c r="G1974" s="63"/>
      <x:c r="H1974" s="63">
        <x:f t="shared" si="131"/>
        <x:v>0</x:v>
      </x:c>
      <x:c r="I1974" s="64"/>
      <x:c r="J1974" s="63">
        <x:f t="shared" si="132"/>
        <x:v>0</x:v>
      </x:c>
      <x:c r="K1974" s="63" t="str">
        <x:f t="shared" ref="K1974:K2004" si="134">IFERROR(IF(G1974="","",MAX(1,G1974-J1974)),0)</x:f>
      </x:c>
      <x:c r="L1974" s="63">
        <x:f t="shared" si="133"/>
        <x:v>0</x:v>
      </x:c>
      <x:c r="M1974" s="61"/>
    </x:row>
    <x:row r="1975">
      <x:c r="A1975" s="61" t="str">
        <x:f>IF(E1975="","",MAX($A$6:A1974)+1)</x:f>
      </x:c>
      <x:c r="B1975" s="61"/>
      <x:c r="C1975" s="61"/>
      <x:c r="D1975" s="62"/>
      <x:c r="E1975" s="61"/>
      <x:c r="F1975" s="61"/>
      <x:c r="G1975" s="63"/>
      <x:c r="H1975" s="63">
        <x:f t="shared" si="131"/>
        <x:v>0</x:v>
      </x:c>
      <x:c r="I1975" s="64"/>
      <x:c r="J1975" s="63">
        <x:f t="shared" si="132"/>
        <x:v>0</x:v>
      </x:c>
      <x:c r="K1975" s="63" t="str">
        <x:f t="shared" si="134"/>
      </x:c>
      <x:c r="L1975" s="63">
        <x:f t="shared" si="133"/>
        <x:v>0</x:v>
      </x:c>
      <x:c r="M1975" s="61"/>
    </x:row>
    <x:row r="1976">
      <x:c r="A1976" s="61" t="str">
        <x:f>IF(E1976="","",MAX($A$6:A1975)+1)</x:f>
      </x:c>
      <x:c r="B1976" s="61"/>
      <x:c r="C1976" s="61"/>
      <x:c r="D1976" s="62"/>
      <x:c r="E1976" s="61"/>
      <x:c r="F1976" s="61"/>
      <x:c r="G1976" s="63"/>
      <x:c r="H1976" s="63">
        <x:f t="shared" si="131"/>
        <x:v>0</x:v>
      </x:c>
      <x:c r="I1976" s="64"/>
      <x:c r="J1976" s="63">
        <x:f t="shared" si="132"/>
        <x:v>0</x:v>
      </x:c>
      <x:c r="K1976" s="63" t="str">
        <x:f t="shared" si="134"/>
      </x:c>
      <x:c r="L1976" s="63">
        <x:f t="shared" si="133"/>
        <x:v>0</x:v>
      </x:c>
      <x:c r="M1976" s="61"/>
    </x:row>
    <x:row r="1977">
      <x:c r="A1977" s="61" t="str">
        <x:f>IF(E1977="","",MAX($A$6:A1976)+1)</x:f>
      </x:c>
      <x:c r="B1977" s="61"/>
      <x:c r="C1977" s="61"/>
      <x:c r="D1977" s="62"/>
      <x:c r="E1977" s="61"/>
      <x:c r="F1977" s="61"/>
      <x:c r="G1977" s="63"/>
      <x:c r="H1977" s="63">
        <x:f t="shared" si="131"/>
        <x:v>0</x:v>
      </x:c>
      <x:c r="I1977" s="64"/>
      <x:c r="J1977" s="63">
        <x:f t="shared" si="132"/>
        <x:v>0</x:v>
      </x:c>
      <x:c r="K1977" s="63" t="str">
        <x:f t="shared" si="134"/>
      </x:c>
      <x:c r="L1977" s="63">
        <x:f t="shared" si="133"/>
        <x:v>0</x:v>
      </x:c>
      <x:c r="M1977" s="61"/>
    </x:row>
    <x:row r="1978">
      <x:c r="A1978" s="61" t="str">
        <x:f>IF(E1978="","",MAX($A$6:A1977)+1)</x:f>
      </x:c>
      <x:c r="B1978" s="61"/>
      <x:c r="C1978" s="61"/>
      <x:c r="D1978" s="62"/>
      <x:c r="E1978" s="61"/>
      <x:c r="F1978" s="61"/>
      <x:c r="G1978" s="63"/>
      <x:c r="H1978" s="63">
        <x:f t="shared" si="131"/>
        <x:v>0</x:v>
      </x:c>
      <x:c r="I1978" s="64"/>
      <x:c r="J1978" s="63">
        <x:f t="shared" si="132"/>
        <x:v>0</x:v>
      </x:c>
      <x:c r="K1978" s="63" t="str">
        <x:f t="shared" si="134"/>
      </x:c>
      <x:c r="L1978" s="63">
        <x:f t="shared" si="133"/>
        <x:v>0</x:v>
      </x:c>
      <x:c r="M1978" s="61"/>
    </x:row>
    <x:row r="1979">
      <x:c r="A1979" s="61" t="str">
        <x:f>IF(E1979="","",MAX($A$6:A1978)+1)</x:f>
      </x:c>
      <x:c r="B1979" s="61"/>
      <x:c r="C1979" s="61"/>
      <x:c r="D1979" s="62"/>
      <x:c r="E1979" s="61"/>
      <x:c r="F1979" s="61"/>
      <x:c r="G1979" s="63"/>
      <x:c r="H1979" s="63">
        <x:f t="shared" si="131"/>
        <x:v>0</x:v>
      </x:c>
      <x:c r="I1979" s="64"/>
      <x:c r="J1979" s="63">
        <x:f t="shared" si="132"/>
        <x:v>0</x:v>
      </x:c>
      <x:c r="K1979" s="63" t="str">
        <x:f t="shared" si="134"/>
      </x:c>
      <x:c r="L1979" s="63">
        <x:f t="shared" si="133"/>
        <x:v>0</x:v>
      </x:c>
      <x:c r="M1979" s="61"/>
    </x:row>
    <x:row r="1980">
      <x:c r="A1980" s="61" t="str">
        <x:f>IF(E1980="","",MAX($A$6:A1979)+1)</x:f>
      </x:c>
      <x:c r="B1980" s="61"/>
      <x:c r="C1980" s="61"/>
      <x:c r="D1980" s="62"/>
      <x:c r="E1980" s="61"/>
      <x:c r="F1980" s="61"/>
      <x:c r="G1980" s="63"/>
      <x:c r="H1980" s="63">
        <x:f t="shared" si="131"/>
        <x:v>0</x:v>
      </x:c>
      <x:c r="I1980" s="64"/>
      <x:c r="J1980" s="63">
        <x:f t="shared" si="132"/>
        <x:v>0</x:v>
      </x:c>
      <x:c r="K1980" s="63" t="str">
        <x:f t="shared" si="134"/>
      </x:c>
      <x:c r="L1980" s="63">
        <x:f t="shared" si="133"/>
        <x:v>0</x:v>
      </x:c>
      <x:c r="M1980" s="61"/>
    </x:row>
    <x:row r="1981">
      <x:c r="A1981" s="61" t="str">
        <x:f>IF(E1981="","",MAX($A$6:A1980)+1)</x:f>
      </x:c>
      <x:c r="B1981" s="61"/>
      <x:c r="C1981" s="61"/>
      <x:c r="D1981" s="62"/>
      <x:c r="E1981" s="61"/>
      <x:c r="F1981" s="61"/>
      <x:c r="G1981" s="63"/>
      <x:c r="H1981" s="63">
        <x:f t="shared" si="131"/>
        <x:v>0</x:v>
      </x:c>
      <x:c r="I1981" s="64"/>
      <x:c r="J1981" s="63">
        <x:f t="shared" si="132"/>
        <x:v>0</x:v>
      </x:c>
      <x:c r="K1981" s="63" t="str">
        <x:f t="shared" si="134"/>
      </x:c>
      <x:c r="L1981" s="63">
        <x:f t="shared" si="133"/>
        <x:v>0</x:v>
      </x:c>
      <x:c r="M1981" s="61"/>
    </x:row>
    <x:row r="1982">
      <x:c r="A1982" s="61" t="str">
        <x:f>IF(E1982="","",MAX($A$6:A1981)+1)</x:f>
      </x:c>
      <x:c r="B1982" s="61"/>
      <x:c r="C1982" s="61"/>
      <x:c r="D1982" s="62"/>
      <x:c r="E1982" s="61"/>
      <x:c r="F1982" s="61"/>
      <x:c r="G1982" s="63"/>
      <x:c r="H1982" s="63">
        <x:f t="shared" si="131"/>
        <x:v>0</x:v>
      </x:c>
      <x:c r="I1982" s="64"/>
      <x:c r="J1982" s="63">
        <x:f t="shared" si="132"/>
        <x:v>0</x:v>
      </x:c>
      <x:c r="K1982" s="63" t="str">
        <x:f t="shared" si="134"/>
      </x:c>
      <x:c r="L1982" s="63">
        <x:f t="shared" si="133"/>
        <x:v>0</x:v>
      </x:c>
      <x:c r="M1982" s="61"/>
    </x:row>
    <x:row r="1983">
      <x:c r="A1983" s="61" t="str">
        <x:f>IF(E1983="","",MAX($A$6:A1982)+1)</x:f>
      </x:c>
      <x:c r="B1983" s="61"/>
      <x:c r="C1983" s="61"/>
      <x:c r="D1983" s="62"/>
      <x:c r="E1983" s="61"/>
      <x:c r="F1983" s="61"/>
      <x:c r="G1983" s="63"/>
      <x:c r="H1983" s="63">
        <x:f t="shared" si="131"/>
        <x:v>0</x:v>
      </x:c>
      <x:c r="I1983" s="64"/>
      <x:c r="J1983" s="63">
        <x:f t="shared" si="132"/>
        <x:v>0</x:v>
      </x:c>
      <x:c r="K1983" s="63" t="str">
        <x:f t="shared" si="134"/>
      </x:c>
      <x:c r="L1983" s="63">
        <x:f t="shared" si="133"/>
        <x:v>0</x:v>
      </x:c>
      <x:c r="M1983" s="61"/>
    </x:row>
    <x:row r="1984">
      <x:c r="A1984" s="61" t="str">
        <x:f>IF(E1984="","",MAX($A$6:A1983)+1)</x:f>
      </x:c>
      <x:c r="B1984" s="61"/>
      <x:c r="C1984" s="61"/>
      <x:c r="D1984" s="62"/>
      <x:c r="E1984" s="61"/>
      <x:c r="F1984" s="61"/>
      <x:c r="G1984" s="63"/>
      <x:c r="H1984" s="63">
        <x:f t="shared" si="131"/>
        <x:v>0</x:v>
      </x:c>
      <x:c r="I1984" s="64"/>
      <x:c r="J1984" s="63">
        <x:f t="shared" si="132"/>
        <x:v>0</x:v>
      </x:c>
      <x:c r="K1984" s="63" t="str">
        <x:f t="shared" si="134"/>
      </x:c>
      <x:c r="L1984" s="63">
        <x:f t="shared" si="133"/>
        <x:v>0</x:v>
      </x:c>
      <x:c r="M1984" s="61"/>
    </x:row>
    <x:row r="1985">
      <x:c r="A1985" s="61" t="str">
        <x:f>IF(E1985="","",MAX($A$6:A1984)+1)</x:f>
      </x:c>
      <x:c r="B1985" s="61"/>
      <x:c r="C1985" s="61"/>
      <x:c r="D1985" s="62"/>
      <x:c r="E1985" s="61"/>
      <x:c r="F1985" s="61"/>
      <x:c r="G1985" s="63"/>
      <x:c r="H1985" s="63">
        <x:f t="shared" si="131"/>
        <x:v>0</x:v>
      </x:c>
      <x:c r="I1985" s="64"/>
      <x:c r="J1985" s="63">
        <x:f t="shared" si="132"/>
        <x:v>0</x:v>
      </x:c>
      <x:c r="K1985" s="63" t="str">
        <x:f t="shared" si="134"/>
      </x:c>
      <x:c r="L1985" s="63">
        <x:f t="shared" si="133"/>
        <x:v>0</x:v>
      </x:c>
      <x:c r="M1985" s="61"/>
    </x:row>
    <x:row r="1986">
      <x:c r="A1986" s="61" t="str">
        <x:f>IF(E1986="","",MAX($A$6:A1985)+1)</x:f>
      </x:c>
      <x:c r="B1986" s="61"/>
      <x:c r="C1986" s="61"/>
      <x:c r="D1986" s="62"/>
      <x:c r="E1986" s="61"/>
      <x:c r="F1986" s="61"/>
      <x:c r="G1986" s="63"/>
      <x:c r="H1986" s="63">
        <x:f t="shared" si="131"/>
        <x:v>0</x:v>
      </x:c>
      <x:c r="I1986" s="64"/>
      <x:c r="J1986" s="63">
        <x:f t="shared" si="132"/>
        <x:v>0</x:v>
      </x:c>
      <x:c r="K1986" s="63" t="str">
        <x:f t="shared" si="134"/>
      </x:c>
      <x:c r="L1986" s="63">
        <x:f t="shared" si="133"/>
        <x:v>0</x:v>
      </x:c>
      <x:c r="M1986" s="61"/>
    </x:row>
    <x:row r="1987">
      <x:c r="A1987" s="61" t="str">
        <x:f>IF(E1987="","",MAX($A$6:A1986)+1)</x:f>
      </x:c>
      <x:c r="B1987" s="61"/>
      <x:c r="C1987" s="61"/>
      <x:c r="D1987" s="62"/>
      <x:c r="E1987" s="61"/>
      <x:c r="F1987" s="61"/>
      <x:c r="G1987" s="63"/>
      <x:c r="H1987" s="63">
        <x:f t="shared" si="131"/>
        <x:v>0</x:v>
      </x:c>
      <x:c r="I1987" s="64"/>
      <x:c r="J1987" s="63">
        <x:f t="shared" si="132"/>
        <x:v>0</x:v>
      </x:c>
      <x:c r="K1987" s="63" t="str">
        <x:f t="shared" si="134"/>
      </x:c>
      <x:c r="L1987" s="63">
        <x:f t="shared" si="133"/>
        <x:v>0</x:v>
      </x:c>
      <x:c r="M1987" s="61"/>
    </x:row>
    <x:row r="1988">
      <x:c r="A1988" s="61" t="str">
        <x:f>IF(E1988="","",MAX($A$6:A1987)+1)</x:f>
      </x:c>
      <x:c r="B1988" s="61"/>
      <x:c r="C1988" s="61"/>
      <x:c r="D1988" s="62"/>
      <x:c r="E1988" s="61"/>
      <x:c r="F1988" s="61"/>
      <x:c r="G1988" s="63"/>
      <x:c r="H1988" s="63">
        <x:f t="shared" si="131"/>
        <x:v>0</x:v>
      </x:c>
      <x:c r="I1988" s="64"/>
      <x:c r="J1988" s="63">
        <x:f t="shared" si="132"/>
        <x:v>0</x:v>
      </x:c>
      <x:c r="K1988" s="63" t="str">
        <x:f t="shared" si="134"/>
      </x:c>
      <x:c r="L1988" s="63">
        <x:f t="shared" si="133"/>
        <x:v>0</x:v>
      </x:c>
      <x:c r="M1988" s="61"/>
    </x:row>
    <x:row r="1989">
      <x:c r="A1989" s="61" t="str">
        <x:f>IF(E1989="","",MAX($A$6:A1988)+1)</x:f>
      </x:c>
      <x:c r="B1989" s="61"/>
      <x:c r="C1989" s="61"/>
      <x:c r="D1989" s="62"/>
      <x:c r="E1989" s="61"/>
      <x:c r="F1989" s="61"/>
      <x:c r="G1989" s="63"/>
      <x:c r="H1989" s="63">
        <x:f t="shared" si="131"/>
        <x:v>0</x:v>
      </x:c>
      <x:c r="I1989" s="64"/>
      <x:c r="J1989" s="63">
        <x:f t="shared" si="132"/>
        <x:v>0</x:v>
      </x:c>
      <x:c r="K1989" s="63" t="str">
        <x:f t="shared" si="134"/>
      </x:c>
      <x:c r="L1989" s="63">
        <x:f t="shared" si="133"/>
        <x:v>0</x:v>
      </x:c>
      <x:c r="M1989" s="61"/>
    </x:row>
    <x:row r="1990">
      <x:c r="A1990" s="61" t="str">
        <x:f>IF(E1990="","",MAX($A$6:A1989)+1)</x:f>
      </x:c>
      <x:c r="B1990" s="61"/>
      <x:c r="C1990" s="61"/>
      <x:c r="D1990" s="62"/>
      <x:c r="E1990" s="61"/>
      <x:c r="F1990" s="61"/>
      <x:c r="G1990" s="63"/>
      <x:c r="H1990" s="63" t="n">
        <x:f t="shared" ref="H1990:H2004" si="135">IFERROR(IF(OR($F$1="",D1990=""),0,MAX(0,$F$1-D1990)),0)</x:f>
        <x:v>0</x:v>
      </x:c>
      <x:c r="I1990" s="64"/>
      <x:c r="J1990" s="63" t="n">
        <x:f t="shared" ref="J1990:J2004" si="136">IFERROR(IF(OR(G1990="",I1990="",D1990="",$F$1=""),0,IF($F$1&lt;D1990,0,MIN(MAX(G1990-1,0),MAX(0,(G1990*I1990/365)*H1990)))),0)</x:f>
        <x:v>0</x:v>
      </x:c>
      <x:c r="K1990" s="63" t="str">
        <x:f t="shared" si="134"/>
      </x:c>
      <x:c r="L1990" s="63" t="n">
        <x:f t="shared" ref="L1990:L2004" si="137">IFERROR(IF(OR(G1990="",I1990="",D1990="",$F$1=""),0,IF($F$1&lt;D1990,0,IF(K1990&lt;=1,0,MIN(G1990*I1990/12,K1990-1)))),0)</x:f>
        <x:v>0</x:v>
      </x:c>
      <x:c r="M1990" s="61"/>
    </x:row>
    <x:row r="1991">
      <x:c r="A1991" s="61" t="str">
        <x:f>IF(E1991="","",MAX($A$6:A1990)+1)</x:f>
      </x:c>
      <x:c r="B1991" s="61"/>
      <x:c r="C1991" s="61"/>
      <x:c r="D1991" s="62"/>
      <x:c r="E1991" s="61"/>
      <x:c r="F1991" s="61"/>
      <x:c r="G1991" s="63"/>
      <x:c r="H1991" s="63">
        <x:f t="shared" si="135"/>
        <x:v>0</x:v>
      </x:c>
      <x:c r="I1991" s="64"/>
      <x:c r="J1991" s="63">
        <x:f t="shared" si="136"/>
        <x:v>0</x:v>
      </x:c>
      <x:c r="K1991" s="63" t="str">
        <x:f t="shared" si="134"/>
      </x:c>
      <x:c r="L1991" s="63">
        <x:f t="shared" si="137"/>
        <x:v>0</x:v>
      </x:c>
      <x:c r="M1991" s="61"/>
    </x:row>
    <x:row r="1992">
      <x:c r="A1992" s="61" t="str">
        <x:f>IF(E1992="","",MAX($A$6:A1991)+1)</x:f>
      </x:c>
      <x:c r="B1992" s="61"/>
      <x:c r="C1992" s="61"/>
      <x:c r="D1992" s="62"/>
      <x:c r="E1992" s="61"/>
      <x:c r="F1992" s="61"/>
      <x:c r="G1992" s="63"/>
      <x:c r="H1992" s="63">
        <x:f t="shared" si="135"/>
        <x:v>0</x:v>
      </x:c>
      <x:c r="I1992" s="64"/>
      <x:c r="J1992" s="63">
        <x:f t="shared" si="136"/>
        <x:v>0</x:v>
      </x:c>
      <x:c r="K1992" s="63" t="str">
        <x:f t="shared" si="134"/>
      </x:c>
      <x:c r="L1992" s="63">
        <x:f t="shared" si="137"/>
        <x:v>0</x:v>
      </x:c>
      <x:c r="M1992" s="61"/>
    </x:row>
    <x:row r="1993">
      <x:c r="A1993" s="61" t="str">
        <x:f>IF(E1993="","",MAX($A$6:A1992)+1)</x:f>
      </x:c>
      <x:c r="B1993" s="61"/>
      <x:c r="C1993" s="61"/>
      <x:c r="D1993" s="62"/>
      <x:c r="E1993" s="61"/>
      <x:c r="F1993" s="61"/>
      <x:c r="G1993" s="63"/>
      <x:c r="H1993" s="63">
        <x:f t="shared" si="135"/>
        <x:v>0</x:v>
      </x:c>
      <x:c r="I1993" s="64"/>
      <x:c r="J1993" s="63">
        <x:f t="shared" si="136"/>
        <x:v>0</x:v>
      </x:c>
      <x:c r="K1993" s="63" t="str">
        <x:f t="shared" si="134"/>
      </x:c>
      <x:c r="L1993" s="63">
        <x:f t="shared" si="137"/>
        <x:v>0</x:v>
      </x:c>
      <x:c r="M1993" s="61"/>
    </x:row>
    <x:row r="1994">
      <x:c r="A1994" s="61" t="str">
        <x:f>IF(E1994="","",MAX($A$6:A1993)+1)</x:f>
      </x:c>
      <x:c r="B1994" s="61"/>
      <x:c r="C1994" s="61"/>
      <x:c r="D1994" s="62"/>
      <x:c r="E1994" s="61"/>
      <x:c r="F1994" s="61"/>
      <x:c r="G1994" s="63"/>
      <x:c r="H1994" s="63">
        <x:f t="shared" si="135"/>
        <x:v>0</x:v>
      </x:c>
      <x:c r="I1994" s="64"/>
      <x:c r="J1994" s="63">
        <x:f t="shared" si="136"/>
        <x:v>0</x:v>
      </x:c>
      <x:c r="K1994" s="63" t="str">
        <x:f t="shared" si="134"/>
      </x:c>
      <x:c r="L1994" s="63">
        <x:f t="shared" si="137"/>
        <x:v>0</x:v>
      </x:c>
      <x:c r="M1994" s="61"/>
    </x:row>
    <x:row r="1995">
      <x:c r="A1995" s="61" t="str">
        <x:f>IF(E1995="","",MAX($A$6:A1994)+1)</x:f>
      </x:c>
      <x:c r="B1995" s="61"/>
      <x:c r="C1995" s="61"/>
      <x:c r="D1995" s="62"/>
      <x:c r="E1995" s="61"/>
      <x:c r="F1995" s="61"/>
      <x:c r="G1995" s="63"/>
      <x:c r="H1995" s="63">
        <x:f t="shared" si="135"/>
        <x:v>0</x:v>
      </x:c>
      <x:c r="I1995" s="64"/>
      <x:c r="J1995" s="63">
        <x:f t="shared" si="136"/>
        <x:v>0</x:v>
      </x:c>
      <x:c r="K1995" s="63" t="str">
        <x:f t="shared" si="134"/>
      </x:c>
      <x:c r="L1995" s="63">
        <x:f t="shared" si="137"/>
        <x:v>0</x:v>
      </x:c>
      <x:c r="M1995" s="61"/>
    </x:row>
    <x:row r="1996">
      <x:c r="A1996" s="61" t="str">
        <x:f>IF(E1996="","",MAX($A$6:A1995)+1)</x:f>
      </x:c>
      <x:c r="B1996" s="61"/>
      <x:c r="C1996" s="61"/>
      <x:c r="D1996" s="62"/>
      <x:c r="E1996" s="61"/>
      <x:c r="F1996" s="61"/>
      <x:c r="G1996" s="63"/>
      <x:c r="H1996" s="63">
        <x:f t="shared" si="135"/>
        <x:v>0</x:v>
      </x:c>
      <x:c r="I1996" s="64"/>
      <x:c r="J1996" s="63">
        <x:f t="shared" si="136"/>
        <x:v>0</x:v>
      </x:c>
      <x:c r="K1996" s="63" t="str">
        <x:f t="shared" si="134"/>
      </x:c>
      <x:c r="L1996" s="63">
        <x:f t="shared" si="137"/>
        <x:v>0</x:v>
      </x:c>
      <x:c r="M1996" s="61"/>
    </x:row>
    <x:row r="1997">
      <x:c r="A1997" s="61" t="str">
        <x:f>IF(E1997="","",MAX($A$6:A1996)+1)</x:f>
      </x:c>
      <x:c r="B1997" s="61"/>
      <x:c r="C1997" s="61"/>
      <x:c r="D1997" s="62"/>
      <x:c r="E1997" s="61"/>
      <x:c r="F1997" s="61"/>
      <x:c r="G1997" s="63"/>
      <x:c r="H1997" s="63">
        <x:f t="shared" si="135"/>
        <x:v>0</x:v>
      </x:c>
      <x:c r="I1997" s="64"/>
      <x:c r="J1997" s="63">
        <x:f t="shared" si="136"/>
        <x:v>0</x:v>
      </x:c>
      <x:c r="K1997" s="63" t="str">
        <x:f t="shared" si="134"/>
      </x:c>
      <x:c r="L1997" s="63">
        <x:f t="shared" si="137"/>
        <x:v>0</x:v>
      </x:c>
      <x:c r="M1997" s="61"/>
    </x:row>
    <x:row r="1998">
      <x:c r="A1998" s="61" t="str">
        <x:f>IF(E1998="","",MAX($A$6:A1997)+1)</x:f>
      </x:c>
      <x:c r="B1998" s="61"/>
      <x:c r="C1998" s="61"/>
      <x:c r="D1998" s="62"/>
      <x:c r="E1998" s="61"/>
      <x:c r="F1998" s="61"/>
      <x:c r="G1998" s="63"/>
      <x:c r="H1998" s="63">
        <x:f t="shared" si="135"/>
        <x:v>0</x:v>
      </x:c>
      <x:c r="I1998" s="64"/>
      <x:c r="J1998" s="63">
        <x:f t="shared" si="136"/>
        <x:v>0</x:v>
      </x:c>
      <x:c r="K1998" s="63" t="str">
        <x:f t="shared" si="134"/>
      </x:c>
      <x:c r="L1998" s="63">
        <x:f t="shared" si="137"/>
        <x:v>0</x:v>
      </x:c>
      <x:c r="M1998" s="61"/>
    </x:row>
    <x:row r="1999">
      <x:c r="A1999" s="61" t="str">
        <x:f>IF(E1999="","",MAX($A$6:A1998)+1)</x:f>
      </x:c>
      <x:c r="B1999" s="61"/>
      <x:c r="C1999" s="61"/>
      <x:c r="D1999" s="62"/>
      <x:c r="E1999" s="61"/>
      <x:c r="F1999" s="61"/>
      <x:c r="G1999" s="63"/>
      <x:c r="H1999" s="63">
        <x:f t="shared" si="135"/>
        <x:v>0</x:v>
      </x:c>
      <x:c r="I1999" s="64"/>
      <x:c r="J1999" s="63">
        <x:f t="shared" si="136"/>
        <x:v>0</x:v>
      </x:c>
      <x:c r="K1999" s="63" t="str">
        <x:f t="shared" si="134"/>
      </x:c>
      <x:c r="L1999" s="63">
        <x:f t="shared" si="137"/>
        <x:v>0</x:v>
      </x:c>
      <x:c r="M1999" s="61"/>
    </x:row>
    <x:row r="2000">
      <x:c r="A2000" s="61" t="str">
        <x:f>IF(E2000="","",MAX($A$6:A1999)+1)</x:f>
      </x:c>
      <x:c r="B2000" s="61"/>
      <x:c r="C2000" s="61"/>
      <x:c r="D2000" s="62"/>
      <x:c r="E2000" s="61"/>
      <x:c r="F2000" s="61"/>
      <x:c r="G2000" s="63"/>
      <x:c r="H2000" s="63">
        <x:f t="shared" si="135"/>
        <x:v>0</x:v>
      </x:c>
      <x:c r="I2000" s="64"/>
      <x:c r="J2000" s="63">
        <x:f t="shared" si="136"/>
        <x:v>0</x:v>
      </x:c>
      <x:c r="K2000" s="63" t="str">
        <x:f t="shared" si="134"/>
      </x:c>
      <x:c r="L2000" s="63">
        <x:f t="shared" si="137"/>
        <x:v>0</x:v>
      </x:c>
      <x:c r="M2000" s="61"/>
    </x:row>
    <x:row r="2001">
      <x:c r="A2001" s="61" t="str">
        <x:f>IF(E2001="","",MAX($A$6:A2000)+1)</x:f>
      </x:c>
      <x:c r="B2001" s="61"/>
      <x:c r="C2001" s="61"/>
      <x:c r="D2001" s="62"/>
      <x:c r="E2001" s="61"/>
      <x:c r="F2001" s="61"/>
      <x:c r="G2001" s="63"/>
      <x:c r="H2001" s="63">
        <x:f t="shared" si="135"/>
        <x:v>0</x:v>
      </x:c>
      <x:c r="I2001" s="64"/>
      <x:c r="J2001" s="63">
        <x:f t="shared" si="136"/>
        <x:v>0</x:v>
      </x:c>
      <x:c r="K2001" s="63" t="str">
        <x:f t="shared" si="134"/>
      </x:c>
      <x:c r="L2001" s="63">
        <x:f t="shared" si="137"/>
        <x:v>0</x:v>
      </x:c>
      <x:c r="M2001" s="61"/>
    </x:row>
    <x:row r="2002">
      <x:c r="A2002" s="61" t="str">
        <x:f>IF(E2002="","",MAX($A$6:A2001)+1)</x:f>
      </x:c>
      <x:c r="B2002" s="61"/>
      <x:c r="C2002" s="61"/>
      <x:c r="D2002" s="62"/>
      <x:c r="E2002" s="61"/>
      <x:c r="F2002" s="61"/>
      <x:c r="G2002" s="63"/>
      <x:c r="H2002" s="63">
        <x:f t="shared" si="135"/>
        <x:v>0</x:v>
      </x:c>
      <x:c r="I2002" s="64"/>
      <x:c r="J2002" s="63">
        <x:f t="shared" si="136"/>
        <x:v>0</x:v>
      </x:c>
      <x:c r="K2002" s="63" t="str">
        <x:f t="shared" si="134"/>
      </x:c>
      <x:c r="L2002" s="63">
        <x:f t="shared" si="137"/>
        <x:v>0</x:v>
      </x:c>
      <x:c r="M2002" s="61"/>
    </x:row>
    <x:row r="2003">
      <x:c r="A2003" s="61" t="str">
        <x:f>IF(E2003="","",MAX($A$6:A2002)+1)</x:f>
      </x:c>
      <x:c r="B2003" s="61"/>
      <x:c r="C2003" s="61"/>
      <x:c r="D2003" s="62"/>
      <x:c r="E2003" s="61"/>
      <x:c r="F2003" s="61"/>
      <x:c r="G2003" s="63"/>
      <x:c r="H2003" s="63">
        <x:f t="shared" si="135"/>
        <x:v>0</x:v>
      </x:c>
      <x:c r="I2003" s="64"/>
      <x:c r="J2003" s="63">
        <x:f t="shared" si="136"/>
        <x:v>0</x:v>
      </x:c>
      <x:c r="K2003" s="63" t="str">
        <x:f t="shared" si="134"/>
      </x:c>
      <x:c r="L2003" s="63">
        <x:f t="shared" si="137"/>
        <x:v>0</x:v>
      </x:c>
      <x:c r="M2003" s="61"/>
    </x:row>
    <x:row r="2004">
      <x:c r="A2004" s="61" t="str">
        <x:f>IF(E2004="","",MAX($A$6:A2003)+1)</x:f>
      </x:c>
      <x:c r="B2004" s="61"/>
      <x:c r="C2004" s="61"/>
      <x:c r="D2004" s="62"/>
      <x:c r="E2004" s="61"/>
      <x:c r="F2004" s="61"/>
      <x:c r="G2004" s="63"/>
      <x:c r="H2004" s="63">
        <x:f t="shared" si="135"/>
        <x:v>0</x:v>
      </x:c>
      <x:c r="I2004" s="64"/>
      <x:c r="J2004" s="63">
        <x:f t="shared" si="136"/>
        <x:v>0</x:v>
      </x:c>
      <x:c r="K2004" s="63" t="str">
        <x:f t="shared" si="134"/>
      </x:c>
      <x:c r="L2004" s="63">
        <x:f t="shared" si="137"/>
        <x:v>0</x:v>
      </x:c>
      <x:c r="M2004" s="61"/>
    </x:row>
  </x:sheetData>
  <x:pageMargins left="0.7" right="0.7" top="0.75" bottom="0.75" header="0.3" footer="0.3"/>
  <x:tableParts count="1">
    <x:tablePart xmlns:r="http://schemas.openxmlformats.org/officeDocument/2006/relationships" r:id="Rf78adc13ce4e4e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28" customWidth="1"/>
    <x:col min="3" max="3" width="30" customWidth="1"/>
    <x:col min="4" max="5" width="42" customWidth="1"/>
    <x:col min="6" max="6" width="60" customWidth="1"/>
    <x:col min="7" max="8" width="16" customWidth="1"/>
    <x:col min="9" max="9" width="22" customWidth="1"/>
  </x:cols>
  <x:sheetData>
    <x:row r="1" ht="19.5">
      <x:c r="A1" s="161" t="s">
        <x:v>241</x:v>
      </x:c>
      <x:c r="B1" s="161"/>
      <x:c r="C1" s="161"/>
      <x:c r="D1" s="161"/>
      <x:c r="E1" s="161"/>
      <x:c r="F1" s="161"/>
      <x:c r="G1" s="161"/>
      <x:c r="H1" s="161"/>
      <x:c r="I1" s="162"/>
    </x:row>
    <x:row r="2">
      <x:c r="A2" s="163"/>
      <x:c r="B2" s="163"/>
      <x:c r="C2" s="163"/>
      <x:c r="D2" s="163"/>
      <x:c r="E2" s="163"/>
      <x:c r="F2" s="163"/>
      <x:c r="G2" s="163"/>
      <x:c r="H2" s="163"/>
      <x:c r="I2" s="163"/>
    </x:row>
    <x:row r="3">
      <x:c r="A3" s="163" t="s">
        <x:v>242</x:v>
      </x:c>
      <x:c r="B3" s="164" t="n">
        <x:f>'جدول الاصول الثابته الجديد'!$F$1</x:f>
        <x:v>46387</x:v>
      </x:c>
      <x:c r="C3" s="163"/>
      <x:c r="D3" s="163" t="s">
        <x:v>243</x:v>
      </x:c>
      <x:c r="E3" s="163" t="n">
        <x:f>'جدول الاصول الثابته الجديد'!$F$1</x:f>
        <x:v>46387</x:v>
      </x:c>
      <x:c r="F3" s="163"/>
      <x:c r="G3" s="163"/>
      <x:c r="H3" s="163"/>
      <x:c r="I3" s="163"/>
    </x:row>
    <x:row r="4">
      <x:c r="A4" s="165" t="str">
        <x:v>تاريخ القيد مرتبط بتاريخ الحساب F1 في شيت الأصول. لتجهيز قيد أبريل 2026 غيّر F1 إلى 30-04-2026.</x:v>
      </x:c>
      <x:c r="B4" s="165"/>
      <x:c r="C4" s="165"/>
      <x:c r="D4" s="165"/>
      <x:c r="E4" s="165"/>
      <x:c r="F4" s="165"/>
      <x:c r="G4" s="166" t="str">
        <x:v>فرق المطابقة</x:v>
      </x:c>
      <x:c r="H4" s="157" t="n">
        <x:f>SUM('جدول الاصول الثابته الجديد'!$L$6:$L$2004)-SUM(G7:G146)</x:f>
        <x:v>50082.19517591633</x:v>
      </x:c>
      <x:c r="I4" s="163" t="str">
        <x:v>يجب أن تكون = 0.00</x:v>
      </x:c>
    </x:row>
    <x:row r="5">
      <x:c r="A5" s="163"/>
      <x:c r="B5" s="163"/>
      <x:c r="C5" s="163"/>
      <x:c r="D5" s="163"/>
      <x:c r="E5" s="163"/>
      <x:c r="F5" s="163"/>
      <x:c r="G5" s="163"/>
      <x:c r="H5" s="163"/>
      <x:c r="I5" s="163"/>
    </x:row>
    <x:row r="6">
      <x:c r="A6" s="167" t="s">
        <x:v>242</x:v>
      </x:c>
      <x:c r="B6" s="167" t="s">
        <x:v>3</x:v>
      </x:c>
      <x:c r="C6" s="167" t="s">
        <x:v>244</x:v>
      </x:c>
      <x:c r="D6" s="167" t="s">
        <x:v>245</x:v>
      </x:c>
      <x:c r="E6" s="167" t="s">
        <x:v>246</x:v>
      </x:c>
      <x:c r="F6" s="167" t="s">
        <x:v>247</x:v>
      </x:c>
      <x:c r="G6" s="167" t="s">
        <x:v>248</x:v>
      </x:c>
      <x:c r="H6" s="167" t="s">
        <x:v>249</x:v>
      </x:c>
      <x:c r="I6" s="163" t="s">
        <x:v>250</x:v>
      </x:c>
    </x:row>
    <x:row r="7" ht="30">
      <x:c r="A7" s="159" t="n">
        <x:f t="shared" ref="A7:A38" si="0">IF(B7="","",$B$3)</x:f>
        <x:v>46387</x:v>
      </x:c>
      <x:c r="B7" s="163" t="str">
        <x:v>المستودع الرئيسي للصيدليات</x:v>
      </x:c>
      <x:c r="C7" s="163" t="str">
        <x:f ca="1">IFERROR(INDEX('ربط حسابات الإهلاك'!$B$5:$B$14,MATCH(I7,'ربط حسابات الإهلاك'!$C$5:$C$14,0))&amp;" - "&amp;I7,I7)</x:f>
        <x:v>120101009000 - اجهزة ومعدات طبية</x:v>
      </x:c>
      <x:c r="D7" s="163" t="str">
        <x:f>IFERROR(INDEX('ربط حسابات الإهلاك'!$F$5:$F$14,MATCH(I7,'ربط حسابات الإهلاك'!$C$5:$C$14,0))&amp;" - "&amp;INDEX('ربط حسابات الإهلاك'!$G$5:$G$14,MATCH(I7,'ربط حسابات الإهلاك'!$C$5:$C$14,0)),"غير مرتبط")</x:f>
        <x:v>520401004000 - مصروف إهلاك - اجهزة ومعدات طبية</x:v>
      </x:c>
      <x:c r="E7" s="163" t="str">
        <x:f ca="1">IFERROR(INDEX('ربط حسابات الإهلاك'!$D$5:$D$14,MATCH(I7,'ربط حسابات الإهلاك'!$C$5:$C$14,0))&amp;" - "&amp;INDEX('ربط حسابات الإهلاك'!$E$5:$E$14,MATCH(I7,'ربط حسابات الإهلاك'!$C$5:$C$14,0)),"غير مرتبط")</x:f>
        <x:v>120101009002 - مجمع إهلاك - اجهزة ومعدات طبية</x:v>
      </x:c>
      <x:c r="F7" s="163" t="str">
        <x:f t="shared" ref="F7:F38" ca="1" si="1">IF(G7=0,"",IF(I7="البرامج والأنظمة","إثبات مصروف ومجمع الإطفاء عن الفترة "&amp;TEXT($B$3,"mm-yyyy")&amp;" - مركز التكلفة: "&amp;B7&amp;" - حساب الأصل: "&amp;I7,"إثبات مصروف ومجمع الإهلاك عن الفترة "&amp;TEXT($B$3,"mm-yyyy")&amp;" - مركز التكلفة: "&amp;B7&amp;" - حساب الأصل: "&amp;I7))</x:f>
      </x:c>
      <x:c r="G7" s="155" t="n">
        <x:f>SUMIFS('جدول الاصول الثابته الجديد'!$L$6:$L$2004,'جدول الاصول الثابته الجديد'!$B$6:$B$2004,B7,'جدول الاصول الثابته الجديد'!$C$6:$C$2004,I7)</x:f>
        <x:v>0</x:v>
      </x:c>
      <x:c r="H7" s="155" t="n">
        <x:f t="shared" ref="H7:H38" si="2">G7</x:f>
        <x:v>0</x:v>
      </x:c>
      <x:c r="I7" s="163" t="str">
        <x:v>اجهزة ومعدات طبية</x:v>
      </x:c>
    </x:row>
    <x:row r="8" ht="30">
      <x:c r="A8" s="159" t="n">
        <x:f t="shared" si="0">IF(B8="","",$B$3)</x:f>
        <x:v>46387</x:v>
      </x:c>
      <x:c r="B8" s="163" t="str">
        <x:v>المستودع الرئيسي للصيدليات</x:v>
      </x:c>
      <x:c r="C8" s="163" t="str">
        <x:f ca="1">IFERROR(INDEX('ربط حسابات الإهلاك'!$B$5:$B$14,MATCH(I8,'ربط حسابات الإهلاك'!$C$5:$C$14,0))&amp;" - "&amp;I8,I8)</x:f>
        <x:v>120101003000 - السيارات</x:v>
      </x:c>
      <x:c r="D8" s="163" t="str">
        <x:f>IFERROR(INDEX('ربط حسابات الإهلاك'!$F$5:$F$14,MATCH(I8,'ربط حسابات الإهلاك'!$C$5:$C$14,0))&amp;" - "&amp;INDEX('ربط حسابات الإهلاك'!$G$5:$G$14,MATCH(I8,'ربط حسابات الإهلاك'!$C$5:$C$14,0)),"غير مرتبط")</x:f>
        <x:v>520401005000 - مصروف إهلاك - السيارات</x:v>
      </x:c>
      <x:c r="E8" s="163" t="str">
        <x:f>IFERROR(INDEX('ربط حسابات الإهلاك'!$D$5:$D$14,MATCH(I8,'ربط حسابات الإهلاك'!$C$5:$C$14,0))&amp;" - "&amp;INDEX('ربط حسابات الإهلاك'!$E$5:$E$14,MATCH(I8,'ربط حسابات الإهلاك'!$C$5:$C$14,0)),"غير مرتبط")</x:f>
        <x:v>120101003001 - مجمع إهلاك - السيارات</x:v>
      </x:c>
      <x:c r="F8" s="163" t="str">
        <x:f t="shared" ca="1" si="1">IF(G8=0,"",IF(I8="البرامج والأنظمة","إثبات مصروف ومجمع الإطفاء عن الفترة "&amp;TEXT($B$3,"mm-yyyy")&amp;" - مركز التكلفة: "&amp;B8&amp;" - حساب الأصل: "&amp;I8,"إثبات مصروف ومجمع الإهلاك عن الفترة "&amp;TEXT($B$3,"mm-yyyy")&amp;" - مركز التكلفة: "&amp;B8&amp;" - حساب الأصل: "&amp;I8))</x:f>
      </x:c>
      <x:c r="G8" s="155" t="n">
        <x:f>SUMIFS('جدول الاصول الثابته الجديد'!$L$6:$L$2004,'جدول الاصول الثابته الجديد'!$B$6:$B$2004,B8,'جدول الاصول الثابته الجديد'!$C$6:$C$2004,I8)</x:f>
        <x:v>0</x:v>
      </x:c>
      <x:c r="H8" s="155" t="n">
        <x:f t="shared" si="2">G8</x:f>
        <x:v>0</x:v>
      </x:c>
      <x:c r="I8" s="163" t="str">
        <x:v>السيارات</x:v>
      </x:c>
    </x:row>
    <x:row r="9" ht="30">
      <x:c r="A9" s="159" t="n">
        <x:f t="shared" si="0">IF(B9="","",$B$3)</x:f>
        <x:v>46387</x:v>
      </x:c>
      <x:c r="B9" s="163" t="str">
        <x:v>المستودع الرئيسي للصيدليات</x:v>
      </x:c>
      <x:c r="C9" s="163" t="str">
        <x:f ca="1">IFERROR(INDEX('ربط حسابات الإهلاك'!$B$5:$B$14,MATCH(I9,'ربط حسابات الإهلاك'!$C$5:$C$14,0))&amp;" - "&amp;I9,I9)</x:f>
        <x:v>120101005001 - أثاث و مفروشات</x:v>
      </x:c>
      <x:c r="D9" s="163" t="str">
        <x:f>IFERROR(INDEX('ربط حسابات الإهلاك'!$F$5:$F$14,MATCH(I9,'ربط حسابات الإهلاك'!$C$5:$C$14,0))&amp;" - "&amp;INDEX('ربط حسابات الإهلاك'!$G$5:$G$14,MATCH(I9,'ربط حسابات الإهلاك'!$C$5:$C$14,0)),"غير مرتبط")</x:f>
        <x:v>520401006000 - مصروف إهلاك - أثاث و مفروشات</x:v>
      </x:c>
      <x:c r="E9" s="163" t="str">
        <x:f>IFERROR(INDEX('ربط حسابات الإهلاك'!$D$5:$D$14,MATCH(I9,'ربط حسابات الإهلاك'!$C$5:$C$14,0))&amp;" - "&amp;INDEX('ربط حسابات الإهلاك'!$E$5:$E$14,MATCH(I9,'ربط حسابات الإهلاك'!$C$5:$C$14,0)),"غير مرتبط")</x:f>
        <x:v>120101005002 - مجمع إهلاك - أثاث و مفروشات</x:v>
      </x:c>
      <x:c r="F9" s="163" t="str">
        <x:f t="shared" ca="1" si="1">IF(G9=0,"",IF(I9="البرامج والأنظمة","إثبات مصروف ومجمع الإطفاء عن الفترة "&amp;TEXT($B$3,"mm-yyyy")&amp;" - مركز التكلفة: "&amp;B9&amp;" - حساب الأصل: "&amp;I9,"إثبات مصروف ومجمع الإهلاك عن الفترة "&amp;TEXT($B$3,"mm-yyyy")&amp;" - مركز التكلفة: "&amp;B9&amp;" - حساب الأصل: "&amp;I9))</x:f>
      </x:c>
      <x:c r="G9" s="155" t="n">
        <x:f>SUMIFS('جدول الاصول الثابته الجديد'!$L$6:$L$2004,'جدول الاصول الثابته الجديد'!$B$6:$B$2004,B9,'جدول الاصول الثابته الجديد'!$C$6:$C$2004,I9)</x:f>
        <x:v>0</x:v>
      </x:c>
      <x:c r="H9" s="155" t="n">
        <x:f t="shared" si="2">G9</x:f>
        <x:v>0</x:v>
      </x:c>
      <x:c r="I9" s="163" t="str">
        <x:v>أثاث و مفروشات</x:v>
      </x:c>
    </x:row>
    <x:row r="10" ht="30">
      <x:c r="A10" s="159" t="n">
        <x:f t="shared" si="0">IF(B10="","",$B$3)</x:f>
        <x:v>46387</x:v>
      </x:c>
      <x:c r="B10" s="163" t="str">
        <x:v>المستودع الرئيسي للصيدليات</x:v>
      </x:c>
      <x:c r="C10" s="163" t="str">
        <x:f ca="1">IFERROR(INDEX('ربط حسابات الإهلاك'!$B$5:$B$14,MATCH(I10,'ربط حسابات الإهلاك'!$C$5:$C$14,0))&amp;" - "&amp;I10,I10)</x:f>
        <x:v>120101011001 - أثاث و مفروشات السكن</x:v>
      </x:c>
      <x:c r="D10" s="163" t="str">
        <x:f>IFERROR(INDEX('ربط حسابات الإهلاك'!$F$5:$F$14,MATCH(I10,'ربط حسابات الإهلاك'!$C$5:$C$14,0))&amp;" - "&amp;INDEX('ربط حسابات الإهلاك'!$G$5:$G$14,MATCH(I10,'ربط حسابات الإهلاك'!$C$5:$C$14,0)),"غير مرتبط")</x:f>
        <x:v>520401007000 - مصروف إهلاك - أثاث و مفروشات السكن</x:v>
      </x:c>
      <x:c r="E10" s="163" t="str">
        <x:f>IFERROR(INDEX('ربط حسابات الإهلاك'!$D$5:$D$14,MATCH(I10,'ربط حسابات الإهلاك'!$C$5:$C$14,0))&amp;" - "&amp;INDEX('ربط حسابات الإهلاك'!$E$5:$E$14,MATCH(I10,'ربط حسابات الإهلاك'!$C$5:$C$14,0)),"غير مرتبط")</x:f>
        <x:v>120101011002 - مجمع إهلاك - أثاث و مفروشات السكن</x:v>
      </x:c>
      <x:c r="F10" s="163" t="str">
        <x:f t="shared" ca="1" si="1">IF(G10=0,"",IF(I10="البرامج والأنظمة","إثبات مصروف ومجمع الإطفاء عن الفترة "&amp;TEXT($B$3,"mm-yyyy")&amp;" - مركز التكلفة: "&amp;B10&amp;" - حساب الأصل: "&amp;I10,"إثبات مصروف ومجمع الإهلاك عن الفترة "&amp;TEXT($B$3,"mm-yyyy")&amp;" - مركز التكلفة: "&amp;B10&amp;" - حساب الأصل: "&amp;I10))</x:f>
      </x:c>
      <x:c r="G10" s="155" t="n">
        <x:f>SUMIFS('جدول الاصول الثابته الجديد'!$L$6:$L$2004,'جدول الاصول الثابته الجديد'!$B$6:$B$2004,B10,'جدول الاصول الثابته الجديد'!$C$6:$C$2004,I10)</x:f>
        <x:v>0</x:v>
      </x:c>
      <x:c r="H10" s="155" t="n">
        <x:f t="shared" si="2">G10</x:f>
        <x:v>0</x:v>
      </x:c>
      <x:c r="I10" s="163" t="str">
        <x:v>أثاث و مفروشات السكن</x:v>
      </x:c>
    </x:row>
    <x:row r="11" ht="30">
      <x:c r="A11" s="159" t="n">
        <x:f t="shared" si="0">IF(B11="","",$B$3)</x:f>
        <x:v>46387</x:v>
      </x:c>
      <x:c r="B11" s="163" t="str">
        <x:v>المستودع الرئيسي للصيدليات</x:v>
      </x:c>
      <x:c r="C11" s="163" t="str">
        <x:f ca="1">IFERROR(INDEX('ربط حسابات الإهلاك'!$B$5:$B$14,MATCH(I11,'ربط حسابات الإهلاك'!$C$5:$C$14,0))&amp;" - "&amp;I11,I11)</x:f>
        <x:v>120101006001 - الاجهزة الالكترونية والحاسب الالي وملحقاته</x:v>
      </x:c>
      <x:c r="D11" s="163" t="str">
        <x:f>IFERROR(INDEX('ربط حسابات الإهلاك'!$F$5:$F$14,MATCH(I11,'ربط حسابات الإهلاك'!$C$5:$C$14,0))&amp;" - "&amp;INDEX('ربط حسابات الإهلاك'!$G$5:$G$14,MATCH(I11,'ربط حسابات الإهلاك'!$C$5:$C$14,0)),"غير مرتبط")</x:f>
        <x:v>520401009000 - مصروف إهلاك - الاجهزة الالكترونية والحاسب الالي وملحقاته</x:v>
      </x:c>
      <x:c r="E11" s="163" t="str">
        <x:f>IFERROR(INDEX('ربط حسابات الإهلاك'!$D$5:$D$14,MATCH(I11,'ربط حسابات الإهلاك'!$C$5:$C$14,0))&amp;" - "&amp;INDEX('ربط حسابات الإهلاك'!$E$5:$E$14,MATCH(I11,'ربط حسابات الإهلاك'!$C$5:$C$14,0)),"غير مرتبط")</x:f>
        <x:v>120101006002 - مجمع إهلاك - الاجهزة الالكترونية والحاسب الالي وملحقاته</x:v>
      </x:c>
      <x:c r="F11" s="163" t="str">
        <x:f t="shared" ca="1" si="1">IF(G11=0,"",IF(I11="البرامج والأنظمة","إثبات مصروف ومجمع الإطفاء عن الفترة "&amp;TEXT($B$3,"mm-yyyy")&amp;" - مركز التكلفة: "&amp;B11&amp;" - حساب الأصل: "&amp;I11,"إثبات مصروف ومجمع الإهلاك عن الفترة "&amp;TEXT($B$3,"mm-yyyy")&amp;" - مركز التكلفة: "&amp;B11&amp;" - حساب الأصل: "&amp;I11))</x:f>
      </x:c>
      <x:c r="G11" s="155" t="n">
        <x:f>SUMIFS('جدول الاصول الثابته الجديد'!$L$6:$L$2004,'جدول الاصول الثابته الجديد'!$B$6:$B$2004,B11,'جدول الاصول الثابته الجديد'!$C$6:$C$2004,I11)</x:f>
        <x:v>0</x:v>
      </x:c>
      <x:c r="H11" s="155" t="n">
        <x:f t="shared" si="2">G11</x:f>
        <x:v>0</x:v>
      </x:c>
      <x:c r="I11" s="163" t="str">
        <x:v>الاجهزة الالكترونية والحاسب الالي وملحقاته</x:v>
      </x:c>
    </x:row>
    <x:row r="12" ht="30">
      <x:c r="A12" s="159" t="n">
        <x:f t="shared" si="0">IF(B12="","",$B$3)</x:f>
        <x:v>46387</x:v>
      </x:c>
      <x:c r="B12" s="163" t="str">
        <x:v>المستودع الرئيسي للصيدليات</x:v>
      </x:c>
      <x:c r="C12" s="163" t="str">
        <x:f ca="1">IFERROR(INDEX('ربط حسابات الإهلاك'!$B$5:$B$14,MATCH(I12,'ربط حسابات الإهلاك'!$C$5:$C$14,0))&amp;" - "&amp;I12,I12)</x:f>
        <x:v>120101007001 - الاجهزة الكهربائية</x:v>
      </x:c>
      <x:c r="D12" s="163" t="str">
        <x:f>IFERROR(INDEX('ربط حسابات الإهلاك'!$F$5:$F$14,MATCH(I12,'ربط حسابات الإهلاك'!$C$5:$C$14,0))&amp;" - "&amp;INDEX('ربط حسابات الإهلاك'!$G$5:$G$14,MATCH(I12,'ربط حسابات الإهلاك'!$C$5:$C$14,0)),"غير مرتبط")</x:f>
        <x:v>520401008000 - مصروف إهلاك - الاجهزة الكهربائية</x:v>
      </x:c>
      <x:c r="E12" s="163" t="str">
        <x:f>IFERROR(INDEX('ربط حسابات الإهلاك'!$D$5:$D$14,MATCH(I12,'ربط حسابات الإهلاك'!$C$5:$C$14,0))&amp;" - "&amp;INDEX('ربط حسابات الإهلاك'!$E$5:$E$14,MATCH(I12,'ربط حسابات الإهلاك'!$C$5:$C$14,0)),"غير مرتبط")</x:f>
        <x:v>120101007002 - مجمع إهلاك - الاجهزة الكهربائية</x:v>
      </x:c>
      <x:c r="F12" s="163" t="str">
        <x:f t="shared" ca="1" si="1">IF(G12=0,"",IF(I12="البرامج والأنظمة","إثبات مصروف ومجمع الإطفاء عن الفترة "&amp;TEXT($B$3,"mm-yyyy")&amp;" - مركز التكلفة: "&amp;B12&amp;" - حساب الأصل: "&amp;I12,"إثبات مصروف ومجمع الإهلاك عن الفترة "&amp;TEXT($B$3,"mm-yyyy")&amp;" - مركز التكلفة: "&amp;B12&amp;" - حساب الأصل: "&amp;I12))</x:f>
        <x:v>إثبات مصروف ومجمع الإهلاك عن الفترة 12-2026 - مركز التكلفة: المستودع الرئيسي للصيدليات - حساب الأصل: الاجهزة الكهربائية</x:v>
      </x:c>
      <x:c r="G12" s="155" t="n">
        <x:f>SUMIFS('جدول الاصول الثابته الجديد'!$L$6:$L$2004,'جدول الاصول الثابته الجديد'!$B$6:$B$2004,B12,'جدول الاصول الثابته الجديد'!$C$6:$C$2004,I12)</x:f>
        <x:v>40.42133333333334</x:v>
      </x:c>
      <x:c r="H12" s="155" t="n">
        <x:f t="shared" si="2">G12</x:f>
        <x:v>40.42133333333334</x:v>
      </x:c>
      <x:c r="I12" s="163" t="str">
        <x:v>الاجهزة الكهربائية</x:v>
      </x:c>
    </x:row>
    <x:row r="13" ht="30">
      <x:c r="A13" s="159" t="n">
        <x:f t="shared" si="0">IF(B13="","",$B$3)</x:f>
        <x:v>46387</x:v>
      </x:c>
      <x:c r="B13" s="163" t="str">
        <x:v>المستودع الرئيسي للصيدليات</x:v>
      </x:c>
      <x:c r="C13" s="163" t="str">
        <x:f ca="1">IFERROR(INDEX('ربط حسابات الإهلاك'!$B$5:$B$14,MATCH(I13,'ربط حسابات الإهلاك'!$C$5:$C$14,0))&amp;" - "&amp;I13,I13)</x:f>
        <x:v>120101002000 - تحسينات على مباني</x:v>
      </x:c>
      <x:c r="D13" s="163" t="str">
        <x:f>IFERROR(INDEX('ربط حسابات الإهلاك'!$F$5:$F$14,MATCH(I13,'ربط حسابات الإهلاك'!$C$5:$C$14,0))&amp;" - "&amp;INDEX('ربط حسابات الإهلاك'!$G$5:$G$14,MATCH(I13,'ربط حسابات الإهلاك'!$C$5:$C$14,0)),"غير مرتبط")</x:f>
        <x:v>520401001000 - مصروف إهلاك - تحسينات على مباني</x:v>
      </x:c>
      <x:c r="E13" s="163" t="str">
        <x:f>IFERROR(INDEX('ربط حسابات الإهلاك'!$D$5:$D$14,MATCH(I13,'ربط حسابات الإهلاك'!$C$5:$C$14,0))&amp;" - "&amp;INDEX('ربط حسابات الإهلاك'!$E$5:$E$14,MATCH(I13,'ربط حسابات الإهلاك'!$C$5:$C$14,0)),"غير مرتبط")</x:f>
        <x:v>120101002002 - مجمع إهلاك - تحسينات على مباني</x:v>
      </x:c>
      <x:c r="F13" s="163" t="str">
        <x:f t="shared" ca="1" si="1">IF(G13=0,"",IF(I13="البرامج والأنظمة","إثبات مصروف ومجمع الإطفاء عن الفترة "&amp;TEXT($B$3,"mm-yyyy")&amp;" - مركز التكلفة: "&amp;B13&amp;" - حساب الأصل: "&amp;I13,"إثبات مصروف ومجمع الإهلاك عن الفترة "&amp;TEXT($B$3,"mm-yyyy")&amp;" - مركز التكلفة: "&amp;B13&amp;" - حساب الأصل: "&amp;I13))</x:f>
      </x:c>
      <x:c r="G13" s="155" t="n">
        <x:f>SUMIFS('جدول الاصول الثابته الجديد'!$L$6:$L$2004,'جدول الاصول الثابته الجديد'!$B$6:$B$2004,B13,'جدول الاصول الثابته الجديد'!$C$6:$C$2004,I13)</x:f>
        <x:v>0</x:v>
      </x:c>
      <x:c r="H13" s="155" t="n">
        <x:f t="shared" si="2">G13</x:f>
        <x:v>0</x:v>
      </x:c>
      <x:c r="I13" s="163" t="str">
        <x:v>تحسينات على مباني</x:v>
      </x:c>
    </x:row>
    <x:row r="14" ht="30">
      <x:c r="A14" s="159" t="n">
        <x:f t="shared" si="0">IF(B14="","",$B$3)</x:f>
        <x:v>46387</x:v>
      </x:c>
      <x:c r="B14" s="163" t="str">
        <x:v>المستودع الرئيسي للصيدليات</x:v>
      </x:c>
      <x:c r="C14" s="163" t="str">
        <x:f ca="1">IFERROR(INDEX('ربط حسابات الإهلاك'!$B$5:$B$14,MATCH(I14,'ربط حسابات الإهلاك'!$C$5:$C$14,0))&amp;" - "&amp;I14,I14)</x:f>
        <x:v>120101001000 - اجهزة التكييف</x:v>
      </x:c>
      <x:c r="D14" s="163" t="str">
        <x:f>IFERROR(INDEX('ربط حسابات الإهلاك'!$F$5:$F$14,MATCH(I14,'ربط حسابات الإهلاك'!$C$5:$C$14,0))&amp;" - "&amp;INDEX('ربط حسابات الإهلاك'!$G$5:$G$14,MATCH(I14,'ربط حسابات الإهلاك'!$C$5:$C$14,0)),"غير مرتبط")</x:f>
        <x:v>520401002000 - مصروف إهلاك - اجهزة التكييف</x:v>
      </x:c>
      <x:c r="E14" s="163" t="str">
        <x:f>IFERROR(INDEX('ربط حسابات الإهلاك'!$D$5:$D$14,MATCH(I14,'ربط حسابات الإهلاك'!$C$5:$C$14,0))&amp;" - "&amp;INDEX('ربط حسابات الإهلاك'!$E$5:$E$14,MATCH(I14,'ربط حسابات الإهلاك'!$C$5:$C$14,0)),"غير مرتبط")</x:f>
        <x:v>120101001002 - مجمع إهلاك - اجهزة التكييف</x:v>
      </x:c>
      <x:c r="F14" s="163" t="str">
        <x:f t="shared" ca="1" si="1">IF(G14=0,"",IF(I14="البرامج والأنظمة","إثبات مصروف ومجمع الإطفاء عن الفترة "&amp;TEXT($B$3,"mm-yyyy")&amp;" - مركز التكلفة: "&amp;B14&amp;" - حساب الأصل: "&amp;I14,"إثبات مصروف ومجمع الإهلاك عن الفترة "&amp;TEXT($B$3,"mm-yyyy")&amp;" - مركز التكلفة: "&amp;B14&amp;" - حساب الأصل: "&amp;I14))</x:f>
      </x:c>
      <x:c r="G14" s="155" t="n">
        <x:f>SUMIFS('جدول الاصول الثابته الجديد'!$L$6:$L$2004,'جدول الاصول الثابته الجديد'!$B$6:$B$2004,B14,'جدول الاصول الثابته الجديد'!$C$6:$C$2004,I14)</x:f>
        <x:v>0</x:v>
      </x:c>
      <x:c r="H14" s="155" t="n">
        <x:f t="shared" si="2">G14</x:f>
        <x:v>0</x:v>
      </x:c>
      <x:c r="I14" s="163" t="str">
        <x:v>اجهزة التكييف</x:v>
      </x:c>
    </x:row>
    <x:row r="15" ht="30">
      <x:c r="A15" s="159" t="n">
        <x:f t="shared" si="0">IF(B15="","",$B$3)</x:f>
        <x:v>46387</x:v>
      </x:c>
      <x:c r="B15" s="163" t="str">
        <x:v>المستودع الرئيسي للصيدليات</x:v>
      </x:c>
      <x:c r="C15" s="163" t="str">
        <x:f ca="1">IFERROR(INDEX('ربط حسابات الإهلاك'!$B$5:$B$14,MATCH(I15,'ربط حسابات الإهلاك'!$C$5:$C$14,0))&amp;" - "&amp;I15,I15)</x:f>
        <x:v>120101004000 - ديكورات</x:v>
      </x:c>
      <x:c r="D15" s="163" t="str">
        <x:f>IFERROR(INDEX('ربط حسابات الإهلاك'!$F$5:$F$14,MATCH(I15,'ربط حسابات الإهلاك'!$C$5:$C$14,0))&amp;" - "&amp;INDEX('ربط حسابات الإهلاك'!$G$5:$G$14,MATCH(I15,'ربط حسابات الإهلاك'!$C$5:$C$14,0)),"غير مرتبط")</x:f>
        <x:v>520401003000 - مصروف إهلاك - ديكورات</x:v>
      </x:c>
      <x:c r="E15" s="163" t="str">
        <x:f>IFERROR(INDEX('ربط حسابات الإهلاك'!$D$5:$D$14,MATCH(I15,'ربط حسابات الإهلاك'!$C$5:$C$14,0))&amp;" - "&amp;INDEX('ربط حسابات الإهلاك'!$E$5:$E$14,MATCH(I15,'ربط حسابات الإهلاك'!$C$5:$C$14,0)),"غير مرتبط")</x:f>
        <x:v>120101004002 - مجمع إهلاك - ديكورات</x:v>
      </x:c>
      <x:c r="F15" s="163" t="str">
        <x:f t="shared" ca="1" si="1">IF(G15=0,"",IF(I15="البرامج والأنظمة","إثبات مصروف ومجمع الإطفاء عن الفترة "&amp;TEXT($B$3,"mm-yyyy")&amp;" - مركز التكلفة: "&amp;B15&amp;" - حساب الأصل: "&amp;I15,"إثبات مصروف ومجمع الإهلاك عن الفترة "&amp;TEXT($B$3,"mm-yyyy")&amp;" - مركز التكلفة: "&amp;B15&amp;" - حساب الأصل: "&amp;I15))</x:f>
      </x:c>
      <x:c r="G15" s="155" t="n">
        <x:f>SUMIFS('جدول الاصول الثابته الجديد'!$L$6:$L$2004,'جدول الاصول الثابته الجديد'!$B$6:$B$2004,B15,'جدول الاصول الثابته الجديد'!$C$6:$C$2004,I15)</x:f>
        <x:v>0</x:v>
      </x:c>
      <x:c r="H15" s="155" t="n">
        <x:f t="shared" si="2">G15</x:f>
        <x:v>0</x:v>
      </x:c>
      <x:c r="I15" s="163" t="str">
        <x:v>ديكورات</x:v>
      </x:c>
    </x:row>
    <x:row r="16" ht="30">
      <x:c r="A16" s="159" t="n">
        <x:f t="shared" si="0">IF(B16="","",$B$3)</x:f>
        <x:v>46387</x:v>
      </x:c>
      <x:c r="B16" s="163" t="str">
        <x:v>المستودع الرئيسي للصيدليات</x:v>
      </x:c>
      <x:c r="C16" s="163" t="str">
        <x:f ca="1">IFERROR(INDEX('ربط حسابات الإهلاك'!$B$5:$B$14,MATCH(I16,'ربط حسابات الإهلاك'!$C$5:$C$14,0))&amp;" - "&amp;I16,I16)</x:f>
        <x:v>120102001001 - البرامج والأنظمة</x:v>
      </x:c>
      <x:c r="D16" s="163" t="str">
        <x:f>IFERROR(INDEX('ربط حسابات الإهلاك'!$F$5:$F$14,MATCH(I16,'ربط حسابات الإهلاك'!$C$5:$C$14,0))&amp;" - "&amp;INDEX('ربط حسابات الإهلاك'!$G$5:$G$14,MATCH(I16,'ربط حسابات الإهلاك'!$C$5:$C$14,0)),"غير مرتبط")</x:f>
        <x:v>520401010000 - مصروف إطفاء - البرامج والأنظمة</x:v>
      </x:c>
      <x:c r="E16" s="163" t="str">
        <x:f>IFERROR(INDEX('ربط حسابات الإهلاك'!$D$5:$D$14,MATCH(I16,'ربط حسابات الإهلاك'!$C$5:$C$14,0))&amp;" - "&amp;INDEX('ربط حسابات الإهلاك'!$E$5:$E$14,MATCH(I16,'ربط حسابات الإهلاك'!$C$5:$C$14,0)),"غير مرتبط")</x:f>
        <x:v>120102001002 - مجمع إطفاء - البرامج والأنظمة</x:v>
      </x:c>
      <x:c r="F16" s="163" t="str">
        <x:f t="shared" ca="1" si="1">IF(G16=0,"",IF(I16="البرامج والأنظمة","إثبات مصروف ومجمع الإطفاء عن الفترة "&amp;TEXT($B$3,"mm-yyyy")&amp;" - مركز التكلفة: "&amp;B16&amp;" - حساب الأصل: "&amp;I16,"إثبات مصروف ومجمع الإهلاك عن الفترة "&amp;TEXT($B$3,"mm-yyyy")&amp;" - مركز التكلفة: "&amp;B16&amp;" - حساب الأصل: "&amp;I16))</x:f>
      </x:c>
      <x:c r="G16" s="155" t="n">
        <x:f>SUMIFS('جدول الاصول الثابته الجديد'!$L$6:$L$2004,'جدول الاصول الثابته الجديد'!$B$6:$B$2004,B16,'جدول الاصول الثابته الجديد'!$C$6:$C$2004,I16)</x:f>
        <x:v>0</x:v>
      </x:c>
      <x:c r="H16" s="155" t="n">
        <x:f t="shared" si="2">G16</x:f>
        <x:v>0</x:v>
      </x:c>
      <x:c r="I16" s="163" t="str">
        <x:v>البرامج والأنظمة</x:v>
      </x:c>
    </x:row>
    <x:row r="17" ht="30">
      <x:c r="A17" s="159" t="n">
        <x:f t="shared" si="0">IF(B17="","",$B$3)</x:f>
        <x:v>46387</x:v>
      </x:c>
      <x:c r="B17" s="163" t="str">
        <x:v>صيدلية النهضة 2</x:v>
      </x:c>
      <x:c r="C17" s="163" t="str">
        <x:f ca="1">IFERROR(INDEX('ربط حسابات الإهلاك'!$B$5:$B$14,MATCH(I17,'ربط حسابات الإهلاك'!$C$5:$C$14,0))&amp;" - "&amp;I17,I17)</x:f>
        <x:v>120101009000 - اجهزة ومعدات طبية</x:v>
      </x:c>
      <x:c r="D17" s="163" t="str">
        <x:f>IFERROR(INDEX('ربط حسابات الإهلاك'!$F$5:$F$14,MATCH(I17,'ربط حسابات الإهلاك'!$C$5:$C$14,0))&amp;" - "&amp;INDEX('ربط حسابات الإهلاك'!$G$5:$G$14,MATCH(I17,'ربط حسابات الإهلاك'!$C$5:$C$14,0)),"غير مرتبط")</x:f>
        <x:v>520401004000 - مصروف إهلاك - اجهزة ومعدات طبية</x:v>
      </x:c>
      <x:c r="E17" s="163" t="str">
        <x:f>IFERROR(INDEX('ربط حسابات الإهلاك'!$D$5:$D$14,MATCH(I17,'ربط حسابات الإهلاك'!$C$5:$C$14,0))&amp;" - "&amp;INDEX('ربط حسابات الإهلاك'!$E$5:$E$14,MATCH(I17,'ربط حسابات الإهلاك'!$C$5:$C$14,0)),"غير مرتبط")</x:f>
        <x:v>120101009002 - مجمع إهلاك - اجهزة ومعدات طبية</x:v>
      </x:c>
      <x:c r="F17" s="163" t="str">
        <x:f t="shared" ca="1" si="1">IF(G17=0,"",IF(I17="البرامج والأنظمة","إثبات مصروف ومجمع الإطفاء عن الفترة "&amp;TEXT($B$3,"mm-yyyy")&amp;" - مركز التكلفة: "&amp;B17&amp;" - حساب الأصل: "&amp;I17,"إثبات مصروف ومجمع الإهلاك عن الفترة "&amp;TEXT($B$3,"mm-yyyy")&amp;" - مركز التكلفة: "&amp;B17&amp;" - حساب الأصل: "&amp;I17))</x:f>
      </x:c>
      <x:c r="G17" s="155" t="n">
        <x:f>SUMIFS('جدول الاصول الثابته الجديد'!$L$6:$L$2004,'جدول الاصول الثابته الجديد'!$B$6:$B$2004,B17,'جدول الاصول الثابته الجديد'!$C$6:$C$2004,I17)</x:f>
        <x:v>0</x:v>
      </x:c>
      <x:c r="H17" s="155" t="n">
        <x:f t="shared" si="2">G17</x:f>
        <x:v>0</x:v>
      </x:c>
      <x:c r="I17" s="163" t="str">
        <x:v>اجهزة ومعدات طبية</x:v>
      </x:c>
    </x:row>
    <x:row r="18" ht="30">
      <x:c r="A18" s="159" t="n">
        <x:f t="shared" si="0">IF(B18="","",$B$3)</x:f>
        <x:v>46387</x:v>
      </x:c>
      <x:c r="B18" s="163" t="str">
        <x:v>صيدلية النهضة 2</x:v>
      </x:c>
      <x:c r="C18" s="163" t="str">
        <x:f ca="1">IFERROR(INDEX('ربط حسابات الإهلاك'!$B$5:$B$14,MATCH(I18,'ربط حسابات الإهلاك'!$C$5:$C$14,0))&amp;" - "&amp;I18,I18)</x:f>
        <x:v>120101003000 - السيارات</x:v>
      </x:c>
      <x:c r="D18" s="163" t="str">
        <x:f>IFERROR(INDEX('ربط حسابات الإهلاك'!$F$5:$F$14,MATCH(I18,'ربط حسابات الإهلاك'!$C$5:$C$14,0))&amp;" - "&amp;INDEX('ربط حسابات الإهلاك'!$G$5:$G$14,MATCH(I18,'ربط حسابات الإهلاك'!$C$5:$C$14,0)),"غير مرتبط")</x:f>
        <x:v>520401005000 - مصروف إهلاك - السيارات</x:v>
      </x:c>
      <x:c r="E18" s="163" t="str">
        <x:f>IFERROR(INDEX('ربط حسابات الإهلاك'!$D$5:$D$14,MATCH(I18,'ربط حسابات الإهلاك'!$C$5:$C$14,0))&amp;" - "&amp;INDEX('ربط حسابات الإهلاك'!$E$5:$E$14,MATCH(I18,'ربط حسابات الإهلاك'!$C$5:$C$14,0)),"غير مرتبط")</x:f>
        <x:v>120101003001 - مجمع إهلاك - السيارات</x:v>
      </x:c>
      <x:c r="F18" s="163" t="str">
        <x:f t="shared" ca="1" si="1">IF(G18=0,"",IF(I18="البرامج والأنظمة","إثبات مصروف ومجمع الإطفاء عن الفترة "&amp;TEXT($B$3,"mm-yyyy")&amp;" - مركز التكلفة: "&amp;B18&amp;" - حساب الأصل: "&amp;I18,"إثبات مصروف ومجمع الإهلاك عن الفترة "&amp;TEXT($B$3,"mm-yyyy")&amp;" - مركز التكلفة: "&amp;B18&amp;" - حساب الأصل: "&amp;I18))</x:f>
      </x:c>
      <x:c r="G18" s="155" t="n">
        <x:f>SUMIFS('جدول الاصول الثابته الجديد'!$L$6:$L$2004,'جدول الاصول الثابته الجديد'!$B$6:$B$2004,B18,'جدول الاصول الثابته الجديد'!$C$6:$C$2004,I18)</x:f>
        <x:v>0</x:v>
      </x:c>
      <x:c r="H18" s="155" t="n">
        <x:f t="shared" si="2">G18</x:f>
        <x:v>0</x:v>
      </x:c>
      <x:c r="I18" s="163" t="str">
        <x:v>السيارات</x:v>
      </x:c>
    </x:row>
    <x:row r="19" ht="30">
      <x:c r="A19" s="159" t="n">
        <x:f t="shared" si="0">IF(B19="","",$B$3)</x:f>
        <x:v>46387</x:v>
      </x:c>
      <x:c r="B19" s="163" t="str">
        <x:v>صيدلية النهضة 2</x:v>
      </x:c>
      <x:c r="C19" s="163" t="str">
        <x:f ca="1">IFERROR(INDEX('ربط حسابات الإهلاك'!$B$5:$B$14,MATCH(I19,'ربط حسابات الإهلاك'!$C$5:$C$14,0))&amp;" - "&amp;I19,I19)</x:f>
        <x:v>120101005001 - أثاث و مفروشات</x:v>
      </x:c>
      <x:c r="D19" s="163" t="str">
        <x:f>IFERROR(INDEX('ربط حسابات الإهلاك'!$F$5:$F$14,MATCH(I19,'ربط حسابات الإهلاك'!$C$5:$C$14,0))&amp;" - "&amp;INDEX('ربط حسابات الإهلاك'!$G$5:$G$14,MATCH(I19,'ربط حسابات الإهلاك'!$C$5:$C$14,0)),"غير مرتبط")</x:f>
        <x:v>520401006000 - مصروف إهلاك - أثاث و مفروشات</x:v>
      </x:c>
      <x:c r="E19" s="163" t="str">
        <x:f>IFERROR(INDEX('ربط حسابات الإهلاك'!$D$5:$D$14,MATCH(I19,'ربط حسابات الإهلاك'!$C$5:$C$14,0))&amp;" - "&amp;INDEX('ربط حسابات الإهلاك'!$E$5:$E$14,MATCH(I19,'ربط حسابات الإهلاك'!$C$5:$C$14,0)),"غير مرتبط")</x:f>
        <x:v>120101005002 - مجمع إهلاك - أثاث و مفروشات</x:v>
      </x:c>
      <x:c r="F19" s="163" t="str">
        <x:f t="shared" ca="1" si="1">IF(G19=0,"",IF(I19="البرامج والأنظمة","إثبات مصروف ومجمع الإطفاء عن الفترة "&amp;TEXT($B$3,"mm-yyyy")&amp;" - مركز التكلفة: "&amp;B19&amp;" - حساب الأصل: "&amp;I19,"إثبات مصروف ومجمع الإهلاك عن الفترة "&amp;TEXT($B$3,"mm-yyyy")&amp;" - مركز التكلفة: "&amp;B19&amp;" - حساب الأصل: "&amp;I19))</x:f>
      </x:c>
      <x:c r="G19" s="155" t="n">
        <x:f>SUMIFS('جدول الاصول الثابته الجديد'!$L$6:$L$2004,'جدول الاصول الثابته الجديد'!$B$6:$B$2004,B19,'جدول الاصول الثابته الجديد'!$C$6:$C$2004,I19)</x:f>
        <x:v>0</x:v>
      </x:c>
      <x:c r="H19" s="155" t="n">
        <x:f t="shared" si="2">G19</x:f>
        <x:v>0</x:v>
      </x:c>
      <x:c r="I19" s="163" t="str">
        <x:v>أثاث و مفروشات</x:v>
      </x:c>
    </x:row>
    <x:row r="20" ht="30">
      <x:c r="A20" s="159" t="n">
        <x:f t="shared" si="0">IF(B20="","",$B$3)</x:f>
        <x:v>46387</x:v>
      </x:c>
      <x:c r="B20" s="163" t="str">
        <x:v>صيدلية النهضة 2</x:v>
      </x:c>
      <x:c r="C20" s="163" t="str">
        <x:f ca="1">IFERROR(INDEX('ربط حسابات الإهلاك'!$B$5:$B$14,MATCH(I20,'ربط حسابات الإهلاك'!$C$5:$C$14,0))&amp;" - "&amp;I20,I20)</x:f>
        <x:v>120101011001 - أثاث و مفروشات السكن</x:v>
      </x:c>
      <x:c r="D20" s="163" t="str">
        <x:f>IFERROR(INDEX('ربط حسابات الإهلاك'!$F$5:$F$14,MATCH(I20,'ربط حسابات الإهلاك'!$C$5:$C$14,0))&amp;" - "&amp;INDEX('ربط حسابات الإهلاك'!$G$5:$G$14,MATCH(I20,'ربط حسابات الإهلاك'!$C$5:$C$14,0)),"غير مرتبط")</x:f>
        <x:v>520401007000 - مصروف إهلاك - أثاث و مفروشات السكن</x:v>
      </x:c>
      <x:c r="E20" s="163" t="str">
        <x:f>IFERROR(INDEX('ربط حسابات الإهلاك'!$D$5:$D$14,MATCH(I20,'ربط حسابات الإهلاك'!$C$5:$C$14,0))&amp;" - "&amp;INDEX('ربط حسابات الإهلاك'!$E$5:$E$14,MATCH(I20,'ربط حسابات الإهلاك'!$C$5:$C$14,0)),"غير مرتبط")</x:f>
        <x:v>120101011002 - مجمع إهلاك - أثاث و مفروشات السكن</x:v>
      </x:c>
      <x:c r="F20" s="163" t="str">
        <x:f t="shared" ca="1" si="1">IF(G20=0,"",IF(I20="البرامج والأنظمة","إثبات مصروف ومجمع الإطفاء عن الفترة "&amp;TEXT($B$3,"mm-yyyy")&amp;" - مركز التكلفة: "&amp;B20&amp;" - حساب الأصل: "&amp;I20,"إثبات مصروف ومجمع الإهلاك عن الفترة "&amp;TEXT($B$3,"mm-yyyy")&amp;" - مركز التكلفة: "&amp;B20&amp;" - حساب الأصل: "&amp;I20))</x:f>
      </x:c>
      <x:c r="G20" s="155" t="n">
        <x:f>SUMIFS('جدول الاصول الثابته الجديد'!$L$6:$L$2004,'جدول الاصول الثابته الجديد'!$B$6:$B$2004,B20,'جدول الاصول الثابته الجديد'!$C$6:$C$2004,I20)</x:f>
        <x:v>0</x:v>
      </x:c>
      <x:c r="H20" s="155" t="n">
        <x:f t="shared" si="2">G20</x:f>
        <x:v>0</x:v>
      </x:c>
      <x:c r="I20" s="163" t="str">
        <x:v>أثاث و مفروشات السكن</x:v>
      </x:c>
    </x:row>
    <x:row r="21" ht="30">
      <x:c r="A21" s="159" t="n">
        <x:f t="shared" si="0">IF(B21="","",$B$3)</x:f>
        <x:v>46387</x:v>
      </x:c>
      <x:c r="B21" s="163" t="str">
        <x:v>صيدلية النهضة 2</x:v>
      </x:c>
      <x:c r="C21" s="163" t="str">
        <x:f ca="1">IFERROR(INDEX('ربط حسابات الإهلاك'!$B$5:$B$14,MATCH(I21,'ربط حسابات الإهلاك'!$C$5:$C$14,0))&amp;" - "&amp;I21,I21)</x:f>
        <x:v>120101006001 - الاجهزة الالكترونية والحاسب الالي وملحقاته</x:v>
      </x:c>
      <x:c r="D21" s="163" t="str">
        <x:f>IFERROR(INDEX('ربط حسابات الإهلاك'!$F$5:$F$14,MATCH(I21,'ربط حسابات الإهلاك'!$C$5:$C$14,0))&amp;" - "&amp;INDEX('ربط حسابات الإهلاك'!$G$5:$G$14,MATCH(I21,'ربط حسابات الإهلاك'!$C$5:$C$14,0)),"غير مرتبط")</x:f>
        <x:v>520401009000 - مصروف إهلاك - الاجهزة الالكترونية والحاسب الالي وملحقاته</x:v>
      </x:c>
      <x:c r="E21" s="163" t="str">
        <x:f>IFERROR(INDEX('ربط حسابات الإهلاك'!$D$5:$D$14,MATCH(I21,'ربط حسابات الإهلاك'!$C$5:$C$14,0))&amp;" - "&amp;INDEX('ربط حسابات الإهلاك'!$E$5:$E$14,MATCH(I21,'ربط حسابات الإهلاك'!$C$5:$C$14,0)),"غير مرتبط")</x:f>
        <x:v>120101006002 - مجمع إهلاك - الاجهزة الالكترونية والحاسب الالي وملحقاته</x:v>
      </x:c>
      <x:c r="F21" s="163" t="str">
        <x:f t="shared" ca="1" si="1">IF(G21=0,"",IF(I21="البرامج والأنظمة","إثبات مصروف ومجمع الإطفاء عن الفترة "&amp;TEXT($B$3,"mm-yyyy")&amp;" - مركز التكلفة: "&amp;B21&amp;" - حساب الأصل: "&amp;I21,"إثبات مصروف ومجمع الإهلاك عن الفترة "&amp;TEXT($B$3,"mm-yyyy")&amp;" - مركز التكلفة: "&amp;B21&amp;" - حساب الأصل: "&amp;I21))</x:f>
      </x:c>
      <x:c r="G21" s="155" t="n">
        <x:f>SUMIFS('جدول الاصول الثابته الجديد'!$L$6:$L$2004,'جدول الاصول الثابته الجديد'!$B$6:$B$2004,B21,'جدول الاصول الثابته الجديد'!$C$6:$C$2004,I21)</x:f>
        <x:v>0</x:v>
      </x:c>
      <x:c r="H21" s="155" t="n">
        <x:f t="shared" si="2">G21</x:f>
        <x:v>0</x:v>
      </x:c>
      <x:c r="I21" s="163" t="str">
        <x:v>الاجهزة الالكترونية والحاسب الالي وملحقاته</x:v>
      </x:c>
    </x:row>
    <x:row r="22" ht="30">
      <x:c r="A22" s="159" t="n">
        <x:f t="shared" si="0">IF(B22="","",$B$3)</x:f>
        <x:v>46387</x:v>
      </x:c>
      <x:c r="B22" s="163" t="str">
        <x:v>صيدلية النهضة 2</x:v>
      </x:c>
      <x:c r="C22" s="163" t="str">
        <x:f ca="1">IFERROR(INDEX('ربط حسابات الإهلاك'!$B$5:$B$14,MATCH(I22,'ربط حسابات الإهلاك'!$C$5:$C$14,0))&amp;" - "&amp;I22,I22)</x:f>
        <x:v>120101007001 - الاجهزة الكهربائية</x:v>
      </x:c>
      <x:c r="D22" s="163" t="str">
        <x:f>IFERROR(INDEX('ربط حسابات الإهلاك'!$F$5:$F$14,MATCH(I22,'ربط حسابات الإهلاك'!$C$5:$C$14,0))&amp;" - "&amp;INDEX('ربط حسابات الإهلاك'!$G$5:$G$14,MATCH(I22,'ربط حسابات الإهلاك'!$C$5:$C$14,0)),"غير مرتبط")</x:f>
        <x:v>520401008000 - مصروف إهلاك - الاجهزة الكهربائية</x:v>
      </x:c>
      <x:c r="E22" s="163" t="str">
        <x:f>IFERROR(INDEX('ربط حسابات الإهلاك'!$D$5:$D$14,MATCH(I22,'ربط حسابات الإهلاك'!$C$5:$C$14,0))&amp;" - "&amp;INDEX('ربط حسابات الإهلاك'!$E$5:$E$14,MATCH(I22,'ربط حسابات الإهلاك'!$C$5:$C$14,0)),"غير مرتبط")</x:f>
        <x:v>120101007002 - مجمع إهلاك - الاجهزة الكهربائية</x:v>
      </x:c>
      <x:c r="F22" s="163" t="str">
        <x:f t="shared" ca="1" si="1">IF(G22=0,"",IF(I22="البرامج والأنظمة","إثبات مصروف ومجمع الإطفاء عن الفترة "&amp;TEXT($B$3,"mm-yyyy")&amp;" - مركز التكلفة: "&amp;B22&amp;" - حساب الأصل: "&amp;I22,"إثبات مصروف ومجمع الإهلاك عن الفترة "&amp;TEXT($B$3,"mm-yyyy")&amp;" - مركز التكلفة: "&amp;B22&amp;" - حساب الأصل: "&amp;I22))</x:f>
      </x:c>
      <x:c r="G22" s="155" t="n">
        <x:f>SUMIFS('جدول الاصول الثابته الجديد'!$L$6:$L$2004,'جدول الاصول الثابته الجديد'!$B$6:$B$2004,B22,'جدول الاصول الثابته الجديد'!$C$6:$C$2004,I22)</x:f>
        <x:v>0</x:v>
      </x:c>
      <x:c r="H22" s="155" t="n">
        <x:f t="shared" si="2">G22</x:f>
        <x:v>0</x:v>
      </x:c>
      <x:c r="I22" s="163" t="str">
        <x:v>الاجهزة الكهربائية</x:v>
      </x:c>
    </x:row>
    <x:row r="23" ht="30">
      <x:c r="A23" s="159" t="n">
        <x:f t="shared" si="0">IF(B23="","",$B$3)</x:f>
        <x:v>46387</x:v>
      </x:c>
      <x:c r="B23" s="163" t="str">
        <x:v>صيدلية النهضة 2</x:v>
      </x:c>
      <x:c r="C23" s="163" t="str">
        <x:f ca="1">IFERROR(INDEX('ربط حسابات الإهلاك'!$B$5:$B$14,MATCH(I23,'ربط حسابات الإهلاك'!$C$5:$C$14,0))&amp;" - "&amp;I23,I23)</x:f>
        <x:v>120101002000 - تحسينات على مباني</x:v>
      </x:c>
      <x:c r="D23" s="163" t="str">
        <x:f>IFERROR(INDEX('ربط حسابات الإهلاك'!$F$5:$F$14,MATCH(I23,'ربط حسابات الإهلاك'!$C$5:$C$14,0))&amp;" - "&amp;INDEX('ربط حسابات الإهلاك'!$G$5:$G$14,MATCH(I23,'ربط حسابات الإهلاك'!$C$5:$C$14,0)),"غير مرتبط")</x:f>
        <x:v>520401001000 - مصروف إهلاك - تحسينات على مباني</x:v>
      </x:c>
      <x:c r="E23" s="163" t="str">
        <x:f>IFERROR(INDEX('ربط حسابات الإهلاك'!$D$5:$D$14,MATCH(I23,'ربط حسابات الإهلاك'!$C$5:$C$14,0))&amp;" - "&amp;INDEX('ربط حسابات الإهلاك'!$E$5:$E$14,MATCH(I23,'ربط حسابات الإهلاك'!$C$5:$C$14,0)),"غير مرتبط")</x:f>
        <x:v>120101002002 - مجمع إهلاك - تحسينات على مباني</x:v>
      </x:c>
      <x:c r="F23" s="163" t="str">
        <x:f t="shared" ca="1" si="1">IF(G23=0,"",IF(I23="البرامج والأنظمة","إثبات مصروف ومجمع الإطفاء عن الفترة "&amp;TEXT($B$3,"mm-yyyy")&amp;" - مركز التكلفة: "&amp;B23&amp;" - حساب الأصل: "&amp;I23,"إثبات مصروف ومجمع الإهلاك عن الفترة "&amp;TEXT($B$3,"mm-yyyy")&amp;" - مركز التكلفة: "&amp;B23&amp;" - حساب الأصل: "&amp;I23))</x:f>
      </x:c>
      <x:c r="G23" s="155" t="n">
        <x:f>SUMIFS('جدول الاصول الثابته الجديد'!$L$6:$L$2004,'جدول الاصول الثابته الجديد'!$B$6:$B$2004,B23,'جدول الاصول الثابته الجديد'!$C$6:$C$2004,I23)</x:f>
        <x:v>0</x:v>
      </x:c>
      <x:c r="H23" s="155" t="n">
        <x:f t="shared" si="2">G23</x:f>
        <x:v>0</x:v>
      </x:c>
      <x:c r="I23" s="163" t="str">
        <x:v>تحسينات على مباني</x:v>
      </x:c>
    </x:row>
    <x:row r="24" ht="30">
      <x:c r="A24" s="159" t="n">
        <x:f t="shared" si="0">IF(B24="","",$B$3)</x:f>
        <x:v>46387</x:v>
      </x:c>
      <x:c r="B24" s="163" t="str">
        <x:v>صيدلية النهضة 2</x:v>
      </x:c>
      <x:c r="C24" s="163" t="str">
        <x:f ca="1">IFERROR(INDEX('ربط حسابات الإهلاك'!$B$5:$B$14,MATCH(I24,'ربط حسابات الإهلاك'!$C$5:$C$14,0))&amp;" - "&amp;I24,I24)</x:f>
        <x:v>120101001000 - اجهزة التكييف</x:v>
      </x:c>
      <x:c r="D24" s="163" t="str">
        <x:f>IFERROR(INDEX('ربط حسابات الإهلاك'!$F$5:$F$14,MATCH(I24,'ربط حسابات الإهلاك'!$C$5:$C$14,0))&amp;" - "&amp;INDEX('ربط حسابات الإهلاك'!$G$5:$G$14,MATCH(I24,'ربط حسابات الإهلاك'!$C$5:$C$14,0)),"غير مرتبط")</x:f>
        <x:v>520401002000 - مصروف إهلاك - اجهزة التكييف</x:v>
      </x:c>
      <x:c r="E24" s="163" t="str">
        <x:f>IFERROR(INDEX('ربط حسابات الإهلاك'!$D$5:$D$14,MATCH(I24,'ربط حسابات الإهلاك'!$C$5:$C$14,0))&amp;" - "&amp;INDEX('ربط حسابات الإهلاك'!$E$5:$E$14,MATCH(I24,'ربط حسابات الإهلاك'!$C$5:$C$14,0)),"غير مرتبط")</x:f>
        <x:v>120101001002 - مجمع إهلاك - اجهزة التكييف</x:v>
      </x:c>
      <x:c r="F24" s="163" t="str">
        <x:f t="shared" ca="1" si="1">IF(G24=0,"",IF(I24="البرامج والأنظمة","إثبات مصروف ومجمع الإطفاء عن الفترة "&amp;TEXT($B$3,"mm-yyyy")&amp;" - مركز التكلفة: "&amp;B24&amp;" - حساب الأصل: "&amp;I24,"إثبات مصروف ومجمع الإهلاك عن الفترة "&amp;TEXT($B$3,"mm-yyyy")&amp;" - مركز التكلفة: "&amp;B24&amp;" - حساب الأصل: "&amp;I24))</x:f>
        <x:v>إثبات مصروف ومجمع الإهلاك عن الفترة 12-2026 - مركز التكلفة: صيدلية النهضة 2 - حساب الأصل: اجهزة التكييف</x:v>
      </x:c>
      <x:c r="G24" s="155" t="n">
        <x:f>SUMIFS('جدول الاصول الثابته الجديد'!$L$6:$L$2004,'جدول الاصول الثابته الجديد'!$B$6:$B$2004,B24,'جدول الاصول الثابته الجديد'!$C$6:$C$2004,I24)</x:f>
        <x:v>480.75350000000003</x:v>
      </x:c>
      <x:c r="H24" s="155" t="n">
        <x:f t="shared" si="2">G24</x:f>
        <x:v>480.75350000000003</x:v>
      </x:c>
      <x:c r="I24" s="163" t="str">
        <x:v>اجهزة التكييف</x:v>
      </x:c>
    </x:row>
    <x:row r="25" ht="30">
      <x:c r="A25" s="159" t="n">
        <x:f t="shared" si="0">IF(B25="","",$B$3)</x:f>
        <x:v>46387</x:v>
      </x:c>
      <x:c r="B25" s="163" t="str">
        <x:v>صيدلية النهضة 2</x:v>
      </x:c>
      <x:c r="C25" s="163" t="str">
        <x:f ca="1">IFERROR(INDEX('ربط حسابات الإهلاك'!$B$5:$B$14,MATCH(I25,'ربط حسابات الإهلاك'!$C$5:$C$14,0))&amp;" - "&amp;I25,I25)</x:f>
        <x:v>120101004000 - ديكورات</x:v>
      </x:c>
      <x:c r="D25" s="163" t="str">
        <x:f>IFERROR(INDEX('ربط حسابات الإهلاك'!$F$5:$F$14,MATCH(I25,'ربط حسابات الإهلاك'!$C$5:$C$14,0))&amp;" - "&amp;INDEX('ربط حسابات الإهلاك'!$G$5:$G$14,MATCH(I25,'ربط حسابات الإهلاك'!$C$5:$C$14,0)),"غير مرتبط")</x:f>
        <x:v>520401003000 - مصروف إهلاك - ديكورات</x:v>
      </x:c>
      <x:c r="E25" s="163" t="str">
        <x:f>IFERROR(INDEX('ربط حسابات الإهلاك'!$D$5:$D$14,MATCH(I25,'ربط حسابات الإهلاك'!$C$5:$C$14,0))&amp;" - "&amp;INDEX('ربط حسابات الإهلاك'!$E$5:$E$14,MATCH(I25,'ربط حسابات الإهلاك'!$C$5:$C$14,0)),"غير مرتبط")</x:f>
        <x:v>120101004002 - مجمع إهلاك - ديكورات</x:v>
      </x:c>
      <x:c r="F25" s="163" t="str">
        <x:f t="shared" ca="1" si="1">IF(G25=0,"",IF(I25="البرامج والأنظمة","إثبات مصروف ومجمع الإطفاء عن الفترة "&amp;TEXT($B$3,"mm-yyyy")&amp;" - مركز التكلفة: "&amp;B25&amp;" - حساب الأصل: "&amp;I25,"إثبات مصروف ومجمع الإهلاك عن الفترة "&amp;TEXT($B$3,"mm-yyyy")&amp;" - مركز التكلفة: "&amp;B25&amp;" - حساب الأصل: "&amp;I25))</x:f>
      </x:c>
      <x:c r="G25" s="155" t="n">
        <x:f>SUMIFS('جدول الاصول الثابته الجديد'!$L$6:$L$2004,'جدول الاصول الثابته الجديد'!$B$6:$B$2004,B25,'جدول الاصول الثابته الجديد'!$C$6:$C$2004,I25)</x:f>
        <x:v>0</x:v>
      </x:c>
      <x:c r="H25" s="155" t="n">
        <x:f t="shared" si="2">G25</x:f>
        <x:v>0</x:v>
      </x:c>
      <x:c r="I25" s="163" t="str">
        <x:v>ديكورات</x:v>
      </x:c>
    </x:row>
    <x:row r="26" ht="30">
      <x:c r="A26" s="159" t="n">
        <x:f t="shared" si="0">IF(B26="","",$B$3)</x:f>
        <x:v>46387</x:v>
      </x:c>
      <x:c r="B26" s="163" t="str">
        <x:v>صيدلية النهضة 2</x:v>
      </x:c>
      <x:c r="C26" s="163" t="str">
        <x:f ca="1">IFERROR(INDEX('ربط حسابات الإهلاك'!$B$5:$B$14,MATCH(I26,'ربط حسابات الإهلاك'!$C$5:$C$14,0))&amp;" - "&amp;I26,I26)</x:f>
        <x:v>120102001001 - البرامج والأنظمة</x:v>
      </x:c>
      <x:c r="D26" s="163" t="str">
        <x:f>IFERROR(INDEX('ربط حسابات الإهلاك'!$F$5:$F$14,MATCH(I26,'ربط حسابات الإهلاك'!$C$5:$C$14,0))&amp;" - "&amp;INDEX('ربط حسابات الإهلاك'!$G$5:$G$14,MATCH(I26,'ربط حسابات الإهلاك'!$C$5:$C$14,0)),"غير مرتبط")</x:f>
        <x:v>520401010000 - مصروف إطفاء - البرامج والأنظمة</x:v>
      </x:c>
      <x:c r="E26" s="163" t="str">
        <x:f>IFERROR(INDEX('ربط حسابات الإهلاك'!$D$5:$D$14,MATCH(I26,'ربط حسابات الإهلاك'!$C$5:$C$14,0))&amp;" - "&amp;INDEX('ربط حسابات الإهلاك'!$E$5:$E$14,MATCH(I26,'ربط حسابات الإهلاك'!$C$5:$C$14,0)),"غير مرتبط")</x:f>
        <x:v>120102001002 - مجمع إطفاء - البرامج والأنظمة</x:v>
      </x:c>
      <x:c r="F26" s="163" t="str">
        <x:f t="shared" ca="1" si="1">IF(G26=0,"",IF(I26="البرامج والأنظمة","إثبات مصروف ومجمع الإطفاء عن الفترة "&amp;TEXT($B$3,"mm-yyyy")&amp;" - مركز التكلفة: "&amp;B26&amp;" - حساب الأصل: "&amp;I26,"إثبات مصروف ومجمع الإهلاك عن الفترة "&amp;TEXT($B$3,"mm-yyyy")&amp;" - مركز التكلفة: "&amp;B26&amp;" - حساب الأصل: "&amp;I26))</x:f>
      </x:c>
      <x:c r="G26" s="155" t="n">
        <x:f>SUMIFS('جدول الاصول الثابته الجديد'!$L$6:$L$2004,'جدول الاصول الثابته الجديد'!$B$6:$B$2004,B26,'جدول الاصول الثابته الجديد'!$C$6:$C$2004,I26)</x:f>
        <x:v>0</x:v>
      </x:c>
      <x:c r="H26" s="155" t="n">
        <x:f t="shared" si="2">G26</x:f>
        <x:v>0</x:v>
      </x:c>
      <x:c r="I26" s="163" t="str">
        <x:v>البرامج والأنظمة</x:v>
      </x:c>
    </x:row>
    <x:row r="27" ht="30">
      <x:c r="A27" s="159" t="n">
        <x:f t="shared" si="0">IF(B27="","",$B$3)</x:f>
        <x:v>46387</x:v>
      </x:c>
      <x:c r="B27" s="163" t="str">
        <x:v>صيدلية لنا الرئيسية</x:v>
      </x:c>
      <x:c r="C27" s="163" t="str">
        <x:f ca="1">IFERROR(INDEX('ربط حسابات الإهلاك'!$B$5:$B$14,MATCH(I27,'ربط حسابات الإهلاك'!$C$5:$C$14,0))&amp;" - "&amp;I27,I27)</x:f>
        <x:v>120101009000 - اجهزة ومعدات طبية</x:v>
      </x:c>
      <x:c r="D27" s="163" t="str">
        <x:f>IFERROR(INDEX('ربط حسابات الإهلاك'!$F$5:$F$14,MATCH(I27,'ربط حسابات الإهلاك'!$C$5:$C$14,0))&amp;" - "&amp;INDEX('ربط حسابات الإهلاك'!$G$5:$G$14,MATCH(I27,'ربط حسابات الإهلاك'!$C$5:$C$14,0)),"غير مرتبط")</x:f>
        <x:v>520401004000 - مصروف إهلاك - اجهزة ومعدات طبية</x:v>
      </x:c>
      <x:c r="E27" s="163" t="str">
        <x:f>IFERROR(INDEX('ربط حسابات الإهلاك'!$D$5:$D$14,MATCH(I27,'ربط حسابات الإهلاك'!$C$5:$C$14,0))&amp;" - "&amp;INDEX('ربط حسابات الإهلاك'!$E$5:$E$14,MATCH(I27,'ربط حسابات الإهلاك'!$C$5:$C$14,0)),"غير مرتبط")</x:f>
        <x:v>120101009002 - مجمع إهلاك - اجهزة ومعدات طبية</x:v>
      </x:c>
      <x:c r="F27" s="163" t="str">
        <x:f t="shared" ca="1" si="1">IF(G27=0,"",IF(I27="البرامج والأنظمة","إثبات مصروف ومجمع الإطفاء عن الفترة "&amp;TEXT($B$3,"mm-yyyy")&amp;" - مركز التكلفة: "&amp;B27&amp;" - حساب الأصل: "&amp;I27,"إثبات مصروف ومجمع الإهلاك عن الفترة "&amp;TEXT($B$3,"mm-yyyy")&amp;" - مركز التكلفة: "&amp;B27&amp;" - حساب الأصل: "&amp;I27))</x:f>
      </x:c>
      <x:c r="G27" s="155" t="n">
        <x:f>SUMIFS('جدول الاصول الثابته الجديد'!$L$6:$L$2004,'جدول الاصول الثابته الجديد'!$B$6:$B$2004,B27,'جدول الاصول الثابته الجديد'!$C$6:$C$2004,I27)</x:f>
        <x:v>0</x:v>
      </x:c>
      <x:c r="H27" s="155" t="n">
        <x:f t="shared" si="2">G27</x:f>
        <x:v>0</x:v>
      </x:c>
      <x:c r="I27" s="163" t="str">
        <x:v>اجهزة ومعدات طبية</x:v>
      </x:c>
    </x:row>
    <x:row r="28" ht="30">
      <x:c r="A28" s="159" t="n">
        <x:f t="shared" si="0">IF(B28="","",$B$3)</x:f>
        <x:v>46387</x:v>
      </x:c>
      <x:c r="B28" s="163" t="str">
        <x:v>صيدلية لنا الرئيسية</x:v>
      </x:c>
      <x:c r="C28" s="163" t="str">
        <x:f ca="1">IFERROR(INDEX('ربط حسابات الإهلاك'!$B$5:$B$14,MATCH(I28,'ربط حسابات الإهلاك'!$C$5:$C$14,0))&amp;" - "&amp;I28,I28)</x:f>
        <x:v>120101003000 - السيارات</x:v>
      </x:c>
      <x:c r="D28" s="163" t="str">
        <x:f>IFERROR(INDEX('ربط حسابات الإهلاك'!$F$5:$F$14,MATCH(I28,'ربط حسابات الإهلاك'!$C$5:$C$14,0))&amp;" - "&amp;INDEX('ربط حسابات الإهلاك'!$G$5:$G$14,MATCH(I28,'ربط حسابات الإهلاك'!$C$5:$C$14,0)),"غير مرتبط")</x:f>
        <x:v>520401005000 - مصروف إهلاك - السيارات</x:v>
      </x:c>
      <x:c r="E28" s="163" t="str">
        <x:f>IFERROR(INDEX('ربط حسابات الإهلاك'!$D$5:$D$14,MATCH(I28,'ربط حسابات الإهلاك'!$C$5:$C$14,0))&amp;" - "&amp;INDEX('ربط حسابات الإهلاك'!$E$5:$E$14,MATCH(I28,'ربط حسابات الإهلاك'!$C$5:$C$14,0)),"غير مرتبط")</x:f>
        <x:v>120101003001 - مجمع إهلاك - السيارات</x:v>
      </x:c>
      <x:c r="F28" s="163" t="str">
        <x:f t="shared" ca="1" si="1">IF(G28=0,"",IF(I28="البرامج والأنظمة","إثبات مصروف ومجمع الإطفاء عن الفترة "&amp;TEXT($B$3,"mm-yyyy")&amp;" - مركز التكلفة: "&amp;B28&amp;" - حساب الأصل: "&amp;I28,"إثبات مصروف ومجمع الإهلاك عن الفترة "&amp;TEXT($B$3,"mm-yyyy")&amp;" - مركز التكلفة: "&amp;B28&amp;" - حساب الأصل: "&amp;I28))</x:f>
      </x:c>
      <x:c r="G28" s="155" t="n">
        <x:f>SUMIFS('جدول الاصول الثابته الجديد'!$L$6:$L$2004,'جدول الاصول الثابته الجديد'!$B$6:$B$2004,B28,'جدول الاصول الثابته الجديد'!$C$6:$C$2004,I28)</x:f>
        <x:v>0</x:v>
      </x:c>
      <x:c r="H28" s="155" t="n">
        <x:f t="shared" si="2">G28</x:f>
        <x:v>0</x:v>
      </x:c>
      <x:c r="I28" s="163" t="str">
        <x:v>السيارات</x:v>
      </x:c>
    </x:row>
    <x:row r="29" ht="30">
      <x:c r="A29" s="159" t="n">
        <x:f t="shared" si="0">IF(B29="","",$B$3)</x:f>
        <x:v>46387</x:v>
      </x:c>
      <x:c r="B29" s="163" t="str">
        <x:v>صيدلية لنا الرئيسية</x:v>
      </x:c>
      <x:c r="C29" s="163" t="str">
        <x:f ca="1">IFERROR(INDEX('ربط حسابات الإهلاك'!$B$5:$B$14,MATCH(I29,'ربط حسابات الإهلاك'!$C$5:$C$14,0))&amp;" - "&amp;I29,I29)</x:f>
        <x:v>120101005001 - أثاث و مفروشات</x:v>
      </x:c>
      <x:c r="D29" s="163" t="str">
        <x:f>IFERROR(INDEX('ربط حسابات الإهلاك'!$F$5:$F$14,MATCH(I29,'ربط حسابات الإهلاك'!$C$5:$C$14,0))&amp;" - "&amp;INDEX('ربط حسابات الإهلاك'!$G$5:$G$14,MATCH(I29,'ربط حسابات الإهلاك'!$C$5:$C$14,0)),"غير مرتبط")</x:f>
        <x:v>520401006000 - مصروف إهلاك - أثاث و مفروشات</x:v>
      </x:c>
      <x:c r="E29" s="163" t="str">
        <x:f>IFERROR(INDEX('ربط حسابات الإهلاك'!$D$5:$D$14,MATCH(I29,'ربط حسابات الإهلاك'!$C$5:$C$14,0))&amp;" - "&amp;INDEX('ربط حسابات الإهلاك'!$E$5:$E$14,MATCH(I29,'ربط حسابات الإهلاك'!$C$5:$C$14,0)),"غير مرتبط")</x:f>
        <x:v>120101005002 - مجمع إهلاك - أثاث و مفروشات</x:v>
      </x:c>
      <x:c r="F29" s="163" t="str">
        <x:f t="shared" ca="1" si="1">IF(G29=0,"",IF(I29="البرامج والأنظمة","إثبات مصروف ومجمع الإطفاء عن الفترة "&amp;TEXT($B$3,"mm-yyyy")&amp;" - مركز التكلفة: "&amp;B29&amp;" - حساب الأصل: "&amp;I29,"إثبات مصروف ومجمع الإهلاك عن الفترة "&amp;TEXT($B$3,"mm-yyyy")&amp;" - مركز التكلفة: "&amp;B29&amp;" - حساب الأصل: "&amp;I29))</x:f>
      </x:c>
      <x:c r="G29" s="155" t="n">
        <x:f>SUMIFS('جدول الاصول الثابته الجديد'!$L$6:$L$2004,'جدول الاصول الثابته الجديد'!$B$6:$B$2004,B29,'جدول الاصول الثابته الجديد'!$C$6:$C$2004,I29)</x:f>
        <x:v>0</x:v>
      </x:c>
      <x:c r="H29" s="155" t="n">
        <x:f t="shared" si="2">G29</x:f>
        <x:v>0</x:v>
      </x:c>
      <x:c r="I29" s="163" t="str">
        <x:v>أثاث و مفروشات</x:v>
      </x:c>
    </x:row>
    <x:row r="30" ht="30">
      <x:c r="A30" s="159" t="n">
        <x:f t="shared" si="0">IF(B30="","",$B$3)</x:f>
        <x:v>46387</x:v>
      </x:c>
      <x:c r="B30" s="163" t="str">
        <x:v>صيدلية لنا الرئيسية</x:v>
      </x:c>
      <x:c r="C30" s="163" t="str">
        <x:f ca="1">IFERROR(INDEX('ربط حسابات الإهلاك'!$B$5:$B$14,MATCH(I30,'ربط حسابات الإهلاك'!$C$5:$C$14,0))&amp;" - "&amp;I30,I30)</x:f>
        <x:v>120101011001 - أثاث و مفروشات السكن</x:v>
      </x:c>
      <x:c r="D30" s="163" t="str">
        <x:f>IFERROR(INDEX('ربط حسابات الإهلاك'!$F$5:$F$14,MATCH(I30,'ربط حسابات الإهلاك'!$C$5:$C$14,0))&amp;" - "&amp;INDEX('ربط حسابات الإهلاك'!$G$5:$G$14,MATCH(I30,'ربط حسابات الإهلاك'!$C$5:$C$14,0)),"غير مرتبط")</x:f>
        <x:v>520401007000 - مصروف إهلاك - أثاث و مفروشات السكن</x:v>
      </x:c>
      <x:c r="E30" s="163" t="str">
        <x:f>IFERROR(INDEX('ربط حسابات الإهلاك'!$D$5:$D$14,MATCH(I30,'ربط حسابات الإهلاك'!$C$5:$C$14,0))&amp;" - "&amp;INDEX('ربط حسابات الإهلاك'!$E$5:$E$14,MATCH(I30,'ربط حسابات الإهلاك'!$C$5:$C$14,0)),"غير مرتبط")</x:f>
        <x:v>120101011002 - مجمع إهلاك - أثاث و مفروشات السكن</x:v>
      </x:c>
      <x:c r="F30" s="163" t="str">
        <x:f t="shared" ca="1" si="1">IF(G30=0,"",IF(I30="البرامج والأنظمة","إثبات مصروف ومجمع الإطفاء عن الفترة "&amp;TEXT($B$3,"mm-yyyy")&amp;" - مركز التكلفة: "&amp;B30&amp;" - حساب الأصل: "&amp;I30,"إثبات مصروف ومجمع الإهلاك عن الفترة "&amp;TEXT($B$3,"mm-yyyy")&amp;" - مركز التكلفة: "&amp;B30&amp;" - حساب الأصل: "&amp;I30))</x:f>
      </x:c>
      <x:c r="G30" s="155" t="n">
        <x:f>SUMIFS('جدول الاصول الثابته الجديد'!$L$6:$L$2004,'جدول الاصول الثابته الجديد'!$B$6:$B$2004,B30,'جدول الاصول الثابته الجديد'!$C$6:$C$2004,I30)</x:f>
        <x:v>0</x:v>
      </x:c>
      <x:c r="H30" s="155" t="n">
        <x:f t="shared" si="2">G30</x:f>
        <x:v>0</x:v>
      </x:c>
      <x:c r="I30" s="163" t="str">
        <x:v>أثاث و مفروشات السكن</x:v>
      </x:c>
    </x:row>
    <x:row r="31" ht="30">
      <x:c r="A31" s="159" t="n">
        <x:f t="shared" si="0">IF(B31="","",$B$3)</x:f>
        <x:v>46387</x:v>
      </x:c>
      <x:c r="B31" s="163" t="str">
        <x:v>صيدلية لنا الرئيسية</x:v>
      </x:c>
      <x:c r="C31" s="163" t="str">
        <x:f ca="1">IFERROR(INDEX('ربط حسابات الإهلاك'!$B$5:$B$14,MATCH(I31,'ربط حسابات الإهلاك'!$C$5:$C$14,0))&amp;" - "&amp;I31,I31)</x:f>
        <x:v>120101006001 - الاجهزة الالكترونية والحاسب الالي وملحقاته</x:v>
      </x:c>
      <x:c r="D31" s="163" t="str">
        <x:f>IFERROR(INDEX('ربط حسابات الإهلاك'!$F$5:$F$14,MATCH(I31,'ربط حسابات الإهلاك'!$C$5:$C$14,0))&amp;" - "&amp;INDEX('ربط حسابات الإهلاك'!$G$5:$G$14,MATCH(I31,'ربط حسابات الإهلاك'!$C$5:$C$14,0)),"غير مرتبط")</x:f>
        <x:v>520401009000 - مصروف إهلاك - الاجهزة الالكترونية والحاسب الالي وملحقاته</x:v>
      </x:c>
      <x:c r="E31" s="163" t="str">
        <x:f>IFERROR(INDEX('ربط حسابات الإهلاك'!$D$5:$D$14,MATCH(I31,'ربط حسابات الإهلاك'!$C$5:$C$14,0))&amp;" - "&amp;INDEX('ربط حسابات الإهلاك'!$E$5:$E$14,MATCH(I31,'ربط حسابات الإهلاك'!$C$5:$C$14,0)),"غير مرتبط")</x:f>
        <x:v>120101006002 - مجمع إهلاك - الاجهزة الالكترونية والحاسب الالي وملحقاته</x:v>
      </x:c>
      <x:c r="F31" s="163" t="str">
        <x:f t="shared" ca="1" si="1">IF(G31=0,"",IF(I31="البرامج والأنظمة","إثبات مصروف ومجمع الإطفاء عن الفترة "&amp;TEXT($B$3,"mm-yyyy")&amp;" - مركز التكلفة: "&amp;B31&amp;" - حساب الأصل: "&amp;I31,"إثبات مصروف ومجمع الإهلاك عن الفترة "&amp;TEXT($B$3,"mm-yyyy")&amp;" - مركز التكلفة: "&amp;B31&amp;" - حساب الأصل: "&amp;I31))</x:f>
        <x:v>إثبات مصروف ومجمع الإهلاك عن الفترة 12-2026 - مركز التكلفة: صيدلية لنا الرئيسية - حساب الأصل: الاجهزة الالكترونية والحاسب الالي وملحقاته</x:v>
      </x:c>
      <x:c r="G31" s="155" t="n">
        <x:f>SUMIFS('جدول الاصول الثابته الجديد'!$L$6:$L$2004,'جدول الاصول الثابته الجديد'!$B$6:$B$2004,B31,'جدول الاصول الثابته الجديد'!$C$6:$C$2004,I31)</x:f>
        <x:v>76.79787499999999</x:v>
      </x:c>
      <x:c r="H31" s="155" t="n">
        <x:f t="shared" si="2">G31</x:f>
        <x:v>76.79787499999999</x:v>
      </x:c>
      <x:c r="I31" s="163" t="str">
        <x:v>الاجهزة الالكترونية والحاسب الالي وملحقاته</x:v>
      </x:c>
    </x:row>
    <x:row r="32" ht="30">
      <x:c r="A32" s="159" t="n">
        <x:f t="shared" si="0">IF(B32="","",$B$3)</x:f>
        <x:v>46387</x:v>
      </x:c>
      <x:c r="B32" s="163" t="str">
        <x:v>صيدلية لنا الرئيسية</x:v>
      </x:c>
      <x:c r="C32" s="163" t="str">
        <x:f ca="1">IFERROR(INDEX('ربط حسابات الإهلاك'!$B$5:$B$14,MATCH(I32,'ربط حسابات الإهلاك'!$C$5:$C$14,0))&amp;" - "&amp;I32,I32)</x:f>
        <x:v>120101007001 - الاجهزة الكهربائية</x:v>
      </x:c>
      <x:c r="D32" s="163" t="str">
        <x:f>IFERROR(INDEX('ربط حسابات الإهلاك'!$F$5:$F$14,MATCH(I32,'ربط حسابات الإهلاك'!$C$5:$C$14,0))&amp;" - "&amp;INDEX('ربط حسابات الإهلاك'!$G$5:$G$14,MATCH(I32,'ربط حسابات الإهلاك'!$C$5:$C$14,0)),"غير مرتبط")</x:f>
        <x:v>520401008000 - مصروف إهلاك - الاجهزة الكهربائية</x:v>
      </x:c>
      <x:c r="E32" s="163" t="str">
        <x:f>IFERROR(INDEX('ربط حسابات الإهلاك'!$D$5:$D$14,MATCH(I32,'ربط حسابات الإهلاك'!$C$5:$C$14,0))&amp;" - "&amp;INDEX('ربط حسابات الإهلاك'!$E$5:$E$14,MATCH(I32,'ربط حسابات الإهلاك'!$C$5:$C$14,0)),"غير مرتبط")</x:f>
        <x:v>120101007002 - مجمع إهلاك - الاجهزة الكهربائية</x:v>
      </x:c>
      <x:c r="F32" s="163" t="str">
        <x:f t="shared" ca="1" si="1">IF(G32=0,"",IF(I32="البرامج والأنظمة","إثبات مصروف ومجمع الإطفاء عن الفترة "&amp;TEXT($B$3,"mm-yyyy")&amp;" - مركز التكلفة: "&amp;B32&amp;" - حساب الأصل: "&amp;I32,"إثبات مصروف ومجمع الإهلاك عن الفترة "&amp;TEXT($B$3,"mm-yyyy")&amp;" - مركز التكلفة: "&amp;B32&amp;" - حساب الأصل: "&amp;I32))</x:f>
      </x:c>
      <x:c r="G32" s="155" t="n">
        <x:f>SUMIFS('جدول الاصول الثابته الجديد'!$L$6:$L$2004,'جدول الاصول الثابته الجديد'!$B$6:$B$2004,B32,'جدول الاصول الثابته الجديد'!$C$6:$C$2004,I32)</x:f>
        <x:v>0</x:v>
      </x:c>
      <x:c r="H32" s="155" t="n">
        <x:f t="shared" si="2">G32</x:f>
        <x:v>0</x:v>
      </x:c>
      <x:c r="I32" s="163" t="str">
        <x:v>الاجهزة الكهربائية</x:v>
      </x:c>
    </x:row>
    <x:row r="33" ht="30">
      <x:c r="A33" s="159" t="n">
        <x:f t="shared" si="0">IF(B33="","",$B$3)</x:f>
        <x:v>46387</x:v>
      </x:c>
      <x:c r="B33" s="163" t="str">
        <x:v>صيدلية لنا الرئيسية</x:v>
      </x:c>
      <x:c r="C33" s="163" t="str">
        <x:f ca="1">IFERROR(INDEX('ربط حسابات الإهلاك'!$B$5:$B$14,MATCH(I33,'ربط حسابات الإهلاك'!$C$5:$C$14,0))&amp;" - "&amp;I33,I33)</x:f>
        <x:v>120101002000 - تحسينات على مباني</x:v>
      </x:c>
      <x:c r="D33" s="163" t="str">
        <x:f>IFERROR(INDEX('ربط حسابات الإهلاك'!$F$5:$F$14,MATCH(I33,'ربط حسابات الإهلاك'!$C$5:$C$14,0))&amp;" - "&amp;INDEX('ربط حسابات الإهلاك'!$G$5:$G$14,MATCH(I33,'ربط حسابات الإهلاك'!$C$5:$C$14,0)),"غير مرتبط")</x:f>
        <x:v>520401001000 - مصروف إهلاك - تحسينات على مباني</x:v>
      </x:c>
      <x:c r="E33" s="163" t="str">
        <x:f>IFERROR(INDEX('ربط حسابات الإهلاك'!$D$5:$D$14,MATCH(I33,'ربط حسابات الإهلاك'!$C$5:$C$14,0))&amp;" - "&amp;INDEX('ربط حسابات الإهلاك'!$E$5:$E$14,MATCH(I33,'ربط حسابات الإهلاك'!$C$5:$C$14,0)),"غير مرتبط")</x:f>
        <x:v>120101002002 - مجمع إهلاك - تحسينات على مباني</x:v>
      </x:c>
      <x:c r="F33" s="163" t="str">
        <x:f t="shared" ca="1" si="1">IF(G33=0,"",IF(I33="البرامج والأنظمة","إثبات مصروف ومجمع الإطفاء عن الفترة "&amp;TEXT($B$3,"mm-yyyy")&amp;" - مركز التكلفة: "&amp;B33&amp;" - حساب الأصل: "&amp;I33,"إثبات مصروف ومجمع الإهلاك عن الفترة "&amp;TEXT($B$3,"mm-yyyy")&amp;" - مركز التكلفة: "&amp;B33&amp;" - حساب الأصل: "&amp;I33))</x:f>
      </x:c>
      <x:c r="G33" s="155" t="n">
        <x:f>SUMIFS('جدول الاصول الثابته الجديد'!$L$6:$L$2004,'جدول الاصول الثابته الجديد'!$B$6:$B$2004,B33,'جدول الاصول الثابته الجديد'!$C$6:$C$2004,I33)</x:f>
        <x:v>0</x:v>
      </x:c>
      <x:c r="H33" s="155" t="n">
        <x:f t="shared" si="2">G33</x:f>
        <x:v>0</x:v>
      </x:c>
      <x:c r="I33" s="163" t="str">
        <x:v>تحسينات على مباني</x:v>
      </x:c>
    </x:row>
    <x:row r="34" ht="30">
      <x:c r="A34" s="159" t="n">
        <x:f t="shared" si="0">IF(B34="","",$B$3)</x:f>
        <x:v>46387</x:v>
      </x:c>
      <x:c r="B34" s="163" t="str">
        <x:v>صيدلية لنا الرئيسية</x:v>
      </x:c>
      <x:c r="C34" s="163" t="str">
        <x:f ca="1">IFERROR(INDEX('ربط حسابات الإهلاك'!$B$5:$B$14,MATCH(I34,'ربط حسابات الإهلاك'!$C$5:$C$14,0))&amp;" - "&amp;I34,I34)</x:f>
        <x:v>120101001000 - اجهزة التكييف</x:v>
      </x:c>
      <x:c r="D34" s="163" t="str">
        <x:f>IFERROR(INDEX('ربط حسابات الإهلاك'!$F$5:$F$14,MATCH(I34,'ربط حسابات الإهلاك'!$C$5:$C$14,0))&amp;" - "&amp;INDEX('ربط حسابات الإهلاك'!$G$5:$G$14,MATCH(I34,'ربط حسابات الإهلاك'!$C$5:$C$14,0)),"غير مرتبط")</x:f>
        <x:v>520401002000 - مصروف إهلاك - اجهزة التكييف</x:v>
      </x:c>
      <x:c r="E34" s="163" t="str">
        <x:f>IFERROR(INDEX('ربط حسابات الإهلاك'!$D$5:$D$14,MATCH(I34,'ربط حسابات الإهلاك'!$C$5:$C$14,0))&amp;" - "&amp;INDEX('ربط حسابات الإهلاك'!$E$5:$E$14,MATCH(I34,'ربط حسابات الإهلاك'!$C$5:$C$14,0)),"غير مرتبط")</x:f>
        <x:v>120101001002 - مجمع إهلاك - اجهزة التكييف</x:v>
      </x:c>
      <x:c r="F34" s="163" t="str">
        <x:f t="shared" ca="1" si="1">IF(G34=0,"",IF(I34="البرامج والأنظمة","إثبات مصروف ومجمع الإطفاء عن الفترة "&amp;TEXT($B$3,"mm-yyyy")&amp;" - مركز التكلفة: "&amp;B34&amp;" - حساب الأصل: "&amp;I34,"إثبات مصروف ومجمع الإهلاك عن الفترة "&amp;TEXT($B$3,"mm-yyyy")&amp;" - مركز التكلفة: "&amp;B34&amp;" - حساب الأصل: "&amp;I34))</x:f>
      </x:c>
      <x:c r="G34" s="155" t="n">
        <x:f>SUMIFS('جدول الاصول الثابته الجديد'!$L$6:$L$2004,'جدول الاصول الثابته الجديد'!$B$6:$B$2004,B34,'جدول الاصول الثابته الجديد'!$C$6:$C$2004,I34)</x:f>
        <x:v>0</x:v>
      </x:c>
      <x:c r="H34" s="155" t="n">
        <x:f t="shared" si="2">G34</x:f>
        <x:v>0</x:v>
      </x:c>
      <x:c r="I34" s="163" t="str">
        <x:v>اجهزة التكييف</x:v>
      </x:c>
    </x:row>
    <x:row r="35" ht="30">
      <x:c r="A35" s="159" t="n">
        <x:f t="shared" si="0">IF(B35="","",$B$3)</x:f>
        <x:v>46387</x:v>
      </x:c>
      <x:c r="B35" s="163" t="str">
        <x:v>صيدلية لنا الرئيسية</x:v>
      </x:c>
      <x:c r="C35" s="163" t="str">
        <x:f ca="1">IFERROR(INDEX('ربط حسابات الإهلاك'!$B$5:$B$14,MATCH(I35,'ربط حسابات الإهلاك'!$C$5:$C$14,0))&amp;" - "&amp;I35,I35)</x:f>
        <x:v>120101004000 - ديكورات</x:v>
      </x:c>
      <x:c r="D35" s="163" t="str">
        <x:f>IFERROR(INDEX('ربط حسابات الإهلاك'!$F$5:$F$14,MATCH(I35,'ربط حسابات الإهلاك'!$C$5:$C$14,0))&amp;" - "&amp;INDEX('ربط حسابات الإهلاك'!$G$5:$G$14,MATCH(I35,'ربط حسابات الإهلاك'!$C$5:$C$14,0)),"غير مرتبط")</x:f>
        <x:v>520401003000 - مصروف إهلاك - ديكورات</x:v>
      </x:c>
      <x:c r="E35" s="163" t="str">
        <x:f>IFERROR(INDEX('ربط حسابات الإهلاك'!$D$5:$D$14,MATCH(I35,'ربط حسابات الإهلاك'!$C$5:$C$14,0))&amp;" - "&amp;INDEX('ربط حسابات الإهلاك'!$E$5:$E$14,MATCH(I35,'ربط حسابات الإهلاك'!$C$5:$C$14,0)),"غير مرتبط")</x:f>
        <x:v>120101004002 - مجمع إهلاك - ديكورات</x:v>
      </x:c>
      <x:c r="F35" s="163" t="str">
        <x:f t="shared" ca="1" si="1">IF(G35=0,"",IF(I35="البرامج والأنظمة","إثبات مصروف ومجمع الإطفاء عن الفترة "&amp;TEXT($B$3,"mm-yyyy")&amp;" - مركز التكلفة: "&amp;B35&amp;" - حساب الأصل: "&amp;I35,"إثبات مصروف ومجمع الإهلاك عن الفترة "&amp;TEXT($B$3,"mm-yyyy")&amp;" - مركز التكلفة: "&amp;B35&amp;" - حساب الأصل: "&amp;I35))</x:f>
      </x:c>
      <x:c r="G35" s="155" t="n">
        <x:f>SUMIFS('جدول الاصول الثابته الجديد'!$L$6:$L$2004,'جدول الاصول الثابته الجديد'!$B$6:$B$2004,B35,'جدول الاصول الثابته الجديد'!$C$6:$C$2004,I35)</x:f>
        <x:v>0</x:v>
      </x:c>
      <x:c r="H35" s="155" t="n">
        <x:f t="shared" si="2">G35</x:f>
        <x:v>0</x:v>
      </x:c>
      <x:c r="I35" s="163" t="str">
        <x:v>ديكورات</x:v>
      </x:c>
    </x:row>
    <x:row r="36" ht="30">
      <x:c r="A36" s="159" t="n">
        <x:f t="shared" si="0">IF(B36="","",$B$3)</x:f>
        <x:v>46387</x:v>
      </x:c>
      <x:c r="B36" s="163" t="str">
        <x:v>صيدلية لنا الرئيسية</x:v>
      </x:c>
      <x:c r="C36" s="163" t="str">
        <x:f ca="1">IFERROR(INDEX('ربط حسابات الإهلاك'!$B$5:$B$14,MATCH(I36,'ربط حسابات الإهلاك'!$C$5:$C$14,0))&amp;" - "&amp;I36,I36)</x:f>
        <x:v>120102001001 - البرامج والأنظمة</x:v>
      </x:c>
      <x:c r="D36" s="163" t="str">
        <x:f>IFERROR(INDEX('ربط حسابات الإهلاك'!$F$5:$F$14,MATCH(I36,'ربط حسابات الإهلاك'!$C$5:$C$14,0))&amp;" - "&amp;INDEX('ربط حسابات الإهلاك'!$G$5:$G$14,MATCH(I36,'ربط حسابات الإهلاك'!$C$5:$C$14,0)),"غير مرتبط")</x:f>
        <x:v>520401010000 - مصروف إطفاء - البرامج والأنظمة</x:v>
      </x:c>
      <x:c r="E36" s="163" t="str">
        <x:f>IFERROR(INDEX('ربط حسابات الإهلاك'!$D$5:$D$14,MATCH(I36,'ربط حسابات الإهلاك'!$C$5:$C$14,0))&amp;" - "&amp;INDEX('ربط حسابات الإهلاك'!$E$5:$E$14,MATCH(I36,'ربط حسابات الإهلاك'!$C$5:$C$14,0)),"غير مرتبط")</x:f>
        <x:v>120102001002 - مجمع إطفاء - البرامج والأنظمة</x:v>
      </x:c>
      <x:c r="F36" s="163" t="str">
        <x:f t="shared" ca="1" si="1">IF(G36=0,"",IF(I36="البرامج والأنظمة","إثبات مصروف ومجمع الإطفاء عن الفترة "&amp;TEXT($B$3,"mm-yyyy")&amp;" - مركز التكلفة: "&amp;B36&amp;" - حساب الأصل: "&amp;I36,"إثبات مصروف ومجمع الإهلاك عن الفترة "&amp;TEXT($B$3,"mm-yyyy")&amp;" - مركز التكلفة: "&amp;B36&amp;" - حساب الأصل: "&amp;I36))</x:f>
      </x:c>
      <x:c r="G36" s="155" t="n">
        <x:f>SUMIFS('جدول الاصول الثابته الجديد'!$L$6:$L$2004,'جدول الاصول الثابته الجديد'!$B$6:$B$2004,B36,'جدول الاصول الثابته الجديد'!$C$6:$C$2004,I36)</x:f>
        <x:v>0</x:v>
      </x:c>
      <x:c r="H36" s="155" t="n">
        <x:f t="shared" si="2">G36</x:f>
        <x:v>0</x:v>
      </x:c>
      <x:c r="I36" s="163" t="str">
        <x:v>البرامج والأنظمة</x:v>
      </x:c>
    </x:row>
    <x:row r="37" ht="30">
      <x:c r="A37" s="159" t="n">
        <x:f t="shared" si="0">IF(B37="","",$B$3)</x:f>
        <x:v>46387</x:v>
      </x:c>
      <x:c r="B37" s="163" t="str">
        <x:v>صيدلية لنا السدحان 15</x:v>
      </x:c>
      <x:c r="C37" s="163" t="str">
        <x:f ca="1">IFERROR(INDEX('ربط حسابات الإهلاك'!$B$5:$B$14,MATCH(I37,'ربط حسابات الإهلاك'!$C$5:$C$14,0))&amp;" - "&amp;I37,I37)</x:f>
        <x:v>120101009000 - اجهزة ومعدات طبية</x:v>
      </x:c>
      <x:c r="D37" s="163" t="str">
        <x:f>IFERROR(INDEX('ربط حسابات الإهلاك'!$F$5:$F$14,MATCH(I37,'ربط حسابات الإهلاك'!$C$5:$C$14,0))&amp;" - "&amp;INDEX('ربط حسابات الإهلاك'!$G$5:$G$14,MATCH(I37,'ربط حسابات الإهلاك'!$C$5:$C$14,0)),"غير مرتبط")</x:f>
        <x:v>520401004000 - مصروف إهلاك - اجهزة ومعدات طبية</x:v>
      </x:c>
      <x:c r="E37" s="163" t="str">
        <x:f>IFERROR(INDEX('ربط حسابات الإهلاك'!$D$5:$D$14,MATCH(I37,'ربط حسابات الإهلاك'!$C$5:$C$14,0))&amp;" - "&amp;INDEX('ربط حسابات الإهلاك'!$E$5:$E$14,MATCH(I37,'ربط حسابات الإهلاك'!$C$5:$C$14,0)),"غير مرتبط")</x:f>
        <x:v>120101009002 - مجمع إهلاك - اجهزة ومعدات طبية</x:v>
      </x:c>
      <x:c r="F37" s="163" t="str">
        <x:f t="shared" ca="1" si="1">IF(G37=0,"",IF(I37="البرامج والأنظمة","إثبات مصروف ومجمع الإطفاء عن الفترة "&amp;TEXT($B$3,"mm-yyyy")&amp;" - مركز التكلفة: "&amp;B37&amp;" - حساب الأصل: "&amp;I37,"إثبات مصروف ومجمع الإهلاك عن الفترة "&amp;TEXT($B$3,"mm-yyyy")&amp;" - مركز التكلفة: "&amp;B37&amp;" - حساب الأصل: "&amp;I37))</x:f>
        <x:v>إثبات مصروف ومجمع الإهلاك عن الفترة 12-2026 - مركز التكلفة: صيدلية لنا السدحان 15 - حساب الأصل: اجهزة ومعدات طبية</x:v>
      </x:c>
      <x:c r="G37" s="155" t="n">
        <x:f>SUMIFS('جدول الاصول الثابته الجديد'!$L$6:$L$2004,'جدول الاصول الثابته الجديد'!$B$6:$B$2004,B37,'جدول الاصول الثابته الجديد'!$C$6:$C$2004,I37)</x:f>
        <x:v>583.3333333333334</x:v>
      </x:c>
      <x:c r="H37" s="155" t="n">
        <x:f t="shared" si="2">G37</x:f>
        <x:v>583.3333333333334</x:v>
      </x:c>
      <x:c r="I37" s="163" t="str">
        <x:v>اجهزة ومعدات طبية</x:v>
      </x:c>
    </x:row>
    <x:row r="38" ht="30">
      <x:c r="A38" s="159" t="n">
        <x:f t="shared" si="0">IF(B38="","",$B$3)</x:f>
        <x:v>46387</x:v>
      </x:c>
      <x:c r="B38" s="163" t="str">
        <x:v>صيدلية لنا السدحان 15</x:v>
      </x:c>
      <x:c r="C38" s="163" t="str">
        <x:f ca="1">IFERROR(INDEX('ربط حسابات الإهلاك'!$B$5:$B$14,MATCH(I38,'ربط حسابات الإهلاك'!$C$5:$C$14,0))&amp;" - "&amp;I38,I38)</x:f>
        <x:v>120101003000 - السيارات</x:v>
      </x:c>
      <x:c r="D38" s="163" t="str">
        <x:f>IFERROR(INDEX('ربط حسابات الإهلاك'!$F$5:$F$14,MATCH(I38,'ربط حسابات الإهلاك'!$C$5:$C$14,0))&amp;" - "&amp;INDEX('ربط حسابات الإهلاك'!$G$5:$G$14,MATCH(I38,'ربط حسابات الإهلاك'!$C$5:$C$14,0)),"غير مرتبط")</x:f>
        <x:v>520401005000 - مصروف إهلاك - السيارات</x:v>
      </x:c>
      <x:c r="E38" s="163" t="str">
        <x:f>IFERROR(INDEX('ربط حسابات الإهلاك'!$D$5:$D$14,MATCH(I38,'ربط حسابات الإهلاك'!$C$5:$C$14,0))&amp;" - "&amp;INDEX('ربط حسابات الإهلاك'!$E$5:$E$14,MATCH(I38,'ربط حسابات الإهلاك'!$C$5:$C$14,0)),"غير مرتبط")</x:f>
        <x:v>120101003001 - مجمع إهلاك - السيارات</x:v>
      </x:c>
      <x:c r="F38" s="163" t="str">
        <x:f t="shared" ca="1" si="1">IF(G38=0,"",IF(I38="البرامج والأنظمة","إثبات مصروف ومجمع الإطفاء عن الفترة "&amp;TEXT($B$3,"mm-yyyy")&amp;" - مركز التكلفة: "&amp;B38&amp;" - حساب الأصل: "&amp;I38,"إثبات مصروف ومجمع الإهلاك عن الفترة "&amp;TEXT($B$3,"mm-yyyy")&amp;" - مركز التكلفة: "&amp;B38&amp;" - حساب الأصل: "&amp;I38))</x:f>
      </x:c>
      <x:c r="G38" s="155" t="n">
        <x:f>SUMIFS('جدول الاصول الثابته الجديد'!$L$6:$L$2004,'جدول الاصول الثابته الجديد'!$B$6:$B$2004,B38,'جدول الاصول الثابته الجديد'!$C$6:$C$2004,I38)</x:f>
        <x:v>0</x:v>
      </x:c>
      <x:c r="H38" s="155" t="n">
        <x:f t="shared" si="2">G38</x:f>
        <x:v>0</x:v>
      </x:c>
      <x:c r="I38" s="163" t="str">
        <x:v>السيارات</x:v>
      </x:c>
    </x:row>
    <x:row r="39" ht="45">
      <x:c r="A39" s="159" t="n">
        <x:f t="shared" ref="A39:A68" si="3">IF(B39="","",$B$3)</x:f>
        <x:v>46387</x:v>
      </x:c>
      <x:c r="B39" s="163" t="str">
        <x:v>صيدلية لنا السدحان 15</x:v>
      </x:c>
      <x:c r="C39" s="163" t="str">
        <x:f ca="1">IFERROR(INDEX('ربط حسابات الإهلاك'!$B$5:$B$14,MATCH(I39,'ربط حسابات الإهلاك'!$C$5:$C$14,0))&amp;" - "&amp;I39,I39)</x:f>
        <x:v>120101005001 - أثاث و مفروشات</x:v>
      </x:c>
      <x:c r="D39" s="163" t="str">
        <x:f>IFERROR(INDEX('ربط حسابات الإهلاك'!$F$5:$F$14,MATCH(I39,'ربط حسابات الإهلاك'!$C$5:$C$14,0))&amp;" - "&amp;INDEX('ربط حسابات الإهلاك'!$G$5:$G$14,MATCH(I39,'ربط حسابات الإهلاك'!$C$5:$C$14,0)),"غير مرتبط")</x:f>
        <x:v>520401006000 - مصروف إهلاك - أثاث و مفروشات</x:v>
      </x:c>
      <x:c r="E39" s="163" t="str">
        <x:f>IFERROR(INDEX('ربط حسابات الإهلاك'!$D$5:$D$14,MATCH(I39,'ربط حسابات الإهلاك'!$C$5:$C$14,0))&amp;" - "&amp;INDEX('ربط حسابات الإهلاك'!$E$5:$E$14,MATCH(I39,'ربط حسابات الإهلاك'!$C$5:$C$14,0)),"غير مرتبط")</x:f>
        <x:v>120101005002 - مجمع إهلاك - أثاث و مفروشات</x:v>
      </x:c>
      <x:c r="F39" s="163" t="str">
        <x:f t="shared" ref="F39:F68" ca="1" si="4">IF(G39=0,"",IF(I39="البرامج والأنظمة","إثبات مصروف ومجمع الإطفاء عن الفترة "&amp;TEXT($B$3,"mm-yyyy")&amp;" - مركز التكلفة: "&amp;B39&amp;" - حساب الأصل: "&amp;I39,"إثبات مصروف ومجمع الإهلاك عن الفترة "&amp;TEXT($B$3,"mm-yyyy")&amp;" - مركز التكلفة: "&amp;B39&amp;" - حساب الأصل: "&amp;I39))</x:f>
      </x:c>
      <x:c r="G39" s="155" t="n">
        <x:f>SUMIFS('جدول الاصول الثابته الجديد'!$L$6:$L$2004,'جدول الاصول الثابته الجديد'!$B$6:$B$2004,B39,'جدول الاصول الثابته الجديد'!$C$6:$C$2004,I39)</x:f>
        <x:v>0</x:v>
      </x:c>
      <x:c r="H39" s="155" t="n">
        <x:f t="shared" ref="H39:H68" si="5">G39</x:f>
        <x:v>0</x:v>
      </x:c>
      <x:c r="I39" s="163" t="str">
        <x:v>أثاث و مفروشات</x:v>
      </x:c>
    </x:row>
    <x:row r="40" ht="30">
      <x:c r="A40" s="159" t="n">
        <x:f t="shared" si="3">IF(B40="","",$B$3)</x:f>
        <x:v>46387</x:v>
      </x:c>
      <x:c r="B40" s="163" t="str">
        <x:v>صيدلية لنا السدحان 15</x:v>
      </x:c>
      <x:c r="C40" s="163" t="str">
        <x:f ca="1">IFERROR(INDEX('ربط حسابات الإهلاك'!$B$5:$B$14,MATCH(I40,'ربط حسابات الإهلاك'!$C$5:$C$14,0))&amp;" - "&amp;I40,I40)</x:f>
        <x:v>120101011001 - أثاث و مفروشات السكن</x:v>
      </x:c>
      <x:c r="D40" s="163" t="str">
        <x:f>IFERROR(INDEX('ربط حسابات الإهلاك'!$F$5:$F$14,MATCH(I40,'ربط حسابات الإهلاك'!$C$5:$C$14,0))&amp;" - "&amp;INDEX('ربط حسابات الإهلاك'!$G$5:$G$14,MATCH(I40,'ربط حسابات الإهلاك'!$C$5:$C$14,0)),"غير مرتبط")</x:f>
        <x:v>520401007000 - مصروف إهلاك - أثاث و مفروشات السكن</x:v>
      </x:c>
      <x:c r="E40" s="163" t="str">
        <x:f>IFERROR(INDEX('ربط حسابات الإهلاك'!$D$5:$D$14,MATCH(I40,'ربط حسابات الإهلاك'!$C$5:$C$14,0))&amp;" - "&amp;INDEX('ربط حسابات الإهلاك'!$E$5:$E$14,MATCH(I40,'ربط حسابات الإهلاك'!$C$5:$C$14,0)),"غير مرتبط")</x:f>
        <x:v>120101011002 - مجمع إهلاك - أثاث و مفروشات السكن</x:v>
      </x:c>
      <x:c r="F40" s="163" t="str">
        <x:f t="shared" ca="1" si="4">IF(G40=0,"",IF(I40="البرامج والأنظمة","إثبات مصروف ومجمع الإطفاء عن الفترة "&amp;TEXT($B$3,"mm-yyyy")&amp;" - مركز التكلفة: "&amp;B40&amp;" - حساب الأصل: "&amp;I40,"إثبات مصروف ومجمع الإهلاك عن الفترة "&amp;TEXT($B$3,"mm-yyyy")&amp;" - مركز التكلفة: "&amp;B40&amp;" - حساب الأصل: "&amp;I40))</x:f>
      </x:c>
      <x:c r="G40" s="155" t="n">
        <x:f>SUMIFS('جدول الاصول الثابته الجديد'!$L$6:$L$2004,'جدول الاصول الثابته الجديد'!$B$6:$B$2004,B40,'جدول الاصول الثابته الجديد'!$C$6:$C$2004,I40)</x:f>
        <x:v>0</x:v>
      </x:c>
      <x:c r="H40" s="155" t="n">
        <x:f t="shared" si="5">G40</x:f>
        <x:v>0</x:v>
      </x:c>
      <x:c r="I40" s="163" t="str">
        <x:v>أثاث و مفروشات السكن</x:v>
      </x:c>
    </x:row>
    <x:row r="41" ht="30">
      <x:c r="A41" s="159" t="n">
        <x:f t="shared" si="3">IF(B41="","",$B$3)</x:f>
        <x:v>46387</x:v>
      </x:c>
      <x:c r="B41" s="163" t="str">
        <x:v>صيدلية لنا السدحان 15</x:v>
      </x:c>
      <x:c r="C41" s="163" t="str">
        <x:f ca="1">IFERROR(INDEX('ربط حسابات الإهلاك'!$B$5:$B$14,MATCH(I41,'ربط حسابات الإهلاك'!$C$5:$C$14,0))&amp;" - "&amp;I41,I41)</x:f>
        <x:v>120101006001 - الاجهزة الالكترونية والحاسب الالي وملحقاته</x:v>
      </x:c>
      <x:c r="D41" s="163" t="str">
        <x:f>IFERROR(INDEX('ربط حسابات الإهلاك'!$F$5:$F$14,MATCH(I41,'ربط حسابات الإهلاك'!$C$5:$C$14,0))&amp;" - "&amp;INDEX('ربط حسابات الإهلاك'!$G$5:$G$14,MATCH(I41,'ربط حسابات الإهلاك'!$C$5:$C$14,0)),"غير مرتبط")</x:f>
        <x:v>520401009000 - مصروف إهلاك - الاجهزة الالكترونية والحاسب الالي وملحقاته</x:v>
      </x:c>
      <x:c r="E41" s="163" t="str">
        <x:f>IFERROR(INDEX('ربط حسابات الإهلاك'!$D$5:$D$14,MATCH(I41,'ربط حسابات الإهلاك'!$C$5:$C$14,0))&amp;" - "&amp;INDEX('ربط حسابات الإهلاك'!$E$5:$E$14,MATCH(I41,'ربط حسابات الإهلاك'!$C$5:$C$14,0)),"غير مرتبط")</x:f>
        <x:v>120101006002 - مجمع إهلاك - الاجهزة الالكترونية والحاسب الالي وملحقاته</x:v>
      </x:c>
      <x:c r="F41" s="163" t="str">
        <x:f t="shared" ca="1" si="4">IF(G41=0,"",IF(I41="البرامج والأنظمة","إثبات مصروف ومجمع الإطفاء عن الفترة "&amp;TEXT($B$3,"mm-yyyy")&amp;" - مركز التكلفة: "&amp;B41&amp;" - حساب الأصل: "&amp;I41,"إثبات مصروف ومجمع الإهلاك عن الفترة "&amp;TEXT($B$3,"mm-yyyy")&amp;" - مركز التكلفة: "&amp;B41&amp;" - حساب الأصل: "&amp;I41))</x:f>
        <x:v>إثبات مصروف ومجمع الإهلاك عن الفترة 12-2026 - مركز التكلفة: صيدلية لنا السدحان 15 - حساب الأصل: الاجهزة الالكترونية والحاسب الالي وملحقاته</x:v>
      </x:c>
      <x:c r="G41" s="155" t="n">
        <x:f>SUMIFS('جدول الاصول الثابته الجديد'!$L$6:$L$2004,'جدول الاصول الثابته الجديد'!$B$6:$B$2004,B41,'جدول الاصول الثابته الجديد'!$C$6:$C$2004,I41)</x:f>
        <x:v>485.41645350000016</x:v>
      </x:c>
      <x:c r="H41" s="155" t="n">
        <x:f t="shared" si="5">G41</x:f>
        <x:v>485.41645350000016</x:v>
      </x:c>
      <x:c r="I41" s="163" t="str">
        <x:v>الاجهزة الالكترونية والحاسب الالي وملحقاته</x:v>
      </x:c>
    </x:row>
    <x:row r="42" ht="30">
      <x:c r="A42" s="159" t="n">
        <x:f t="shared" si="3">IF(B42="","",$B$3)</x:f>
        <x:v>46387</x:v>
      </x:c>
      <x:c r="B42" s="163" t="str">
        <x:v>صيدلية لنا السدحان 15</x:v>
      </x:c>
      <x:c r="C42" s="163" t="str">
        <x:f ca="1">IFERROR(INDEX('ربط حسابات الإهلاك'!$B$5:$B$14,MATCH(I42,'ربط حسابات الإهلاك'!$C$5:$C$14,0))&amp;" - "&amp;I42,I42)</x:f>
        <x:v>120101007001 - الاجهزة الكهربائية</x:v>
      </x:c>
      <x:c r="D42" s="163" t="str">
        <x:f>IFERROR(INDEX('ربط حسابات الإهلاك'!$F$5:$F$14,MATCH(I42,'ربط حسابات الإهلاك'!$C$5:$C$14,0))&amp;" - "&amp;INDEX('ربط حسابات الإهلاك'!$G$5:$G$14,MATCH(I42,'ربط حسابات الإهلاك'!$C$5:$C$14,0)),"غير مرتبط")</x:f>
        <x:v>520401008000 - مصروف إهلاك - الاجهزة الكهربائية</x:v>
      </x:c>
      <x:c r="E42" s="163" t="str">
        <x:f>IFERROR(INDEX('ربط حسابات الإهلاك'!$D$5:$D$14,MATCH(I42,'ربط حسابات الإهلاك'!$C$5:$C$14,0))&amp;" - "&amp;INDEX('ربط حسابات الإهلاك'!$E$5:$E$14,MATCH(I42,'ربط حسابات الإهلاك'!$C$5:$C$14,0)),"غير مرتبط")</x:f>
        <x:v>120101007002 - مجمع إهلاك - الاجهزة الكهربائية</x:v>
      </x:c>
      <x:c r="F42" s="163" t="str">
        <x:f t="shared" ca="1" si="4">IF(G42=0,"",IF(I42="البرامج والأنظمة","إثبات مصروف ومجمع الإطفاء عن الفترة "&amp;TEXT($B$3,"mm-yyyy")&amp;" - مركز التكلفة: "&amp;B42&amp;" - حساب الأصل: "&amp;I42,"إثبات مصروف ومجمع الإهلاك عن الفترة "&amp;TEXT($B$3,"mm-yyyy")&amp;" - مركز التكلفة: "&amp;B42&amp;" - حساب الأصل: "&amp;I42))</x:f>
        <x:v>إثبات مصروف ومجمع الإهلاك عن الفترة 12-2026 - مركز التكلفة: صيدلية لنا السدحان 15 - حساب الأصل: الاجهزة الكهربائية</x:v>
      </x:c>
      <x:c r="G42" s="155" t="n">
        <x:f>SUMIFS('جدول الاصول الثابته الجديد'!$L$6:$L$2004,'جدول الاصول الثابته الجديد'!$B$6:$B$2004,B42,'جدول الاصول الثابته الجديد'!$C$6:$C$2004,I42)</x:f>
        <x:v>69.2345</x:v>
      </x:c>
      <x:c r="H42" s="155" t="n">
        <x:f t="shared" si="5">G42</x:f>
        <x:v>69.2345</x:v>
      </x:c>
      <x:c r="I42" s="163" t="str">
        <x:v>الاجهزة الكهربائية</x:v>
      </x:c>
    </x:row>
    <x:row r="43" ht="30">
      <x:c r="A43" s="159" t="n">
        <x:f t="shared" si="3">IF(B43="","",$B$3)</x:f>
        <x:v>46387</x:v>
      </x:c>
      <x:c r="B43" s="163" t="str">
        <x:v>صيدلية لنا السدحان 15</x:v>
      </x:c>
      <x:c r="C43" s="163" t="str">
        <x:f ca="1">IFERROR(INDEX('ربط حسابات الإهلاك'!$B$5:$B$14,MATCH(I43,'ربط حسابات الإهلاك'!$C$5:$C$14,0))&amp;" - "&amp;I43,I43)</x:f>
        <x:v>120101002000 - تحسينات على مباني</x:v>
      </x:c>
      <x:c r="D43" s="163" t="str">
        <x:f>IFERROR(INDEX('ربط حسابات الإهلاك'!$F$5:$F$14,MATCH(I43,'ربط حسابات الإهلاك'!$C$5:$C$14,0))&amp;" - "&amp;INDEX('ربط حسابات الإهلاك'!$G$5:$G$14,MATCH(I43,'ربط حسابات الإهلاك'!$C$5:$C$14,0)),"غير مرتبط")</x:f>
        <x:v>520401001000 - مصروف إهلاك - تحسينات على مباني</x:v>
      </x:c>
      <x:c r="E43" s="163" t="str">
        <x:f>IFERROR(INDEX('ربط حسابات الإهلاك'!$D$5:$D$14,MATCH(I43,'ربط حسابات الإهلاك'!$C$5:$C$14,0))&amp;" - "&amp;INDEX('ربط حسابات الإهلاك'!$E$5:$E$14,MATCH(I43,'ربط حسابات الإهلاك'!$C$5:$C$14,0)),"غير مرتبط")</x:f>
        <x:v>120101002002 - مجمع إهلاك - تحسينات على مباني</x:v>
      </x:c>
      <x:c r="F43" s="163" t="str">
        <x:f t="shared" ca="1" si="4">IF(G43=0,"",IF(I43="البرامج والأنظمة","إثبات مصروف ومجمع الإطفاء عن الفترة "&amp;TEXT($B$3,"mm-yyyy")&amp;" - مركز التكلفة: "&amp;B43&amp;" - حساب الأصل: "&amp;I43,"إثبات مصروف ومجمع الإهلاك عن الفترة "&amp;TEXT($B$3,"mm-yyyy")&amp;" - مركز التكلفة: "&amp;B43&amp;" - حساب الأصل: "&amp;I43))</x:f>
        <x:v>إثبات مصروف ومجمع الإهلاك عن الفترة 12-2026 - مركز التكلفة: صيدلية لنا السدحان 15 - حساب الأصل: تحسينات على مباني</x:v>
      </x:c>
      <x:c r="G43" s="155" t="n">
        <x:f>SUMIFS('جدول الاصول الثابته الجديد'!$L$6:$L$2004,'جدول الاصول الثابته الجديد'!$B$6:$B$2004,B43,'جدول الاصول الثابته الجديد'!$C$6:$C$2004,I43)</x:f>
        <x:v>7401.025000000001</x:v>
      </x:c>
      <x:c r="H43" s="155" t="n">
        <x:f t="shared" si="5">G43</x:f>
        <x:v>7401.025000000001</x:v>
      </x:c>
      <x:c r="I43" s="163" t="str">
        <x:v>تحسينات على مباني</x:v>
      </x:c>
    </x:row>
    <x:row r="44" ht="30">
      <x:c r="A44" s="159" t="n">
        <x:f t="shared" si="3">IF(B44="","",$B$3)</x:f>
        <x:v>46387</x:v>
      </x:c>
      <x:c r="B44" s="163" t="str">
        <x:v>صيدلية لنا السدحان 15</x:v>
      </x:c>
      <x:c r="C44" s="163" t="str">
        <x:f ca="1">IFERROR(INDEX('ربط حسابات الإهلاك'!$B$5:$B$14,MATCH(I44,'ربط حسابات الإهلاك'!$C$5:$C$14,0))&amp;" - "&amp;I44,I44)</x:f>
        <x:v>120101001000 - اجهزة التكييف</x:v>
      </x:c>
      <x:c r="D44" s="163" t="str">
        <x:f>IFERROR(INDEX('ربط حسابات الإهلاك'!$F$5:$F$14,MATCH(I44,'ربط حسابات الإهلاك'!$C$5:$C$14,0))&amp;" - "&amp;INDEX('ربط حسابات الإهلاك'!$G$5:$G$14,MATCH(I44,'ربط حسابات الإهلاك'!$C$5:$C$14,0)),"غير مرتبط")</x:f>
        <x:v>520401002000 - مصروف إهلاك - اجهزة التكييف</x:v>
      </x:c>
      <x:c r="E44" s="163" t="str">
        <x:f>IFERROR(INDEX('ربط حسابات الإهلاك'!$D$5:$D$14,MATCH(I44,'ربط حسابات الإهلاك'!$C$5:$C$14,0))&amp;" - "&amp;INDEX('ربط حسابات الإهلاك'!$E$5:$E$14,MATCH(I44,'ربط حسابات الإهلاك'!$C$5:$C$14,0)),"غير مرتبط")</x:f>
        <x:v>120101001002 - مجمع إهلاك - اجهزة التكييف</x:v>
      </x:c>
      <x:c r="F44" s="163" t="str">
        <x:f t="shared" ca="1" si="4">IF(G44=0,"",IF(I44="البرامج والأنظمة","إثبات مصروف ومجمع الإطفاء عن الفترة "&amp;TEXT($B$3,"mm-yyyy")&amp;" - مركز التكلفة: "&amp;B44&amp;" - حساب الأصل: "&amp;I44,"إثبات مصروف ومجمع الإهلاك عن الفترة "&amp;TEXT($B$3,"mm-yyyy")&amp;" - مركز التكلفة: "&amp;B44&amp;" - حساب الأصل: "&amp;I44))</x:f>
        <x:v>إثبات مصروف ومجمع الإهلاك عن الفترة 12-2026 - مركز التكلفة: صيدلية لنا السدحان 15 - حساب الأصل: اجهزة التكييف</x:v>
      </x:c>
      <x:c r="G44" s="155" t="n">
        <x:f>SUMIFS('جدول الاصول الثابته الجديد'!$L$6:$L$2004,'جدول الاصول الثابته الجديد'!$B$6:$B$2004,B44,'جدول الاصول الثابته الجديد'!$C$6:$C$2004,I44)</x:f>
        <x:v>3383.4475</x:v>
      </x:c>
      <x:c r="H44" s="155" t="n">
        <x:f t="shared" si="5">G44</x:f>
        <x:v>3383.4475</x:v>
      </x:c>
      <x:c r="I44" s="163" t="str">
        <x:v>اجهزة التكييف</x:v>
      </x:c>
    </x:row>
    <x:row r="45" ht="45">
      <x:c r="A45" s="159" t="n">
        <x:f t="shared" si="3">IF(B45="","",$B$3)</x:f>
        <x:v>46387</x:v>
      </x:c>
      <x:c r="B45" s="163" t="str">
        <x:v>صيدلية لنا السدحان 15</x:v>
      </x:c>
      <x:c r="C45" s="163" t="str">
        <x:f ca="1">IFERROR(INDEX('ربط حسابات الإهلاك'!$B$5:$B$14,MATCH(I45,'ربط حسابات الإهلاك'!$C$5:$C$14,0))&amp;" - "&amp;I45,I45)</x:f>
        <x:v>120101004000 - ديكورات</x:v>
      </x:c>
      <x:c r="D45" s="163" t="str">
        <x:f>IFERROR(INDEX('ربط حسابات الإهلاك'!$F$5:$F$14,MATCH(I45,'ربط حسابات الإهلاك'!$C$5:$C$14,0))&amp;" - "&amp;INDEX('ربط حسابات الإهلاك'!$G$5:$G$14,MATCH(I45,'ربط حسابات الإهلاك'!$C$5:$C$14,0)),"غير مرتبط")</x:f>
        <x:v>520401003000 - مصروف إهلاك - ديكورات</x:v>
      </x:c>
      <x:c r="E45" s="163" t="str">
        <x:f>IFERROR(INDEX('ربط حسابات الإهلاك'!$D$5:$D$14,MATCH(I45,'ربط حسابات الإهلاك'!$C$5:$C$14,0))&amp;" - "&amp;INDEX('ربط حسابات الإهلاك'!$E$5:$E$14,MATCH(I45,'ربط حسابات الإهلاك'!$C$5:$C$14,0)),"غير مرتبط")</x:f>
        <x:v>120101004002 - مجمع إهلاك - ديكورات</x:v>
      </x:c>
      <x:c r="F45" s="163" t="str">
        <x:f t="shared" ca="1" si="4">IF(G45=0,"",IF(I45="البرامج والأنظمة","إثبات مصروف ومجمع الإطفاء عن الفترة "&amp;TEXT($B$3,"mm-yyyy")&amp;" - مركز التكلفة: "&amp;B45&amp;" - حساب الأصل: "&amp;I45,"إثبات مصروف ومجمع الإهلاك عن الفترة "&amp;TEXT($B$3,"mm-yyyy")&amp;" - مركز التكلفة: "&amp;B45&amp;" - حساب الأصل: "&amp;I45))</x:f>
      </x:c>
      <x:c r="G45" s="155" t="n">
        <x:f>SUMIFS('جدول الاصول الثابته الجديد'!$L$6:$L$2004,'جدول الاصول الثابته الجديد'!$B$6:$B$2004,B45,'جدول الاصول الثابته الجديد'!$C$6:$C$2004,I45)</x:f>
        <x:v>0</x:v>
      </x:c>
      <x:c r="H45" s="155" t="n">
        <x:f t="shared" si="5">G45</x:f>
        <x:v>0</x:v>
      </x:c>
      <x:c r="I45" s="163" t="str">
        <x:v>ديكورات</x:v>
      </x:c>
    </x:row>
    <x:row r="46" ht="30">
      <x:c r="A46" s="159" t="n">
        <x:f t="shared" si="3">IF(B46="","",$B$3)</x:f>
        <x:v>46387</x:v>
      </x:c>
      <x:c r="B46" s="163" t="str">
        <x:v>صيدلية لنا السدحان 15</x:v>
      </x:c>
      <x:c r="C46" s="163" t="str">
        <x:f ca="1">IFERROR(INDEX('ربط حسابات الإهلاك'!$B$5:$B$14,MATCH(I46,'ربط حسابات الإهلاك'!$C$5:$C$14,0))&amp;" - "&amp;I46,I46)</x:f>
        <x:v>120102001001 - البرامج والأنظمة</x:v>
      </x:c>
      <x:c r="D46" s="163" t="str">
        <x:f>IFERROR(INDEX('ربط حسابات الإهلاك'!$F$5:$F$14,MATCH(I46,'ربط حسابات الإهلاك'!$C$5:$C$14,0))&amp;" - "&amp;INDEX('ربط حسابات الإهلاك'!$G$5:$G$14,MATCH(I46,'ربط حسابات الإهلاك'!$C$5:$C$14,0)),"غير مرتبط")</x:f>
        <x:v>520401010000 - مصروف إطفاء - البرامج والأنظمة</x:v>
      </x:c>
      <x:c r="E46" s="163" t="str">
        <x:f>IFERROR(INDEX('ربط حسابات الإهلاك'!$D$5:$D$14,MATCH(I46,'ربط حسابات الإهلاك'!$C$5:$C$14,0))&amp;" - "&amp;INDEX('ربط حسابات الإهلاك'!$E$5:$E$14,MATCH(I46,'ربط حسابات الإهلاك'!$C$5:$C$14,0)),"غير مرتبط")</x:f>
        <x:v>120102001002 - مجمع إطفاء - البرامج والأنظمة</x:v>
      </x:c>
      <x:c r="F46" s="163" t="str">
        <x:f t="shared" ca="1" si="4">IF(G46=0,"",IF(I46="البرامج والأنظمة","إثبات مصروف ومجمع الإطفاء عن الفترة "&amp;TEXT($B$3,"mm-yyyy")&amp;" - مركز التكلفة: "&amp;B46&amp;" - حساب الأصل: "&amp;I46,"إثبات مصروف ومجمع الإهلاك عن الفترة "&amp;TEXT($B$3,"mm-yyyy")&amp;" - مركز التكلفة: "&amp;B46&amp;" - حساب الأصل: "&amp;I46))</x:f>
        <x:v>إثبات مصروف ومجمع الإطفاء عن الفترة 12-2026 - مركز التكلفة: صيدلية لنا السدحان 15 - حساب الأصل: البرامج والأنظمة</x:v>
      </x:c>
      <x:c r="G46" s="155" t="n">
        <x:f>SUMIFS('جدول الاصول الثابته الجديد'!$L$6:$L$2004,'جدول الاصول الثابته الجديد'!$B$6:$B$2004,B46,'جدول الاصول الثابته الجديد'!$C$6:$C$2004,I46)</x:f>
        <x:v>277.75</x:v>
      </x:c>
      <x:c r="H46" s="155" t="n">
        <x:f t="shared" si="5">G46</x:f>
        <x:v>277.75</x:v>
      </x:c>
      <x:c r="I46" s="163" t="str">
        <x:v>البرامج والأنظمة</x:v>
      </x:c>
    </x:row>
    <x:row r="47" ht="30">
      <x:c r="A47" s="159" t="n">
        <x:f t="shared" si="3">IF(B47="","",$B$3)</x:f>
        <x:v>46387</x:v>
      </x:c>
      <x:c r="B47" s="163" t="str">
        <x:v>صيدلية لنا النهضه12</x:v>
      </x:c>
      <x:c r="C47" s="163" t="str">
        <x:f ca="1">IFERROR(INDEX('ربط حسابات الإهلاك'!$B$5:$B$14,MATCH(I47,'ربط حسابات الإهلاك'!$C$5:$C$14,0))&amp;" - "&amp;I47,I47)</x:f>
        <x:v>120101009000 - اجهزة ومعدات طبية</x:v>
      </x:c>
      <x:c r="D47" s="163" t="str">
        <x:f>IFERROR(INDEX('ربط حسابات الإهلاك'!$F$5:$F$14,MATCH(I47,'ربط حسابات الإهلاك'!$C$5:$C$14,0))&amp;" - "&amp;INDEX('ربط حسابات الإهلاك'!$G$5:$G$14,MATCH(I47,'ربط حسابات الإهلاك'!$C$5:$C$14,0)),"غير مرتبط")</x:f>
        <x:v>520401004000 - مصروف إهلاك - اجهزة ومعدات طبية</x:v>
      </x:c>
      <x:c r="E47" s="163" t="str">
        <x:f>IFERROR(INDEX('ربط حسابات الإهلاك'!$D$5:$D$14,MATCH(I47,'ربط حسابات الإهلاك'!$C$5:$C$14,0))&amp;" - "&amp;INDEX('ربط حسابات الإهلاك'!$E$5:$E$14,MATCH(I47,'ربط حسابات الإهلاك'!$C$5:$C$14,0)),"غير مرتبط")</x:f>
        <x:v>120101009002 - مجمع إهلاك - اجهزة ومعدات طبية</x:v>
      </x:c>
      <x:c r="F47" s="163" t="str">
        <x:f t="shared" ca="1" si="4">IF(G47=0,"",IF(I47="البرامج والأنظمة","إثبات مصروف ومجمع الإطفاء عن الفترة "&amp;TEXT($B$3,"mm-yyyy")&amp;" - مركز التكلفة: "&amp;B47&amp;" - حساب الأصل: "&amp;I47,"إثبات مصروف ومجمع الإهلاك عن الفترة "&amp;TEXT($B$3,"mm-yyyy")&amp;" - مركز التكلفة: "&amp;B47&amp;" - حساب الأصل: "&amp;I47))</x:f>
      </x:c>
      <x:c r="G47" s="155" t="n">
        <x:f>SUMIFS('جدول الاصول الثابته الجديد'!$L$6:$L$2004,'جدول الاصول الثابته الجديد'!$B$6:$B$2004,B47,'جدول الاصول الثابته الجديد'!$C$6:$C$2004,I47)</x:f>
        <x:v>0</x:v>
      </x:c>
      <x:c r="H47" s="155" t="n">
        <x:f t="shared" si="5">G47</x:f>
        <x:v>0</x:v>
      </x:c>
      <x:c r="I47" s="163" t="str">
        <x:v>اجهزة ومعدات طبية</x:v>
      </x:c>
    </x:row>
    <x:row r="48" ht="30">
      <x:c r="A48" s="159" t="n">
        <x:f t="shared" si="3">IF(B48="","",$B$3)</x:f>
        <x:v>46387</x:v>
      </x:c>
      <x:c r="B48" s="163" t="str">
        <x:v>صيدلية لنا النهضه12</x:v>
      </x:c>
      <x:c r="C48" s="163" t="str">
        <x:f ca="1">IFERROR(INDEX('ربط حسابات الإهلاك'!$B$5:$B$14,MATCH(I48,'ربط حسابات الإهلاك'!$C$5:$C$14,0))&amp;" - "&amp;I48,I48)</x:f>
        <x:v>120101003000 - السيارات</x:v>
      </x:c>
      <x:c r="D48" s="163" t="str">
        <x:f>IFERROR(INDEX('ربط حسابات الإهلاك'!$F$5:$F$14,MATCH(I48,'ربط حسابات الإهلاك'!$C$5:$C$14,0))&amp;" - "&amp;INDEX('ربط حسابات الإهلاك'!$G$5:$G$14,MATCH(I48,'ربط حسابات الإهلاك'!$C$5:$C$14,0)),"غير مرتبط")</x:f>
        <x:v>520401005000 - مصروف إهلاك - السيارات</x:v>
      </x:c>
      <x:c r="E48" s="163" t="str">
        <x:f>IFERROR(INDEX('ربط حسابات الإهلاك'!$D$5:$D$14,MATCH(I48,'ربط حسابات الإهلاك'!$C$5:$C$14,0))&amp;" - "&amp;INDEX('ربط حسابات الإهلاك'!$E$5:$E$14,MATCH(I48,'ربط حسابات الإهلاك'!$C$5:$C$14,0)),"غير مرتبط")</x:f>
        <x:v>120101003001 - مجمع إهلاك - السيارات</x:v>
      </x:c>
      <x:c r="F48" s="163" t="str">
        <x:f t="shared" ca="1" si="4">IF(G48=0,"",IF(I48="البرامج والأنظمة","إثبات مصروف ومجمع الإطفاء عن الفترة "&amp;TEXT($B$3,"mm-yyyy")&amp;" - مركز التكلفة: "&amp;B48&amp;" - حساب الأصل: "&amp;I48,"إثبات مصروف ومجمع الإهلاك عن الفترة "&amp;TEXT($B$3,"mm-yyyy")&amp;" - مركز التكلفة: "&amp;B48&amp;" - حساب الأصل: "&amp;I48))</x:f>
      </x:c>
      <x:c r="G48" s="155" t="n">
        <x:f>SUMIFS('جدول الاصول الثابته الجديد'!$L$6:$L$2004,'جدول الاصول الثابته الجديد'!$B$6:$B$2004,B48,'جدول الاصول الثابته الجديد'!$C$6:$C$2004,I48)</x:f>
        <x:v>0</x:v>
      </x:c>
      <x:c r="H48" s="155" t="n">
        <x:f t="shared" si="5">G48</x:f>
        <x:v>0</x:v>
      </x:c>
      <x:c r="I48" s="163" t="str">
        <x:v>السيارات</x:v>
      </x:c>
    </x:row>
    <x:row r="49" ht="30">
      <x:c r="A49" s="159" t="n">
        <x:f t="shared" si="3">IF(B49="","",$B$3)</x:f>
        <x:v>46387</x:v>
      </x:c>
      <x:c r="B49" s="163" t="str">
        <x:v>صيدلية لنا النهضه12</x:v>
      </x:c>
      <x:c r="C49" s="163" t="str">
        <x:f ca="1">IFERROR(INDEX('ربط حسابات الإهلاك'!$B$5:$B$14,MATCH(I49,'ربط حسابات الإهلاك'!$C$5:$C$14,0))&amp;" - "&amp;I49,I49)</x:f>
        <x:v>120101005001 - أثاث و مفروشات</x:v>
      </x:c>
      <x:c r="D49" s="163" t="str">
        <x:f>IFERROR(INDEX('ربط حسابات الإهلاك'!$F$5:$F$14,MATCH(I49,'ربط حسابات الإهلاك'!$C$5:$C$14,0))&amp;" - "&amp;INDEX('ربط حسابات الإهلاك'!$G$5:$G$14,MATCH(I49,'ربط حسابات الإهلاك'!$C$5:$C$14,0)),"غير مرتبط")</x:f>
        <x:v>520401006000 - مصروف إهلاك - أثاث و مفروشات</x:v>
      </x:c>
      <x:c r="E49" s="163" t="str">
        <x:f>IFERROR(INDEX('ربط حسابات الإهلاك'!$D$5:$D$14,MATCH(I49,'ربط حسابات الإهلاك'!$C$5:$C$14,0))&amp;" - "&amp;INDEX('ربط حسابات الإهلاك'!$E$5:$E$14,MATCH(I49,'ربط حسابات الإهلاك'!$C$5:$C$14,0)),"غير مرتبط")</x:f>
        <x:v>120101005002 - مجمع إهلاك - أثاث و مفروشات</x:v>
      </x:c>
      <x:c r="F49" s="163" t="str">
        <x:f t="shared" ca="1" si="4">IF(G49=0,"",IF(I49="البرامج والأنظمة","إثبات مصروف ومجمع الإطفاء عن الفترة "&amp;TEXT($B$3,"mm-yyyy")&amp;" - مركز التكلفة: "&amp;B49&amp;" - حساب الأصل: "&amp;I49,"إثبات مصروف ومجمع الإهلاك عن الفترة "&amp;TEXT($B$3,"mm-yyyy")&amp;" - مركز التكلفة: "&amp;B49&amp;" - حساب الأصل: "&amp;I49))</x:f>
      </x:c>
      <x:c r="G49" s="155" t="n">
        <x:f>SUMIFS('جدول الاصول الثابته الجديد'!$L$6:$L$2004,'جدول الاصول الثابته الجديد'!$B$6:$B$2004,B49,'جدول الاصول الثابته الجديد'!$C$6:$C$2004,I49)</x:f>
        <x:v>0</x:v>
      </x:c>
      <x:c r="H49" s="155" t="n">
        <x:f t="shared" si="5">G49</x:f>
        <x:v>0</x:v>
      </x:c>
      <x:c r="I49" s="163" t="str">
        <x:v>أثاث و مفروشات</x:v>
      </x:c>
    </x:row>
    <x:row r="50" ht="30">
      <x:c r="A50" s="159" t="n">
        <x:f t="shared" si="3">IF(B50="","",$B$3)</x:f>
        <x:v>46387</x:v>
      </x:c>
      <x:c r="B50" s="163" t="str">
        <x:v>صيدلية لنا النهضه12</x:v>
      </x:c>
      <x:c r="C50" s="163" t="str">
        <x:f ca="1">IFERROR(INDEX('ربط حسابات الإهلاك'!$B$5:$B$14,MATCH(I50,'ربط حسابات الإهلاك'!$C$5:$C$14,0))&amp;" - "&amp;I50,I50)</x:f>
        <x:v>120101011001 - أثاث و مفروشات السكن</x:v>
      </x:c>
      <x:c r="D50" s="163" t="str">
        <x:f>IFERROR(INDEX('ربط حسابات الإهلاك'!$F$5:$F$14,MATCH(I50,'ربط حسابات الإهلاك'!$C$5:$C$14,0))&amp;" - "&amp;INDEX('ربط حسابات الإهلاك'!$G$5:$G$14,MATCH(I50,'ربط حسابات الإهلاك'!$C$5:$C$14,0)),"غير مرتبط")</x:f>
        <x:v>520401007000 - مصروف إهلاك - أثاث و مفروشات السكن</x:v>
      </x:c>
      <x:c r="E50" s="163" t="str">
        <x:f>IFERROR(INDEX('ربط حسابات الإهلاك'!$D$5:$D$14,MATCH(I50,'ربط حسابات الإهلاك'!$C$5:$C$14,0))&amp;" - "&amp;INDEX('ربط حسابات الإهلاك'!$E$5:$E$14,MATCH(I50,'ربط حسابات الإهلاك'!$C$5:$C$14,0)),"غير مرتبط")</x:f>
        <x:v>120101011002 - مجمع إهلاك - أثاث و مفروشات السكن</x:v>
      </x:c>
      <x:c r="F50" s="163" t="str">
        <x:f t="shared" ca="1" si="4">IF(G50=0,"",IF(I50="البرامج والأنظمة","إثبات مصروف ومجمع الإطفاء عن الفترة "&amp;TEXT($B$3,"mm-yyyy")&amp;" - مركز التكلفة: "&amp;B50&amp;" - حساب الأصل: "&amp;I50,"إثبات مصروف ومجمع الإهلاك عن الفترة "&amp;TEXT($B$3,"mm-yyyy")&amp;" - مركز التكلفة: "&amp;B50&amp;" - حساب الأصل: "&amp;I50))</x:f>
      </x:c>
      <x:c r="G50" s="155" t="n">
        <x:f>SUMIFS('جدول الاصول الثابته الجديد'!$L$6:$L$2004,'جدول الاصول الثابته الجديد'!$B$6:$B$2004,B50,'جدول الاصول الثابته الجديد'!$C$6:$C$2004,I50)</x:f>
        <x:v>0</x:v>
      </x:c>
      <x:c r="H50" s="155" t="n">
        <x:f t="shared" si="5">G50</x:f>
        <x:v>0</x:v>
      </x:c>
      <x:c r="I50" s="163" t="str">
        <x:v>أثاث و مفروشات السكن</x:v>
      </x:c>
    </x:row>
    <x:row r="51" ht="30">
      <x:c r="A51" s="159" t="n">
        <x:f t="shared" si="3">IF(B51="","",$B$3)</x:f>
        <x:v>46387</x:v>
      </x:c>
      <x:c r="B51" s="163" t="str">
        <x:v>صيدلية لنا النهضه12</x:v>
      </x:c>
      <x:c r="C51" s="163" t="str">
        <x:f ca="1">IFERROR(INDEX('ربط حسابات الإهلاك'!$B$5:$B$14,MATCH(I51,'ربط حسابات الإهلاك'!$C$5:$C$14,0))&amp;" - "&amp;I51,I51)</x:f>
        <x:v>120101006001 - الاجهزة الالكترونية والحاسب الالي وملحقاته</x:v>
      </x:c>
      <x:c r="D51" s="163" t="str">
        <x:f>IFERROR(INDEX('ربط حسابات الإهلاك'!$F$5:$F$14,MATCH(I51,'ربط حسابات الإهلاك'!$C$5:$C$14,0))&amp;" - "&amp;INDEX('ربط حسابات الإهلاك'!$G$5:$G$14,MATCH(I51,'ربط حسابات الإهلاك'!$C$5:$C$14,0)),"غير مرتبط")</x:f>
        <x:v>520401009000 - مصروف إهلاك - الاجهزة الالكترونية والحاسب الالي وملحقاته</x:v>
      </x:c>
      <x:c r="E51" s="163" t="str">
        <x:f>IFERROR(INDEX('ربط حسابات الإهلاك'!$D$5:$D$14,MATCH(I51,'ربط حسابات الإهلاك'!$C$5:$C$14,0))&amp;" - "&amp;INDEX('ربط حسابات الإهلاك'!$E$5:$E$14,MATCH(I51,'ربط حسابات الإهلاك'!$C$5:$C$14,0)),"غير مرتبط")</x:f>
        <x:v>120101006002 - مجمع إهلاك - الاجهزة الالكترونية والحاسب الالي وملحقاته</x:v>
      </x:c>
      <x:c r="F51" s="163" t="str">
        <x:f t="shared" ca="1" si="4">IF(G51=0,"",IF(I51="البرامج والأنظمة","إثبات مصروف ومجمع الإطفاء عن الفترة "&amp;TEXT($B$3,"mm-yyyy")&amp;" - مركز التكلفة: "&amp;B51&amp;" - حساب الأصل: "&amp;I51,"إثبات مصروف ومجمع الإهلاك عن الفترة "&amp;TEXT($B$3,"mm-yyyy")&amp;" - مركز التكلفة: "&amp;B51&amp;" - حساب الأصل: "&amp;I51))</x:f>
      </x:c>
      <x:c r="G51" s="155" t="n">
        <x:f>SUMIFS('جدول الاصول الثابته الجديد'!$L$6:$L$2004,'جدول الاصول الثابته الجديد'!$B$6:$B$2004,B51,'جدول الاصول الثابته الجديد'!$C$6:$C$2004,I51)</x:f>
        <x:v>0</x:v>
      </x:c>
      <x:c r="H51" s="155" t="n">
        <x:f t="shared" si="5">G51</x:f>
        <x:v>0</x:v>
      </x:c>
      <x:c r="I51" s="163" t="str">
        <x:v>الاجهزة الالكترونية والحاسب الالي وملحقاته</x:v>
      </x:c>
    </x:row>
    <x:row r="52" ht="30">
      <x:c r="A52" s="159" t="n">
        <x:f t="shared" si="3">IF(B52="","",$B$3)</x:f>
        <x:v>46387</x:v>
      </x:c>
      <x:c r="B52" s="163" t="str">
        <x:v>صيدلية لنا النهضه12</x:v>
      </x:c>
      <x:c r="C52" s="163" t="str">
        <x:f ca="1">IFERROR(INDEX('ربط حسابات الإهلاك'!$B$5:$B$14,MATCH(I52,'ربط حسابات الإهلاك'!$C$5:$C$14,0))&amp;" - "&amp;I52,I52)</x:f>
        <x:v>120101007001 - الاجهزة الكهربائية</x:v>
      </x:c>
      <x:c r="D52" s="163" t="str">
        <x:f>IFERROR(INDEX('ربط حسابات الإهلاك'!$F$5:$F$14,MATCH(I52,'ربط حسابات الإهلاك'!$C$5:$C$14,0))&amp;" - "&amp;INDEX('ربط حسابات الإهلاك'!$G$5:$G$14,MATCH(I52,'ربط حسابات الإهلاك'!$C$5:$C$14,0)),"غير مرتبط")</x:f>
        <x:v>520401008000 - مصروف إهلاك - الاجهزة الكهربائية</x:v>
      </x:c>
      <x:c r="E52" s="163" t="str">
        <x:f>IFERROR(INDEX('ربط حسابات الإهلاك'!$D$5:$D$14,MATCH(I52,'ربط حسابات الإهلاك'!$C$5:$C$14,0))&amp;" - "&amp;INDEX('ربط حسابات الإهلاك'!$E$5:$E$14,MATCH(I52,'ربط حسابات الإهلاك'!$C$5:$C$14,0)),"غير مرتبط")</x:f>
        <x:v>120101007002 - مجمع إهلاك - الاجهزة الكهربائية</x:v>
      </x:c>
      <x:c r="F52" s="163" t="str">
        <x:f t="shared" ca="1" si="4">IF(G52=0,"",IF(I52="البرامج والأنظمة","إثبات مصروف ومجمع الإطفاء عن الفترة "&amp;TEXT($B$3,"mm-yyyy")&amp;" - مركز التكلفة: "&amp;B52&amp;" - حساب الأصل: "&amp;I52,"إثبات مصروف ومجمع الإهلاك عن الفترة "&amp;TEXT($B$3,"mm-yyyy")&amp;" - مركز التكلفة: "&amp;B52&amp;" - حساب الأصل: "&amp;I52))</x:f>
      </x:c>
      <x:c r="G52" s="155" t="n">
        <x:f>SUMIFS('جدول الاصول الثابته الجديد'!$L$6:$L$2004,'جدول الاصول الثابته الجديد'!$B$6:$B$2004,B52,'جدول الاصول الثابته الجديد'!$C$6:$C$2004,I52)</x:f>
        <x:v>0</x:v>
      </x:c>
      <x:c r="H52" s="155" t="n">
        <x:f t="shared" si="5">G52</x:f>
        <x:v>0</x:v>
      </x:c>
      <x:c r="I52" s="163" t="str">
        <x:v>الاجهزة الكهربائية</x:v>
      </x:c>
    </x:row>
    <x:row r="53" ht="30">
      <x:c r="A53" s="159" t="n">
        <x:f t="shared" si="3">IF(B53="","",$B$3)</x:f>
        <x:v>46387</x:v>
      </x:c>
      <x:c r="B53" s="163" t="str">
        <x:v>صيدلية لنا النهضه12</x:v>
      </x:c>
      <x:c r="C53" s="163" t="str">
        <x:f ca="1">IFERROR(INDEX('ربط حسابات الإهلاك'!$B$5:$B$14,MATCH(I53,'ربط حسابات الإهلاك'!$C$5:$C$14,0))&amp;" - "&amp;I53,I53)</x:f>
        <x:v>120101002000 - تحسينات على مباني</x:v>
      </x:c>
      <x:c r="D53" s="163" t="str">
        <x:f>IFERROR(INDEX('ربط حسابات الإهلاك'!$F$5:$F$14,MATCH(I53,'ربط حسابات الإهلاك'!$C$5:$C$14,0))&amp;" - "&amp;INDEX('ربط حسابات الإهلاك'!$G$5:$G$14,MATCH(I53,'ربط حسابات الإهلاك'!$C$5:$C$14,0)),"غير مرتبط")</x:f>
        <x:v>520401001000 - مصروف إهلاك - تحسينات على مباني</x:v>
      </x:c>
      <x:c r="E53" s="163" t="str">
        <x:f>IFERROR(INDEX('ربط حسابات الإهلاك'!$D$5:$D$14,MATCH(I53,'ربط حسابات الإهلاك'!$C$5:$C$14,0))&amp;" - "&amp;INDEX('ربط حسابات الإهلاك'!$E$5:$E$14,MATCH(I53,'ربط حسابات الإهلاك'!$C$5:$C$14,0)),"غير مرتبط")</x:f>
        <x:v>120101002002 - مجمع إهلاك - تحسينات على مباني</x:v>
      </x:c>
      <x:c r="F53" s="163" t="str">
        <x:f t="shared" ca="1" si="4">IF(G53=0,"",IF(I53="البرامج والأنظمة","إثبات مصروف ومجمع الإطفاء عن الفترة "&amp;TEXT($B$3,"mm-yyyy")&amp;" - مركز التكلفة: "&amp;B53&amp;" - حساب الأصل: "&amp;I53,"إثبات مصروف ومجمع الإهلاك عن الفترة "&amp;TEXT($B$3,"mm-yyyy")&amp;" - مركز التكلفة: "&amp;B53&amp;" - حساب الأصل: "&amp;I53))</x:f>
        <x:v>إثبات مصروف ومجمع الإهلاك عن الفترة 12-2026 - مركز التكلفة: صيدلية لنا النهضه12 - حساب الأصل: تحسينات على مباني</x:v>
      </x:c>
      <x:c r="G53" s="155" t="n">
        <x:f>SUMIFS('جدول الاصول الثابته الجديد'!$L$6:$L$2004,'جدول الاصول الثابته الجديد'!$B$6:$B$2004,B53,'جدول الاصول الثابته الجديد'!$C$6:$C$2004,I53)</x:f>
        <x:v>1077.465375</x:v>
      </x:c>
      <x:c r="H53" s="155" t="n">
        <x:f t="shared" si="5">G53</x:f>
        <x:v>1077.465375</x:v>
      </x:c>
      <x:c r="I53" s="163" t="str">
        <x:v>تحسينات على مباني</x:v>
      </x:c>
    </x:row>
    <x:row r="54" ht="30">
      <x:c r="A54" s="159" t="n">
        <x:f t="shared" si="3">IF(B54="","",$B$3)</x:f>
        <x:v>46387</x:v>
      </x:c>
      <x:c r="B54" s="163" t="str">
        <x:v>صيدلية لنا النهضه12</x:v>
      </x:c>
      <x:c r="C54" s="163" t="str">
        <x:f ca="1">IFERROR(INDEX('ربط حسابات الإهلاك'!$B$5:$B$14,MATCH(I54,'ربط حسابات الإهلاك'!$C$5:$C$14,0))&amp;" - "&amp;I54,I54)</x:f>
        <x:v>120101001000 - اجهزة التكييف</x:v>
      </x:c>
      <x:c r="D54" s="163" t="str">
        <x:f>IFERROR(INDEX('ربط حسابات الإهلاك'!$F$5:$F$14,MATCH(I54,'ربط حسابات الإهلاك'!$C$5:$C$14,0))&amp;" - "&amp;INDEX('ربط حسابات الإهلاك'!$G$5:$G$14,MATCH(I54,'ربط حسابات الإهلاك'!$C$5:$C$14,0)),"غير مرتبط")</x:f>
        <x:v>520401002000 - مصروف إهلاك - اجهزة التكييف</x:v>
      </x:c>
      <x:c r="E54" s="163" t="str">
        <x:f>IFERROR(INDEX('ربط حسابات الإهلاك'!$D$5:$D$14,MATCH(I54,'ربط حسابات الإهلاك'!$C$5:$C$14,0))&amp;" - "&amp;INDEX('ربط حسابات الإهلاك'!$E$5:$E$14,MATCH(I54,'ربط حسابات الإهلاك'!$C$5:$C$14,0)),"غير مرتبط")</x:f>
        <x:v>120101001002 - مجمع إهلاك - اجهزة التكييف</x:v>
      </x:c>
      <x:c r="F54" s="163" t="str">
        <x:f t="shared" ca="1" si="4">IF(G54=0,"",IF(I54="البرامج والأنظمة","إثبات مصروف ومجمع الإطفاء عن الفترة "&amp;TEXT($B$3,"mm-yyyy")&amp;" - مركز التكلفة: "&amp;B54&amp;" - حساب الأصل: "&amp;I54,"إثبات مصروف ومجمع الإهلاك عن الفترة "&amp;TEXT($B$3,"mm-yyyy")&amp;" - مركز التكلفة: "&amp;B54&amp;" - حساب الأصل: "&amp;I54))</x:f>
        <x:v>إثبات مصروف ومجمع الإهلاك عن الفترة 12-2026 - مركز التكلفة: صيدلية لنا النهضه12 - حساب الأصل: اجهزة التكييف</x:v>
      </x:c>
      <x:c r="G54" s="155" t="n">
        <x:f>SUMIFS('جدول الاصول الثابته الجديد'!$L$6:$L$2004,'جدول الاصول الثابته الجديد'!$B$6:$B$2004,B54,'جدول الاصول الثابته الجديد'!$C$6:$C$2004,I54)</x:f>
        <x:v>440.8463333333334</x:v>
      </x:c>
      <x:c r="H54" s="155" t="n">
        <x:f t="shared" si="5">G54</x:f>
        <x:v>440.8463333333334</x:v>
      </x:c>
      <x:c r="I54" s="163" t="str">
        <x:v>اجهزة التكييف</x:v>
      </x:c>
    </x:row>
    <x:row r="55" ht="30">
      <x:c r="A55" s="159" t="n">
        <x:f t="shared" si="3">IF(B55="","",$B$3)</x:f>
        <x:v>46387</x:v>
      </x:c>
      <x:c r="B55" s="163" t="str">
        <x:v>صيدلية لنا النهضه12</x:v>
      </x:c>
      <x:c r="C55" s="163" t="str">
        <x:f ca="1">IFERROR(INDEX('ربط حسابات الإهلاك'!$B$5:$B$14,MATCH(I55,'ربط حسابات الإهلاك'!$C$5:$C$14,0))&amp;" - "&amp;I55,I55)</x:f>
        <x:v>120101004000 - ديكورات</x:v>
      </x:c>
      <x:c r="D55" s="163" t="str">
        <x:f>IFERROR(INDEX('ربط حسابات الإهلاك'!$F$5:$F$14,MATCH(I55,'ربط حسابات الإهلاك'!$C$5:$C$14,0))&amp;" - "&amp;INDEX('ربط حسابات الإهلاك'!$G$5:$G$14,MATCH(I55,'ربط حسابات الإهلاك'!$C$5:$C$14,0)),"غير مرتبط")</x:f>
        <x:v>520401003000 - مصروف إهلاك - ديكورات</x:v>
      </x:c>
      <x:c r="E55" s="163" t="str">
        <x:f>IFERROR(INDEX('ربط حسابات الإهلاك'!$D$5:$D$14,MATCH(I55,'ربط حسابات الإهلاك'!$C$5:$C$14,0))&amp;" - "&amp;INDEX('ربط حسابات الإهلاك'!$E$5:$E$14,MATCH(I55,'ربط حسابات الإهلاك'!$C$5:$C$14,0)),"غير مرتبط")</x:f>
        <x:v>120101004002 - مجمع إهلاك - ديكورات</x:v>
      </x:c>
      <x:c r="F55" s="163" t="str">
        <x:f t="shared" ca="1" si="4">IF(G55=0,"",IF(I55="البرامج والأنظمة","إثبات مصروف ومجمع الإطفاء عن الفترة "&amp;TEXT($B$3,"mm-yyyy")&amp;" - مركز التكلفة: "&amp;B55&amp;" - حساب الأصل: "&amp;I55,"إثبات مصروف ومجمع الإهلاك عن الفترة "&amp;TEXT($B$3,"mm-yyyy")&amp;" - مركز التكلفة: "&amp;B55&amp;" - حساب الأصل: "&amp;I55))</x:f>
        <x:v>إثبات مصروف ومجمع الإهلاك عن الفترة 12-2026 - مركز التكلفة: صيدلية لنا النهضه12 - حساب الأصل: ديكورات</x:v>
      </x:c>
      <x:c r="G55" s="155" t="n">
        <x:f>SUMIFS('جدول الاصول الثابته الجديد'!$L$6:$L$2004,'جدول الاصول الثابته الجديد'!$B$6:$B$2004,B55,'جدول الاصول الثابته الجديد'!$C$6:$C$2004,I55)</x:f>
        <x:v>98.05799999999999</x:v>
      </x:c>
      <x:c r="H55" s="155" t="n">
        <x:f t="shared" si="5">G55</x:f>
        <x:v>98.05799999999999</x:v>
      </x:c>
      <x:c r="I55" s="163" t="str">
        <x:v>ديكورات</x:v>
      </x:c>
    </x:row>
    <x:row r="56" ht="30">
      <x:c r="A56" s="159" t="n">
        <x:f t="shared" si="3">IF(B56="","",$B$3)</x:f>
        <x:v>46387</x:v>
      </x:c>
      <x:c r="B56" s="163" t="str">
        <x:v>صيدلية لنا النهضه12</x:v>
      </x:c>
      <x:c r="C56" s="163" t="str">
        <x:f ca="1">IFERROR(INDEX('ربط حسابات الإهلاك'!$B$5:$B$14,MATCH(I56,'ربط حسابات الإهلاك'!$C$5:$C$14,0))&amp;" - "&amp;I56,I56)</x:f>
        <x:v>120102001001 - البرامج والأنظمة</x:v>
      </x:c>
      <x:c r="D56" s="163" t="str">
        <x:f>IFERROR(INDEX('ربط حسابات الإهلاك'!$F$5:$F$14,MATCH(I56,'ربط حسابات الإهلاك'!$C$5:$C$14,0))&amp;" - "&amp;INDEX('ربط حسابات الإهلاك'!$G$5:$G$14,MATCH(I56,'ربط حسابات الإهلاك'!$C$5:$C$14,0)),"غير مرتبط")</x:f>
        <x:v>520401010000 - مصروف إطفاء - البرامج والأنظمة</x:v>
      </x:c>
      <x:c r="E56" s="163" t="str">
        <x:f>IFERROR(INDEX('ربط حسابات الإهلاك'!$D$5:$D$14,MATCH(I56,'ربط حسابات الإهلاك'!$C$5:$C$14,0))&amp;" - "&amp;INDEX('ربط حسابات الإهلاك'!$E$5:$E$14,MATCH(I56,'ربط حسابات الإهلاك'!$C$5:$C$14,0)),"غير مرتبط")</x:f>
        <x:v>120102001002 - مجمع إطفاء - البرامج والأنظمة</x:v>
      </x:c>
      <x:c r="F56" s="163" t="str">
        <x:f t="shared" ca="1" si="4">IF(G56=0,"",IF(I56="البرامج والأنظمة","إثبات مصروف ومجمع الإطفاء عن الفترة "&amp;TEXT($B$3,"mm-yyyy")&amp;" - مركز التكلفة: "&amp;B56&amp;" - حساب الأصل: "&amp;I56,"إثبات مصروف ومجمع الإهلاك عن الفترة "&amp;TEXT($B$3,"mm-yyyy")&amp;" - مركز التكلفة: "&amp;B56&amp;" - حساب الأصل: "&amp;I56))</x:f>
        <x:v>إثبات مصروف ومجمع الإطفاء عن الفترة 12-2026 - مركز التكلفة: صيدلية لنا النهضه12 - حساب الأصل: البرامج والأنظمة</x:v>
      </x:c>
      <x:c r="G56" s="155" t="n">
        <x:f>SUMIFS('جدول الاصول الثابته الجديد'!$L$6:$L$2004,'جدول الاصول الثابته الجديد'!$B$6:$B$2004,B56,'جدول الاصول الثابته الجديد'!$C$6:$C$2004,I56)</x:f>
        <x:v>0.5</x:v>
      </x:c>
      <x:c r="H56" s="155" t="n">
        <x:f t="shared" si="5">G56</x:f>
        <x:v>0.5</x:v>
      </x:c>
      <x:c r="I56" s="163" t="str">
        <x:v>البرامج والأنظمة</x:v>
      </x:c>
    </x:row>
    <x:row r="57" ht="30">
      <x:c r="A57" s="159" t="n">
        <x:f t="shared" si="3">IF(B57="","",$B$3)</x:f>
        <x:v>46387</x:v>
      </x:c>
      <x:c r="B57" s="163" t="str">
        <x:v>صيدلية لنا جابر الصباح 13</x:v>
      </x:c>
      <x:c r="C57" s="163" t="str">
        <x:f ca="1">IFERROR(INDEX('ربط حسابات الإهلاك'!$B$5:$B$14,MATCH(I57,'ربط حسابات الإهلاك'!$C$5:$C$14,0))&amp;" - "&amp;I57,I57)</x:f>
        <x:v>120101009000 - اجهزة ومعدات طبية</x:v>
      </x:c>
      <x:c r="D57" s="163" t="str">
        <x:f>IFERROR(INDEX('ربط حسابات الإهلاك'!$F$5:$F$14,MATCH(I57,'ربط حسابات الإهلاك'!$C$5:$C$14,0))&amp;" - "&amp;INDEX('ربط حسابات الإهلاك'!$G$5:$G$14,MATCH(I57,'ربط حسابات الإهلاك'!$C$5:$C$14,0)),"غير مرتبط")</x:f>
        <x:v>520401004000 - مصروف إهلاك - اجهزة ومعدات طبية</x:v>
      </x:c>
      <x:c r="E57" s="163" t="str">
        <x:f>IFERROR(INDEX('ربط حسابات الإهلاك'!$D$5:$D$14,MATCH(I57,'ربط حسابات الإهلاك'!$C$5:$C$14,0))&amp;" - "&amp;INDEX('ربط حسابات الإهلاك'!$E$5:$E$14,MATCH(I57,'ربط حسابات الإهلاك'!$C$5:$C$14,0)),"غير مرتبط")</x:f>
        <x:v>120101009002 - مجمع إهلاك - اجهزة ومعدات طبية</x:v>
      </x:c>
      <x:c r="F57" s="163" t="str">
        <x:f t="shared" ca="1" si="4">IF(G57=0,"",IF(I57="البرامج والأنظمة","إثبات مصروف ومجمع الإطفاء عن الفترة "&amp;TEXT($B$3,"mm-yyyy")&amp;" - مركز التكلفة: "&amp;B57&amp;" - حساب الأصل: "&amp;I57,"إثبات مصروف ومجمع الإهلاك عن الفترة "&amp;TEXT($B$3,"mm-yyyy")&amp;" - مركز التكلفة: "&amp;B57&amp;" - حساب الأصل: "&amp;I57))</x:f>
      </x:c>
      <x:c r="G57" s="155" t="n">
        <x:f>SUMIFS('جدول الاصول الثابته الجديد'!$L$6:$L$2004,'جدول الاصول الثابته الجديد'!$B$6:$B$2004,B57,'جدول الاصول الثابته الجديد'!$C$6:$C$2004,I57)</x:f>
        <x:v>0</x:v>
      </x:c>
      <x:c r="H57" s="155" t="n">
        <x:f t="shared" si="5">G57</x:f>
        <x:v>0</x:v>
      </x:c>
      <x:c r="I57" s="163" t="str">
        <x:v>اجهزة ومعدات طبية</x:v>
      </x:c>
    </x:row>
    <x:row r="58" ht="30">
      <x:c r="A58" s="159" t="n">
        <x:f t="shared" si="3">IF(B58="","",$B$3)</x:f>
        <x:v>46387</x:v>
      </x:c>
      <x:c r="B58" s="163" t="str">
        <x:v>صيدلية لنا جابر الصباح 13</x:v>
      </x:c>
      <x:c r="C58" s="163" t="str">
        <x:f ca="1">IFERROR(INDEX('ربط حسابات الإهلاك'!$B$5:$B$14,MATCH(I58,'ربط حسابات الإهلاك'!$C$5:$C$14,0))&amp;" - "&amp;I58,I58)</x:f>
        <x:v>120101003000 - السيارات</x:v>
      </x:c>
      <x:c r="D58" s="163" t="str">
        <x:f>IFERROR(INDEX('ربط حسابات الإهلاك'!$F$5:$F$14,MATCH(I58,'ربط حسابات الإهلاك'!$C$5:$C$14,0))&amp;" - "&amp;INDEX('ربط حسابات الإهلاك'!$G$5:$G$14,MATCH(I58,'ربط حسابات الإهلاك'!$C$5:$C$14,0)),"غير مرتبط")</x:f>
        <x:v>520401005000 - مصروف إهلاك - السيارات</x:v>
      </x:c>
      <x:c r="E58" s="163" t="str">
        <x:f>IFERROR(INDEX('ربط حسابات الإهلاك'!$D$5:$D$14,MATCH(I58,'ربط حسابات الإهلاك'!$C$5:$C$14,0))&amp;" - "&amp;INDEX('ربط حسابات الإهلاك'!$E$5:$E$14,MATCH(I58,'ربط حسابات الإهلاك'!$C$5:$C$14,0)),"غير مرتبط")</x:f>
        <x:v>120101003001 - مجمع إهلاك - السيارات</x:v>
      </x:c>
      <x:c r="F58" s="163" t="str">
        <x:f t="shared" ca="1" si="4">IF(G58=0,"",IF(I58="البرامج والأنظمة","إثبات مصروف ومجمع الإطفاء عن الفترة "&amp;TEXT($B$3,"mm-yyyy")&amp;" - مركز التكلفة: "&amp;B58&amp;" - حساب الأصل: "&amp;I58,"إثبات مصروف ومجمع الإهلاك عن الفترة "&amp;TEXT($B$3,"mm-yyyy")&amp;" - مركز التكلفة: "&amp;B58&amp;" - حساب الأصل: "&amp;I58))</x:f>
      </x:c>
      <x:c r="G58" s="155" t="n">
        <x:f>SUMIFS('جدول الاصول الثابته الجديد'!$L$6:$L$2004,'جدول الاصول الثابته الجديد'!$B$6:$B$2004,B58,'جدول الاصول الثابته الجديد'!$C$6:$C$2004,I58)</x:f>
        <x:v>0</x:v>
      </x:c>
      <x:c r="H58" s="155" t="n">
        <x:f t="shared" si="5">G58</x:f>
        <x:v>0</x:v>
      </x:c>
      <x:c r="I58" s="163" t="str">
        <x:v>السيارات</x:v>
      </x:c>
    </x:row>
    <x:row r="59" ht="30">
      <x:c r="A59" s="159" t="n">
        <x:f t="shared" si="3">IF(B59="","",$B$3)</x:f>
        <x:v>46387</x:v>
      </x:c>
      <x:c r="B59" s="163" t="str">
        <x:v>صيدلية لنا جابر الصباح 13</x:v>
      </x:c>
      <x:c r="C59" s="163" t="str">
        <x:f ca="1">IFERROR(INDEX('ربط حسابات الإهلاك'!$B$5:$B$14,MATCH(I59,'ربط حسابات الإهلاك'!$C$5:$C$14,0))&amp;" - "&amp;I59,I59)</x:f>
        <x:v>120101005001 - أثاث و مفروشات</x:v>
      </x:c>
      <x:c r="D59" s="163" t="str">
        <x:f>IFERROR(INDEX('ربط حسابات الإهلاك'!$F$5:$F$14,MATCH(I59,'ربط حسابات الإهلاك'!$C$5:$C$14,0))&amp;" - "&amp;INDEX('ربط حسابات الإهلاك'!$G$5:$G$14,MATCH(I59,'ربط حسابات الإهلاك'!$C$5:$C$14,0)),"غير مرتبط")</x:f>
        <x:v>520401006000 - مصروف إهلاك - أثاث و مفروشات</x:v>
      </x:c>
      <x:c r="E59" s="163" t="str">
        <x:f>IFERROR(INDEX('ربط حسابات الإهلاك'!$D$5:$D$14,MATCH(I59,'ربط حسابات الإهلاك'!$C$5:$C$14,0))&amp;" - "&amp;INDEX('ربط حسابات الإهلاك'!$E$5:$E$14,MATCH(I59,'ربط حسابات الإهلاك'!$C$5:$C$14,0)),"غير مرتبط")</x:f>
        <x:v>120101005002 - مجمع إهلاك - أثاث و مفروشات</x:v>
      </x:c>
      <x:c r="F59" s="163" t="str">
        <x:f t="shared" ca="1" si="4">IF(G59=0,"",IF(I59="البرامج والأنظمة","إثبات مصروف ومجمع الإطفاء عن الفترة "&amp;TEXT($B$3,"mm-yyyy")&amp;" - مركز التكلفة: "&amp;B59&amp;" - حساب الأصل: "&amp;I59,"إثبات مصروف ومجمع الإهلاك عن الفترة "&amp;TEXT($B$3,"mm-yyyy")&amp;" - مركز التكلفة: "&amp;B59&amp;" - حساب الأصل: "&amp;I59))</x:f>
      </x:c>
      <x:c r="G59" s="155" t="n">
        <x:f>SUMIFS('جدول الاصول الثابته الجديد'!$L$6:$L$2004,'جدول الاصول الثابته الجديد'!$B$6:$B$2004,B59,'جدول الاصول الثابته الجديد'!$C$6:$C$2004,I59)</x:f>
        <x:v>0</x:v>
      </x:c>
      <x:c r="H59" s="155" t="n">
        <x:f t="shared" si="5">G59</x:f>
        <x:v>0</x:v>
      </x:c>
      <x:c r="I59" s="163" t="str">
        <x:v>أثاث و مفروشات</x:v>
      </x:c>
    </x:row>
    <x:row r="60" ht="30">
      <x:c r="A60" s="159" t="n">
        <x:f t="shared" si="3">IF(B60="","",$B$3)</x:f>
        <x:v>46387</x:v>
      </x:c>
      <x:c r="B60" s="163" t="str">
        <x:v>صيدلية لنا جابر الصباح 13</x:v>
      </x:c>
      <x:c r="C60" s="163" t="str">
        <x:f ca="1">IFERROR(INDEX('ربط حسابات الإهلاك'!$B$5:$B$14,MATCH(I60,'ربط حسابات الإهلاك'!$C$5:$C$14,0))&amp;" - "&amp;I60,I60)</x:f>
        <x:v>120101011001 - أثاث و مفروشات السكن</x:v>
      </x:c>
      <x:c r="D60" s="163" t="str">
        <x:f>IFERROR(INDEX('ربط حسابات الإهلاك'!$F$5:$F$14,MATCH(I60,'ربط حسابات الإهلاك'!$C$5:$C$14,0))&amp;" - "&amp;INDEX('ربط حسابات الإهلاك'!$G$5:$G$14,MATCH(I60,'ربط حسابات الإهلاك'!$C$5:$C$14,0)),"غير مرتبط")</x:f>
        <x:v>520401007000 - مصروف إهلاك - أثاث و مفروشات السكن</x:v>
      </x:c>
      <x:c r="E60" s="163" t="str">
        <x:f>IFERROR(INDEX('ربط حسابات الإهلاك'!$D$5:$D$14,MATCH(I60,'ربط حسابات الإهلاك'!$C$5:$C$14,0))&amp;" - "&amp;INDEX('ربط حسابات الإهلاك'!$E$5:$E$14,MATCH(I60,'ربط حسابات الإهلاك'!$C$5:$C$14,0)),"غير مرتبط")</x:f>
        <x:v>120101011002 - مجمع إهلاك - أثاث و مفروشات السكن</x:v>
      </x:c>
      <x:c r="F60" s="163" t="str">
        <x:f t="shared" ca="1" si="4">IF(G60=0,"",IF(I60="البرامج والأنظمة","إثبات مصروف ومجمع الإطفاء عن الفترة "&amp;TEXT($B$3,"mm-yyyy")&amp;" - مركز التكلفة: "&amp;B60&amp;" - حساب الأصل: "&amp;I60,"إثبات مصروف ومجمع الإهلاك عن الفترة "&amp;TEXT($B$3,"mm-yyyy")&amp;" - مركز التكلفة: "&amp;B60&amp;" - حساب الأصل: "&amp;I60))</x:f>
      </x:c>
      <x:c r="G60" s="155" t="n">
        <x:f>SUMIFS('جدول الاصول الثابته الجديد'!$L$6:$L$2004,'جدول الاصول الثابته الجديد'!$B$6:$B$2004,B60,'جدول الاصول الثابته الجديد'!$C$6:$C$2004,I60)</x:f>
        <x:v>0</x:v>
      </x:c>
      <x:c r="H60" s="155" t="n">
        <x:f t="shared" si="5">G60</x:f>
        <x:v>0</x:v>
      </x:c>
      <x:c r="I60" s="163" t="str">
        <x:v>أثاث و مفروشات السكن</x:v>
      </x:c>
    </x:row>
    <x:row r="61" ht="30">
      <x:c r="A61" s="159" t="n">
        <x:f t="shared" si="3">IF(B61="","",$B$3)</x:f>
        <x:v>46387</x:v>
      </x:c>
      <x:c r="B61" s="163" t="str">
        <x:v>صيدلية لنا جابر الصباح 13</x:v>
      </x:c>
      <x:c r="C61" s="163" t="str">
        <x:f ca="1">IFERROR(INDEX('ربط حسابات الإهلاك'!$B$5:$B$14,MATCH(I61,'ربط حسابات الإهلاك'!$C$5:$C$14,0))&amp;" - "&amp;I61,I61)</x:f>
        <x:v>120101006001 - الاجهزة الالكترونية والحاسب الالي وملحقاته</x:v>
      </x:c>
      <x:c r="D61" s="163" t="str">
        <x:f>IFERROR(INDEX('ربط حسابات الإهلاك'!$F$5:$F$14,MATCH(I61,'ربط حسابات الإهلاك'!$C$5:$C$14,0))&amp;" - "&amp;INDEX('ربط حسابات الإهلاك'!$G$5:$G$14,MATCH(I61,'ربط حسابات الإهلاك'!$C$5:$C$14,0)),"غير مرتبط")</x:f>
        <x:v>520401009000 - مصروف إهلاك - الاجهزة الالكترونية والحاسب الالي وملحقاته</x:v>
      </x:c>
      <x:c r="E61" s="163" t="str">
        <x:f>IFERROR(INDEX('ربط حسابات الإهلاك'!$D$5:$D$14,MATCH(I61,'ربط حسابات الإهلاك'!$C$5:$C$14,0))&amp;" - "&amp;INDEX('ربط حسابات الإهلاك'!$E$5:$E$14,MATCH(I61,'ربط حسابات الإهلاك'!$C$5:$C$14,0)),"غير مرتبط")</x:f>
        <x:v>120101006002 - مجمع إهلاك - الاجهزة الالكترونية والحاسب الالي وملحقاته</x:v>
      </x:c>
      <x:c r="F61" s="163" t="str">
        <x:f t="shared" ca="1" si="4">IF(G61=0,"",IF(I61="البرامج والأنظمة","إثبات مصروف ومجمع الإطفاء عن الفترة "&amp;TEXT($B$3,"mm-yyyy")&amp;" - مركز التكلفة: "&amp;B61&amp;" - حساب الأصل: "&amp;I61,"إثبات مصروف ومجمع الإهلاك عن الفترة "&amp;TEXT($B$3,"mm-yyyy")&amp;" - مركز التكلفة: "&amp;B61&amp;" - حساب الأصل: "&amp;I61))</x:f>
      </x:c>
      <x:c r="G61" s="155" t="n">
        <x:f>SUMIFS('جدول الاصول الثابته الجديد'!$L$6:$L$2004,'جدول الاصول الثابته الجديد'!$B$6:$B$2004,B61,'جدول الاصول الثابته الجديد'!$C$6:$C$2004,I61)</x:f>
        <x:v>0</x:v>
      </x:c>
      <x:c r="H61" s="155" t="n">
        <x:f t="shared" si="5">G61</x:f>
        <x:v>0</x:v>
      </x:c>
      <x:c r="I61" s="163" t="str">
        <x:v>الاجهزة الالكترونية والحاسب الالي وملحقاته</x:v>
      </x:c>
    </x:row>
    <x:row r="62" ht="30">
      <x:c r="A62" s="159" t="n">
        <x:f t="shared" si="3">IF(B62="","",$B$3)</x:f>
        <x:v>46387</x:v>
      </x:c>
      <x:c r="B62" s="163" t="str">
        <x:v>صيدلية لنا جابر الصباح 13</x:v>
      </x:c>
      <x:c r="C62" s="163" t="str">
        <x:f ca="1">IFERROR(INDEX('ربط حسابات الإهلاك'!$B$5:$B$14,MATCH(I62,'ربط حسابات الإهلاك'!$C$5:$C$14,0))&amp;" - "&amp;I62,I62)</x:f>
        <x:v>120101007001 - الاجهزة الكهربائية</x:v>
      </x:c>
      <x:c r="D62" s="163" t="str">
        <x:f>IFERROR(INDEX('ربط حسابات الإهلاك'!$F$5:$F$14,MATCH(I62,'ربط حسابات الإهلاك'!$C$5:$C$14,0))&amp;" - "&amp;INDEX('ربط حسابات الإهلاك'!$G$5:$G$14,MATCH(I62,'ربط حسابات الإهلاك'!$C$5:$C$14,0)),"غير مرتبط")</x:f>
        <x:v>520401008000 - مصروف إهلاك - الاجهزة الكهربائية</x:v>
      </x:c>
      <x:c r="E62" s="163" t="str">
        <x:f>IFERROR(INDEX('ربط حسابات الإهلاك'!$D$5:$D$14,MATCH(I62,'ربط حسابات الإهلاك'!$C$5:$C$14,0))&amp;" - "&amp;INDEX('ربط حسابات الإهلاك'!$E$5:$E$14,MATCH(I62,'ربط حسابات الإهلاك'!$C$5:$C$14,0)),"غير مرتبط")</x:f>
        <x:v>120101007002 - مجمع إهلاك - الاجهزة الكهربائية</x:v>
      </x:c>
      <x:c r="F62" s="163" t="str">
        <x:f t="shared" ca="1" si="4">IF(G62=0,"",IF(I62="البرامج والأنظمة","إثبات مصروف ومجمع الإطفاء عن الفترة "&amp;TEXT($B$3,"mm-yyyy")&amp;" - مركز التكلفة: "&amp;B62&amp;" - حساب الأصل: "&amp;I62,"إثبات مصروف ومجمع الإهلاك عن الفترة "&amp;TEXT($B$3,"mm-yyyy")&amp;" - مركز التكلفة: "&amp;B62&amp;" - حساب الأصل: "&amp;I62))</x:f>
      </x:c>
      <x:c r="G62" s="155" t="n">
        <x:f>SUMIFS('جدول الاصول الثابته الجديد'!$L$6:$L$2004,'جدول الاصول الثابته الجديد'!$B$6:$B$2004,B62,'جدول الاصول الثابته الجديد'!$C$6:$C$2004,I62)</x:f>
        <x:v>0</x:v>
      </x:c>
      <x:c r="H62" s="155" t="n">
        <x:f t="shared" si="5">G62</x:f>
        <x:v>0</x:v>
      </x:c>
      <x:c r="I62" s="163" t="str">
        <x:v>الاجهزة الكهربائية</x:v>
      </x:c>
    </x:row>
    <x:row r="63" ht="45">
      <x:c r="A63" s="159" t="n">
        <x:f t="shared" si="3">IF(B63="","",$B$3)</x:f>
        <x:v>46387</x:v>
      </x:c>
      <x:c r="B63" s="163" t="str">
        <x:v>صيدلية لنا جابر الصباح 13</x:v>
      </x:c>
      <x:c r="C63" s="163" t="str">
        <x:f ca="1">IFERROR(INDEX('ربط حسابات الإهلاك'!$B$5:$B$14,MATCH(I63,'ربط حسابات الإهلاك'!$C$5:$C$14,0))&amp;" - "&amp;I63,I63)</x:f>
        <x:v>120101002000 - تحسينات على مباني</x:v>
      </x:c>
      <x:c r="D63" s="163" t="str">
        <x:f>IFERROR(INDEX('ربط حسابات الإهلاك'!$F$5:$F$14,MATCH(I63,'ربط حسابات الإهلاك'!$C$5:$C$14,0))&amp;" - "&amp;INDEX('ربط حسابات الإهلاك'!$G$5:$G$14,MATCH(I63,'ربط حسابات الإهلاك'!$C$5:$C$14,0)),"غير مرتبط")</x:f>
        <x:v>520401001000 - مصروف إهلاك - تحسينات على مباني</x:v>
      </x:c>
      <x:c r="E63" s="163" t="str">
        <x:f>IFERROR(INDEX('ربط حسابات الإهلاك'!$D$5:$D$14,MATCH(I63,'ربط حسابات الإهلاك'!$C$5:$C$14,0))&amp;" - "&amp;INDEX('ربط حسابات الإهلاك'!$E$5:$E$14,MATCH(I63,'ربط حسابات الإهلاك'!$C$5:$C$14,0)),"غير مرتبط")</x:f>
        <x:v>120101002002 - مجمع إهلاك - تحسينات على مباني</x:v>
      </x:c>
      <x:c r="F63" s="163" t="str">
        <x:f t="shared" ca="1" si="4">IF(G63=0,"",IF(I63="البرامج والأنظمة","إثبات مصروف ومجمع الإطفاء عن الفترة "&amp;TEXT($B$3,"mm-yyyy")&amp;" - مركز التكلفة: "&amp;B63&amp;" - حساب الأصل: "&amp;I63,"إثبات مصروف ومجمع الإهلاك عن الفترة "&amp;TEXT($B$3,"mm-yyyy")&amp;" - مركز التكلفة: "&amp;B63&amp;" - حساب الأصل: "&amp;I63))</x:f>
        <x:v>إثبات مصروف ومجمع الإهلاك عن الفترة 12-2026 - مركز التكلفة: صيدلية لنا جابر الصباح 13 - حساب الأصل: تحسينات على مباني</x:v>
      </x:c>
      <x:c r="G63" s="155" t="n">
        <x:f>SUMIFS('جدول الاصول الثابته الجديد'!$L$6:$L$2004,'جدول الاصول الثابته الجديد'!$B$6:$B$2004,B63,'جدول الاصول الثابته الجديد'!$C$6:$C$2004,I63)</x:f>
        <x:v>754.266125</x:v>
      </x:c>
      <x:c r="H63" s="155" t="n">
        <x:f t="shared" si="5">G63</x:f>
        <x:v>754.266125</x:v>
      </x:c>
      <x:c r="I63" s="163" t="str">
        <x:v>تحسينات على مباني</x:v>
      </x:c>
    </x:row>
    <x:row r="64" ht="30">
      <x:c r="A64" s="159" t="n">
        <x:f t="shared" si="3">IF(B64="","",$B$3)</x:f>
        <x:v>46387</x:v>
      </x:c>
      <x:c r="B64" s="163" t="str">
        <x:v>صيدلية لنا جابر الصباح 13</x:v>
      </x:c>
      <x:c r="C64" s="163" t="str">
        <x:f ca="1">IFERROR(INDEX('ربط حسابات الإهلاك'!$B$5:$B$14,MATCH(I64,'ربط حسابات الإهلاك'!$C$5:$C$14,0))&amp;" - "&amp;I64,I64)</x:f>
        <x:v>120101001000 - اجهزة التكييف</x:v>
      </x:c>
      <x:c r="D64" s="163" t="str">
        <x:f>IFERROR(INDEX('ربط حسابات الإهلاك'!$F$5:$F$14,MATCH(I64,'ربط حسابات الإهلاك'!$C$5:$C$14,0))&amp;" - "&amp;INDEX('ربط حسابات الإهلاك'!$G$5:$G$14,MATCH(I64,'ربط حسابات الإهلاك'!$C$5:$C$14,0)),"غير مرتبط")</x:f>
        <x:v>520401002000 - مصروف إهلاك - اجهزة التكييف</x:v>
      </x:c>
      <x:c r="E64" s="163" t="str">
        <x:f>IFERROR(INDEX('ربط حسابات الإهلاك'!$D$5:$D$14,MATCH(I64,'ربط حسابات الإهلاك'!$C$5:$C$14,0))&amp;" - "&amp;INDEX('ربط حسابات الإهلاك'!$E$5:$E$14,MATCH(I64,'ربط حسابات الإهلاك'!$C$5:$C$14,0)),"غير مرتبط")</x:f>
        <x:v>120101001002 - مجمع إهلاك - اجهزة التكييف</x:v>
      </x:c>
      <x:c r="F64" s="163" t="str">
        <x:f t="shared" ca="1" si="4">IF(G64=0,"",IF(I64="البرامج والأنظمة","إثبات مصروف ومجمع الإطفاء عن الفترة "&amp;TEXT($B$3,"mm-yyyy")&amp;" - مركز التكلفة: "&amp;B64&amp;" - حساب الأصل: "&amp;I64,"إثبات مصروف ومجمع الإهلاك عن الفترة "&amp;TEXT($B$3,"mm-yyyy")&amp;" - مركز التكلفة: "&amp;B64&amp;" - حساب الأصل: "&amp;I64))</x:f>
        <x:v>إثبات مصروف ومجمع الإهلاك عن الفترة 12-2026 - مركز التكلفة: صيدلية لنا جابر الصباح 13 - حساب الأصل: اجهزة التكييف</x:v>
      </x:c>
      <x:c r="G64" s="155" t="n">
        <x:f>SUMIFS('جدول الاصول الثابته الجديد'!$L$6:$L$2004,'جدول الاصول الثابته الجديد'!$B$6:$B$2004,B64,'جدول الاصول الثابته الجديد'!$C$6:$C$2004,I64)</x:f>
        <x:v>1137.0076666666666</x:v>
      </x:c>
      <x:c r="H64" s="155" t="n">
        <x:f t="shared" si="5">G64</x:f>
        <x:v>1137.0076666666666</x:v>
      </x:c>
      <x:c r="I64" s="163" t="str">
        <x:v>اجهزة التكييف</x:v>
      </x:c>
    </x:row>
    <x:row r="65" ht="30">
      <x:c r="A65" s="159" t="n">
        <x:f t="shared" si="3">IF(B65="","",$B$3)</x:f>
        <x:v>46387</x:v>
      </x:c>
      <x:c r="B65" s="163" t="str">
        <x:v>صيدلية لنا جابر الصباح 13</x:v>
      </x:c>
      <x:c r="C65" s="163" t="str">
        <x:f ca="1">IFERROR(INDEX('ربط حسابات الإهلاك'!$B$5:$B$14,MATCH(I65,'ربط حسابات الإهلاك'!$C$5:$C$14,0))&amp;" - "&amp;I65,I65)</x:f>
        <x:v>120101004000 - ديكورات</x:v>
      </x:c>
      <x:c r="D65" s="163" t="str">
        <x:f>IFERROR(INDEX('ربط حسابات الإهلاك'!$F$5:$F$14,MATCH(I65,'ربط حسابات الإهلاك'!$C$5:$C$14,0))&amp;" - "&amp;INDEX('ربط حسابات الإهلاك'!$G$5:$G$14,MATCH(I65,'ربط حسابات الإهلاك'!$C$5:$C$14,0)),"غير مرتبط")</x:f>
        <x:v>520401003000 - مصروف إهلاك - ديكورات</x:v>
      </x:c>
      <x:c r="E65" s="163" t="str">
        <x:f>IFERROR(INDEX('ربط حسابات الإهلاك'!$D$5:$D$14,MATCH(I65,'ربط حسابات الإهلاك'!$C$5:$C$14,0))&amp;" - "&amp;INDEX('ربط حسابات الإهلاك'!$E$5:$E$14,MATCH(I65,'ربط حسابات الإهلاك'!$C$5:$C$14,0)),"غير مرتبط")</x:f>
        <x:v>120101004002 - مجمع إهلاك - ديكورات</x:v>
      </x:c>
      <x:c r="F65" s="163" t="str">
        <x:f t="shared" ca="1" si="4">IF(G65=0,"",IF(I65="البرامج والأنظمة","إثبات مصروف ومجمع الإطفاء عن الفترة "&amp;TEXT($B$3,"mm-yyyy")&amp;" - مركز التكلفة: "&amp;B65&amp;" - حساب الأصل: "&amp;I65,"إثبات مصروف ومجمع الإهلاك عن الفترة "&amp;TEXT($B$3,"mm-yyyy")&amp;" - مركز التكلفة: "&amp;B65&amp;" - حساب الأصل: "&amp;I65))</x:f>
        <x:v>إثبات مصروف ومجمع الإهلاك عن الفترة 12-2026 - مركز التكلفة: صيدلية لنا جابر الصباح 13 - حساب الأصل: ديكورات</x:v>
      </x:c>
      <x:c r="G65" s="155" t="n">
        <x:f>SUMIFS('جدول الاصول الثابته الجديد'!$L$6:$L$2004,'جدول الاصول الثابته الجديد'!$B$6:$B$2004,B65,'جدول الاصول الثابته الجديد'!$C$6:$C$2004,I65)</x:f>
        <x:v>820.9166666666666</x:v>
      </x:c>
      <x:c r="H65" s="155" t="n">
        <x:f t="shared" si="5">G65</x:f>
        <x:v>820.9166666666666</x:v>
      </x:c>
      <x:c r="I65" s="163" t="str">
        <x:v>ديكورات</x:v>
      </x:c>
    </x:row>
    <x:row r="66" ht="30">
      <x:c r="A66" s="159" t="n">
        <x:f t="shared" si="3">IF(B66="","",$B$3)</x:f>
        <x:v>46387</x:v>
      </x:c>
      <x:c r="B66" s="163" t="str">
        <x:v>صيدلية لنا جابر الصباح 13</x:v>
      </x:c>
      <x:c r="C66" s="163" t="str">
        <x:f ca="1">IFERROR(INDEX('ربط حسابات الإهلاك'!$B$5:$B$14,MATCH(I66,'ربط حسابات الإهلاك'!$C$5:$C$14,0))&amp;" - "&amp;I66,I66)</x:f>
        <x:v>120102001001 - البرامج والأنظمة</x:v>
      </x:c>
      <x:c r="D66" s="163" t="str">
        <x:f>IFERROR(INDEX('ربط حسابات الإهلاك'!$F$5:$F$14,MATCH(I66,'ربط حسابات الإهلاك'!$C$5:$C$14,0))&amp;" - "&amp;INDEX('ربط حسابات الإهلاك'!$G$5:$G$14,MATCH(I66,'ربط حسابات الإهلاك'!$C$5:$C$14,0)),"غير مرتبط")</x:f>
        <x:v>520401010000 - مصروف إطفاء - البرامج والأنظمة</x:v>
      </x:c>
      <x:c r="E66" s="163" t="str">
        <x:f>IFERROR(INDEX('ربط حسابات الإهلاك'!$D$5:$D$14,MATCH(I66,'ربط حسابات الإهلاك'!$C$5:$C$14,0))&amp;" - "&amp;INDEX('ربط حسابات الإهلاك'!$E$5:$E$14,MATCH(I66,'ربط حسابات الإهلاك'!$C$5:$C$14,0)),"غير مرتبط")</x:f>
        <x:v>120102001002 - مجمع إطفاء - البرامج والأنظمة</x:v>
      </x:c>
      <x:c r="F66" s="163" t="str">
        <x:f t="shared" ca="1" si="4">IF(G66=0,"",IF(I66="البرامج والأنظمة","إثبات مصروف ومجمع الإطفاء عن الفترة "&amp;TEXT($B$3,"mm-yyyy")&amp;" - مركز التكلفة: "&amp;B66&amp;" - حساب الأصل: "&amp;I66,"إثبات مصروف ومجمع الإهلاك عن الفترة "&amp;TEXT($B$3,"mm-yyyy")&amp;" - مركز التكلفة: "&amp;B66&amp;" - حساب الأصل: "&amp;I66))</x:f>
        <x:v>إثبات مصروف ومجمع الإطفاء عن الفترة 12-2026 - مركز التكلفة: صيدلية لنا جابر الصباح 13 - حساب الأصل: البرامج والأنظمة</x:v>
      </x:c>
      <x:c r="G66" s="155" t="n">
        <x:f>SUMIFS('جدول الاصول الثابته الجديد'!$L$6:$L$2004,'جدول الاصول الثابته الجديد'!$B$6:$B$2004,B66,'جدول الاصول الثابته الجديد'!$C$6:$C$2004,I66)</x:f>
        <x:v>277.75</x:v>
      </x:c>
      <x:c r="H66" s="155" t="n">
        <x:f t="shared" si="5">G66</x:f>
        <x:v>277.75</x:v>
      </x:c>
      <x:c r="I66" s="163" t="str">
        <x:v>البرامج والأنظمة</x:v>
      </x:c>
    </x:row>
    <x:row r="67" ht="45">
      <x:c r="A67" s="159" t="n">
        <x:f t="shared" si="3">IF(B67="","",$B$3)</x:f>
        <x:v>46387</x:v>
      </x:c>
      <x:c r="B67" s="163" t="str">
        <x:v>صيدلية لنا طويق - نمار فرع رقم 34</x:v>
      </x:c>
      <x:c r="C67" s="163" t="str">
        <x:f ca="1">IFERROR(INDEX('ربط حسابات الإهلاك'!$B$5:$B$14,MATCH(I67,'ربط حسابات الإهلاك'!$C$5:$C$14,0))&amp;" - "&amp;I67,I67)</x:f>
        <x:v>120101009000 - اجهزة ومعدات طبية</x:v>
      </x:c>
      <x:c r="D67" s="163" t="str">
        <x:f>IFERROR(INDEX('ربط حسابات الإهلاك'!$F$5:$F$14,MATCH(I67,'ربط حسابات الإهلاك'!$C$5:$C$14,0))&amp;" - "&amp;INDEX('ربط حسابات الإهلاك'!$G$5:$G$14,MATCH(I67,'ربط حسابات الإهلاك'!$C$5:$C$14,0)),"غير مرتبط")</x:f>
        <x:v>520401004000 - مصروف إهلاك - اجهزة ومعدات طبية</x:v>
      </x:c>
      <x:c r="E67" s="163" t="str">
        <x:f>IFERROR(INDEX('ربط حسابات الإهلاك'!$D$5:$D$14,MATCH(I67,'ربط حسابات الإهلاك'!$C$5:$C$14,0))&amp;" - "&amp;INDEX('ربط حسابات الإهلاك'!$E$5:$E$14,MATCH(I67,'ربط حسابات الإهلاك'!$C$5:$C$14,0)),"غير مرتبط")</x:f>
        <x:v>120101009002 - مجمع إهلاك - اجهزة ومعدات طبية</x:v>
      </x:c>
      <x:c r="F67" s="163" t="str">
        <x:f t="shared" ca="1" si="4">IF(G67=0,"",IF(I67="البرامج والأنظمة","إثبات مصروف ومجمع الإطفاء عن الفترة "&amp;TEXT($B$3,"mm-yyyy")&amp;" - مركز التكلفة: "&amp;B67&amp;" - حساب الأصل: "&amp;I67,"إثبات مصروف ومجمع الإهلاك عن الفترة "&amp;TEXT($B$3,"mm-yyyy")&amp;" - مركز التكلفة: "&amp;B67&amp;" - حساب الأصل: "&amp;I67))</x:f>
      </x:c>
      <x:c r="G67" s="155" t="n">
        <x:f>SUMIFS('جدول الاصول الثابته الجديد'!$L$6:$L$2004,'جدول الاصول الثابته الجديد'!$B$6:$B$2004,B67,'جدول الاصول الثابته الجديد'!$C$6:$C$2004,I67)</x:f>
        <x:v>0</x:v>
      </x:c>
      <x:c r="H67" s="155" t="n">
        <x:f t="shared" si="5">G67</x:f>
        <x:v>0</x:v>
      </x:c>
      <x:c r="I67" s="163" t="str">
        <x:v>اجهزة ومعدات طبية</x:v>
      </x:c>
    </x:row>
    <x:row r="68" ht="45">
      <x:c r="A68" s="159" t="n">
        <x:f t="shared" si="3">IF(B68="","",$B$3)</x:f>
        <x:v>46387</x:v>
      </x:c>
      <x:c r="B68" s="163" t="str">
        <x:v>صيدلية لنا طويق - نمار فرع رقم 34</x:v>
      </x:c>
      <x:c r="C68" s="163" t="str">
        <x:f ca="1">IFERROR(INDEX('ربط حسابات الإهلاك'!$B$5:$B$14,MATCH(I68,'ربط حسابات الإهلاك'!$C$5:$C$14,0))&amp;" - "&amp;I68,I68)</x:f>
        <x:v>120101003000 - السيارات</x:v>
      </x:c>
      <x:c r="D68" s="163" t="str">
        <x:f>IFERROR(INDEX('ربط حسابات الإهلاك'!$F$5:$F$14,MATCH(I68,'ربط حسابات الإهلاك'!$C$5:$C$14,0))&amp;" - "&amp;INDEX('ربط حسابات الإهلاك'!$G$5:$G$14,MATCH(I68,'ربط حسابات الإهلاك'!$C$5:$C$14,0)),"غير مرتبط")</x:f>
        <x:v>520401005000 - مصروف إهلاك - السيارات</x:v>
      </x:c>
      <x:c r="E68" s="163" t="str">
        <x:f>IFERROR(INDEX('ربط حسابات الإهلاك'!$D$5:$D$14,MATCH(I68,'ربط حسابات الإهلاك'!$C$5:$C$14,0))&amp;" - "&amp;INDEX('ربط حسابات الإهلاك'!$E$5:$E$14,MATCH(I68,'ربط حسابات الإهلاك'!$C$5:$C$14,0)),"غير مرتبط")</x:f>
        <x:v>120101003001 - مجمع إهلاك - السيارات</x:v>
      </x:c>
      <x:c r="F68" s="163" t="str">
        <x:f t="shared" ca="1" si="4">IF(G68=0,"",IF(I68="البرامج والأنظمة","إثبات مصروف ومجمع الإطفاء عن الفترة "&amp;TEXT($B$3,"mm-yyyy")&amp;" - مركز التكلفة: "&amp;B68&amp;" - حساب الأصل: "&amp;I68,"إثبات مصروف ومجمع الإهلاك عن الفترة "&amp;TEXT($B$3,"mm-yyyy")&amp;" - مركز التكلفة: "&amp;B68&amp;" - حساب الأصل: "&amp;I68))</x:f>
      </x:c>
      <x:c r="G68" s="155" t="n">
        <x:f>SUMIFS('جدول الاصول الثابته الجديد'!$L$6:$L$2004,'جدول الاصول الثابته الجديد'!$B$6:$B$2004,B68,'جدول الاصول الثابته الجديد'!$C$6:$C$2004,I68)</x:f>
        <x:v>0</x:v>
      </x:c>
      <x:c r="H68" s="155" t="n">
        <x:f t="shared" si="5">G68</x:f>
        <x:v>0</x:v>
      </x:c>
      <x:c r="I68" s="163" t="str">
        <x:v>السيارات</x:v>
      </x:c>
    </x:row>
    <x:row r="69">
      <x:c r="A69" s="159" t="n">
        <x:f>IF(B69="","",$B$3)</x:f>
        <x:v>46387</x:v>
      </x:c>
      <x:c r="B69" s="163" t="str">
        <x:v>صيدلية لنا طويق - نمار فرع رقم 34</x:v>
      </x:c>
      <x:c r="C69" s="163" t="str">
        <x:f>IFERROR(INDEX('ربط حسابات الإهلاك'!$B$5:$B$14,MATCH(I69,'ربط حسابات الإهلاك'!$C$5:$C$14,0))&amp;" - "&amp;I69,I69)</x:f>
        <x:v>120101005001 - أثاث و مفروشات</x:v>
      </x:c>
      <x:c r="D69" s="163" t="str">
        <x:f>IFERROR(INDEX('ربط حسابات الإهلاك'!$F$5:$F$14,MATCH(I69,'ربط حسابات الإهلاك'!$C$5:$C$14,0))&amp;" - "&amp;INDEX('ربط حسابات الإهلاك'!$G$5:$G$14,MATCH(I69,'ربط حسابات الإهلاك'!$C$5:$C$14,0)),"غير مرتبط")</x:f>
        <x:v>520401006000 - مصروف إهلاك - أثاث و مفروشات</x:v>
      </x:c>
      <x:c r="E69" s="163" t="str">
        <x:f>IFERROR(INDEX('ربط حسابات الإهلاك'!$D$5:$D$14,MATCH(I69,'ربط حسابات الإهلاك'!$C$5:$C$14,0))&amp;" - "&amp;INDEX('ربط حسابات الإهلاك'!$E$5:$E$14,MATCH(I69,'ربط حسابات الإهلاك'!$C$5:$C$14,0)),"غير مرتبط")</x:f>
        <x:v>120101005002 - مجمع إهلاك - أثاث و مفروشات</x:v>
      </x:c>
      <x:c r="F69" s="163" t="str">
        <x:f>IF(G69=0,"",IF(I69="البرامج والأنظمة","إثبات مصروف ومجمع الإطفاء عن الفترة "&amp;TEXT($B$3,"mm-yyyy")&amp;" - مركز التكلفة: "&amp;B69&amp;" - حساب الأصل: "&amp;I69,"إثبات مصروف ومجمع الإهلاك عن الفترة "&amp;TEXT($B$3,"mm-yyyy")&amp;" - مركز التكلفة: "&amp;B69&amp;" - حساب الأصل: "&amp;I69))</x:f>
      </x:c>
      <x:c r="G69" s="155" t="n">
        <x:f>SUMIFS('جدول الاصول الثابته الجديد'!$L$6:$L$2004,'جدول الاصول الثابته الجديد'!$B$6:$B$2004,B69,'جدول الاصول الثابته الجديد'!$C$6:$C$2004,I69)</x:f>
        <x:v>0</x:v>
      </x:c>
      <x:c r="H69" s="155" t="n">
        <x:f>G69</x:f>
        <x:v>0</x:v>
      </x:c>
      <x:c r="I69" s="163" t="str">
        <x:v>أثاث و مفروشات</x:v>
      </x:c>
    </x:row>
    <x:row r="70">
      <x:c r="A70" s="159" t="n">
        <x:f>IF(B70="","",$B$3)</x:f>
        <x:v>46387</x:v>
      </x:c>
      <x:c r="B70" s="163" t="str">
        <x:v>صيدلية لنا طويق - نمار فرع رقم 34</x:v>
      </x:c>
      <x:c r="C70" s="163" t="str">
        <x:f>IFERROR(INDEX('ربط حسابات الإهلاك'!$B$5:$B$14,MATCH(I70,'ربط حسابات الإهلاك'!$C$5:$C$14,0))&amp;" - "&amp;I70,I70)</x:f>
        <x:v>120101011001 - أثاث و مفروشات السكن</x:v>
      </x:c>
      <x:c r="D70" s="163" t="str">
        <x:f>IFERROR(INDEX('ربط حسابات الإهلاك'!$F$5:$F$14,MATCH(I70,'ربط حسابات الإهلاك'!$C$5:$C$14,0))&amp;" - "&amp;INDEX('ربط حسابات الإهلاك'!$G$5:$G$14,MATCH(I70,'ربط حسابات الإهلاك'!$C$5:$C$14,0)),"غير مرتبط")</x:f>
        <x:v>520401007000 - مصروف إهلاك - أثاث و مفروشات السكن</x:v>
      </x:c>
      <x:c r="E70" s="163" t="str">
        <x:f>IFERROR(INDEX('ربط حسابات الإهلاك'!$D$5:$D$14,MATCH(I70,'ربط حسابات الإهلاك'!$C$5:$C$14,0))&amp;" - "&amp;INDEX('ربط حسابات الإهلاك'!$E$5:$E$14,MATCH(I70,'ربط حسابات الإهلاك'!$C$5:$C$14,0)),"غير مرتبط")</x:f>
        <x:v>120101011002 - مجمع إهلاك - أثاث و مفروشات السكن</x:v>
      </x:c>
      <x:c r="F70" s="170" t="str">
        <x:f>IF(G70=0,"",IF(I70="البرامج والأنظمة","إثبات مصروف ومجمع الإطفاء عن الفترة "&amp;TEXT($B$3,"mm-yyyy")&amp;" - مركز التكلفة: "&amp;B70&amp;" - حساب الأصل: "&amp;I70,"إثبات مصروف ومجمع الإهلاك عن الفترة "&amp;TEXT($B$3,"mm-yyyy")&amp;" - مركز التكلفة: "&amp;B70&amp;" - حساب الأصل: "&amp;I70))</x:f>
      </x:c>
      <x:c r="G70" s="226" t="n">
        <x:f>SUMIFS('جدول الاصول الثابته الجديد'!$L$6:$L$2004,'جدول الاصول الثابته الجديد'!$B$6:$B$2004,B70,'جدول الاصول الثابته الجديد'!$C$6:$C$2004,I70)</x:f>
        <x:v>0</x:v>
      </x:c>
      <x:c r="H70" s="226" t="n">
        <x:f>G70</x:f>
        <x:v>0</x:v>
      </x:c>
      <x:c r="I70" s="163" t="str">
        <x:v>أثاث و مفروشات السكن</x:v>
      </x:c>
    </x:row>
    <x:row r="71">
      <x:c r="A71" s="159" t="n">
        <x:f>IF(B71="","",$B$3)</x:f>
        <x:v>46387</x:v>
      </x:c>
      <x:c r="B71" s="163" t="str">
        <x:v>صيدلية لنا طويق - نمار فرع رقم 34</x:v>
      </x:c>
      <x:c r="C71" s="163" t="str">
        <x:f>IFERROR(INDEX('ربط حسابات الإهلاك'!$B$5:$B$14,MATCH(I71,'ربط حسابات الإهلاك'!$C$5:$C$14,0))&amp;" - "&amp;I71,I71)</x:f>
        <x:v>120101006001 - الاجهزة الالكترونية والحاسب الالي وملحقاته</x:v>
      </x:c>
      <x:c r="D71" s="163" t="str">
        <x:f>IFERROR(INDEX('ربط حسابات الإهلاك'!$F$5:$F$14,MATCH(I71,'ربط حسابات الإهلاك'!$C$5:$C$14,0))&amp;" - "&amp;INDEX('ربط حسابات الإهلاك'!$G$5:$G$14,MATCH(I71,'ربط حسابات الإهلاك'!$C$5:$C$14,0)),"غير مرتبط")</x:f>
        <x:v>520401009000 - مصروف إهلاك - الاجهزة الالكترونية والحاسب الالي وملحقاته</x:v>
      </x:c>
      <x:c r="E71" s="163" t="str">
        <x:f>IFERROR(INDEX('ربط حسابات الإهلاك'!$D$5:$D$14,MATCH(I71,'ربط حسابات الإهلاك'!$C$5:$C$14,0))&amp;" - "&amp;INDEX('ربط حسابات الإهلاك'!$E$5:$E$14,MATCH(I71,'ربط حسابات الإهلاك'!$C$5:$C$14,0)),"غير مرتبط")</x:f>
        <x:v>120101006002 - مجمع إهلاك - الاجهزة الالكترونية والحاسب الالي وملحقاته</x:v>
      </x:c>
      <x:c r="F71" s="163" t="str">
        <x:f>IF(G71=0,"",IF(I71="البرامج والأنظمة","إثبات مصروف ومجمع الإطفاء عن الفترة "&amp;TEXT($B$3,"mm-yyyy")&amp;" - مركز التكلفة: "&amp;B71&amp;" - حساب الأصل: "&amp;I71,"إثبات مصروف ومجمع الإهلاك عن الفترة "&amp;TEXT($B$3,"mm-yyyy")&amp;" - مركز التكلفة: "&amp;B71&amp;" - حساب الأصل: "&amp;I71))</x:f>
        <x:v>إثبات مصروف ومجمع الإهلاك عن الفترة 12-2026 - مركز التكلفة: صيدلية لنا طويق - نمار فرع رقم 34 - حساب الأصل: الاجهزة الالكترونية والحاسب الالي وملحقاته</x:v>
      </x:c>
      <x:c r="G71" s="155" t="n">
        <x:f>SUMIFS('جدول الاصول الثابته الجديد'!$L$6:$L$2004,'جدول الاصول الثابته الجديد'!$B$6:$B$2004,B71,'جدول الاصول الثابته الجديد'!$C$6:$C$2004,I71)</x:f>
        <x:v>560.8425212499998</x:v>
      </x:c>
      <x:c r="H71" s="155" t="n">
        <x:f>G71</x:f>
        <x:v>560.8425212499998</x:v>
      </x:c>
      <x:c r="I71" s="163" t="str">
        <x:v>الاجهزة الالكترونية والحاسب الالي وملحقاته</x:v>
      </x:c>
    </x:row>
    <x:row r="72">
      <x:c r="A72" s="159" t="n">
        <x:f>IF(B72="","",$B$3)</x:f>
        <x:v>46387</x:v>
      </x:c>
      <x:c r="B72" s="163" t="str">
        <x:v>صيدلية لنا طويق - نمار فرع رقم 34</x:v>
      </x:c>
      <x:c r="C72" s="163" t="str">
        <x:f>IFERROR(INDEX('ربط حسابات الإهلاك'!$B$5:$B$14,MATCH(I72,'ربط حسابات الإهلاك'!$C$5:$C$14,0))&amp;" - "&amp;I72,I72)</x:f>
        <x:v>120101007001 - الاجهزة الكهربائية</x:v>
      </x:c>
      <x:c r="D72" s="163" t="str">
        <x:f>IFERROR(INDEX('ربط حسابات الإهلاك'!$F$5:$F$14,MATCH(I72,'ربط حسابات الإهلاك'!$C$5:$C$14,0))&amp;" - "&amp;INDEX('ربط حسابات الإهلاك'!$G$5:$G$14,MATCH(I72,'ربط حسابات الإهلاك'!$C$5:$C$14,0)),"غير مرتبط")</x:f>
        <x:v>520401008000 - مصروف إهلاك - الاجهزة الكهربائية</x:v>
      </x:c>
      <x:c r="E72" s="163" t="str">
        <x:f>IFERROR(INDEX('ربط حسابات الإهلاك'!$D$5:$D$14,MATCH(I72,'ربط حسابات الإهلاك'!$C$5:$C$14,0))&amp;" - "&amp;INDEX('ربط حسابات الإهلاك'!$E$5:$E$14,MATCH(I72,'ربط حسابات الإهلاك'!$C$5:$C$14,0)),"غير مرتبط")</x:f>
        <x:v>120101007002 - مجمع إهلاك - الاجهزة الكهربائية</x:v>
      </x:c>
      <x:c r="F72" s="163" t="str">
        <x:f>IF(G72=0,"",IF(I72="البرامج والأنظمة","إثبات مصروف ومجمع الإطفاء عن الفترة "&amp;TEXT($B$3,"mm-yyyy")&amp;" - مركز التكلفة: "&amp;B72&amp;" - حساب الأصل: "&amp;I72,"إثبات مصروف ومجمع الإهلاك عن الفترة "&amp;TEXT($B$3,"mm-yyyy")&amp;" - مركز التكلفة: "&amp;B72&amp;" - حساب الأصل: "&amp;I72))</x:f>
        <x:v>إثبات مصروف ومجمع الإهلاك عن الفترة 12-2026 - مركز التكلفة: صيدلية لنا طويق - نمار فرع رقم 34 - حساب الأصل: الاجهزة الكهربائية</x:v>
      </x:c>
      <x:c r="G72" s="155" t="n">
        <x:f>SUMIFS('جدول الاصول الثابته الجديد'!$L$6:$L$2004,'جدول الاصول الثابته الجديد'!$B$6:$B$2004,B72,'جدول الاصول الثابته الجديد'!$C$6:$C$2004,I72)</x:f>
        <x:v>11.443</x:v>
      </x:c>
      <x:c r="H72" s="155" t="n">
        <x:f>G72</x:f>
        <x:v>11.443</x:v>
      </x:c>
      <x:c r="I72" s="163" t="str">
        <x:v>الاجهزة الكهربائية</x:v>
      </x:c>
    </x:row>
    <x:row r="73">
      <x:c r="A73" s="159" t="n">
        <x:f>IF(B73="","",$B$3)</x:f>
        <x:v>46387</x:v>
      </x:c>
      <x:c r="B73" s="163" t="str">
        <x:v>صيدلية لنا طويق - نمار فرع رقم 34</x:v>
      </x:c>
      <x:c r="C73" s="163" t="str">
        <x:f>IFERROR(INDEX('ربط حسابات الإهلاك'!$B$5:$B$14,MATCH(I73,'ربط حسابات الإهلاك'!$C$5:$C$14,0))&amp;" - "&amp;I73,I73)</x:f>
        <x:v>120101002000 - تحسينات على مباني</x:v>
      </x:c>
      <x:c r="D73" s="163" t="str">
        <x:f>IFERROR(INDEX('ربط حسابات الإهلاك'!$F$5:$F$14,MATCH(I73,'ربط حسابات الإهلاك'!$C$5:$C$14,0))&amp;" - "&amp;INDEX('ربط حسابات الإهلاك'!$G$5:$G$14,MATCH(I73,'ربط حسابات الإهلاك'!$C$5:$C$14,0)),"غير مرتبط")</x:f>
        <x:v>520401001000 - مصروف إهلاك - تحسينات على مباني</x:v>
      </x:c>
      <x:c r="E73" s="163" t="str">
        <x:f>IFERROR(INDEX('ربط حسابات الإهلاك'!$D$5:$D$14,MATCH(I73,'ربط حسابات الإهلاك'!$C$5:$C$14,0))&amp;" - "&amp;INDEX('ربط حسابات الإهلاك'!$E$5:$E$14,MATCH(I73,'ربط حسابات الإهلاك'!$C$5:$C$14,0)),"غير مرتبط")</x:f>
        <x:v>120101002002 - مجمع إهلاك - تحسينات على مباني</x:v>
      </x:c>
      <x:c r="F73" s="163" t="str">
        <x:f>IF(G73=0,"",IF(I73="البرامج والأنظمة","إثبات مصروف ومجمع الإطفاء عن الفترة "&amp;TEXT($B$3,"mm-yyyy")&amp;" - مركز التكلفة: "&amp;B73&amp;" - حساب الأصل: "&amp;I73,"إثبات مصروف ومجمع الإهلاك عن الفترة "&amp;TEXT($B$3,"mm-yyyy")&amp;" - مركز التكلفة: "&amp;B73&amp;" - حساب الأصل: "&amp;I73))</x:f>
      </x:c>
      <x:c r="G73" s="155" t="n">
        <x:f>SUMIFS('جدول الاصول الثابته الجديد'!$L$6:$L$2004,'جدول الاصول الثابته الجديد'!$B$6:$B$2004,B73,'جدول الاصول الثابته الجديد'!$C$6:$C$2004,I73)</x:f>
        <x:v>0</x:v>
      </x:c>
      <x:c r="H73" s="155" t="n">
        <x:f>G73</x:f>
        <x:v>0</x:v>
      </x:c>
      <x:c r="I73" s="163" t="str">
        <x:v>تحسينات على مباني</x:v>
      </x:c>
    </x:row>
    <x:row r="74">
      <x:c r="A74" s="159" t="n">
        <x:f>IF(B74="","",$B$3)</x:f>
        <x:v>46387</x:v>
      </x:c>
      <x:c r="B74" s="163" t="str">
        <x:v>صيدلية لنا طويق - نمار فرع رقم 34</x:v>
      </x:c>
      <x:c r="C74" s="163" t="str">
        <x:f>IFERROR(INDEX('ربط حسابات الإهلاك'!$B$5:$B$14,MATCH(I74,'ربط حسابات الإهلاك'!$C$5:$C$14,0))&amp;" - "&amp;I74,I74)</x:f>
        <x:v>120101001000 - اجهزة التكييف</x:v>
      </x:c>
      <x:c r="D74" s="163" t="str">
        <x:f>IFERROR(INDEX('ربط حسابات الإهلاك'!$F$5:$F$14,MATCH(I74,'ربط حسابات الإهلاك'!$C$5:$C$14,0))&amp;" - "&amp;INDEX('ربط حسابات الإهلاك'!$G$5:$G$14,MATCH(I74,'ربط حسابات الإهلاك'!$C$5:$C$14,0)),"غير مرتبط")</x:f>
        <x:v>520401002000 - مصروف إهلاك - اجهزة التكييف</x:v>
      </x:c>
      <x:c r="E74" s="163" t="str">
        <x:f>IFERROR(INDEX('ربط حسابات الإهلاك'!$D$5:$D$14,MATCH(I74,'ربط حسابات الإهلاك'!$C$5:$C$14,0))&amp;" - "&amp;INDEX('ربط حسابات الإهلاك'!$E$5:$E$14,MATCH(I74,'ربط حسابات الإهلاك'!$C$5:$C$14,0)),"غير مرتبط")</x:f>
        <x:v>120101001002 - مجمع إهلاك - اجهزة التكييف</x:v>
      </x:c>
      <x:c r="F74" s="163" t="str">
        <x:f>IF(G74=0,"",IF(I74="البرامج والأنظمة","إثبات مصروف ومجمع الإطفاء عن الفترة "&amp;TEXT($B$3,"mm-yyyy")&amp;" - مركز التكلفة: "&amp;B74&amp;" - حساب الأصل: "&amp;I74,"إثبات مصروف ومجمع الإهلاك عن الفترة "&amp;TEXT($B$3,"mm-yyyy")&amp;" - مركز التكلفة: "&amp;B74&amp;" - حساب الأصل: "&amp;I74))</x:f>
      </x:c>
      <x:c r="G74" s="155" t="n">
        <x:f>SUMIFS('جدول الاصول الثابته الجديد'!$L$6:$L$2004,'جدول الاصول الثابته الجديد'!$B$6:$B$2004,B74,'جدول الاصول الثابته الجديد'!$C$6:$C$2004,I74)</x:f>
        <x:v>0</x:v>
      </x:c>
      <x:c r="H74" s="155" t="n">
        <x:f>G74</x:f>
        <x:v>0</x:v>
      </x:c>
      <x:c r="I74" s="163" t="str">
        <x:v>اجهزة التكييف</x:v>
      </x:c>
    </x:row>
    <x:row r="75">
      <x:c r="A75" s="159" t="n">
        <x:f>IF(B75="","",$B$3)</x:f>
        <x:v>46387</x:v>
      </x:c>
      <x:c r="B75" s="163" t="str">
        <x:v>صيدلية لنا طويق - نمار فرع رقم 34</x:v>
      </x:c>
      <x:c r="C75" s="163" t="str">
        <x:f>IFERROR(INDEX('ربط حسابات الإهلاك'!$B$5:$B$14,MATCH(I75,'ربط حسابات الإهلاك'!$C$5:$C$14,0))&amp;" - "&amp;I75,I75)</x:f>
        <x:v>120101004000 - ديكورات</x:v>
      </x:c>
      <x:c r="D75" s="163" t="str">
        <x:f>IFERROR(INDEX('ربط حسابات الإهلاك'!$F$5:$F$14,MATCH(I75,'ربط حسابات الإهلاك'!$C$5:$C$14,0))&amp;" - "&amp;INDEX('ربط حسابات الإهلاك'!$G$5:$G$14,MATCH(I75,'ربط حسابات الإهلاك'!$C$5:$C$14,0)),"غير مرتبط")</x:f>
        <x:v>520401003000 - مصروف إهلاك - ديكورات</x:v>
      </x:c>
      <x:c r="E75" s="163" t="str">
        <x:f>IFERROR(INDEX('ربط حسابات الإهلاك'!$D$5:$D$14,MATCH(I75,'ربط حسابات الإهلاك'!$C$5:$C$14,0))&amp;" - "&amp;INDEX('ربط حسابات الإهلاك'!$E$5:$E$14,MATCH(I75,'ربط حسابات الإهلاك'!$C$5:$C$14,0)),"غير مرتبط")</x:f>
        <x:v>120101004002 - مجمع إهلاك - ديكورات</x:v>
      </x:c>
      <x:c r="F75" s="163" t="str">
        <x:f>IF(G75=0,"",IF(I75="البرامج والأنظمة","إثبات مصروف ومجمع الإطفاء عن الفترة "&amp;TEXT($B$3,"mm-yyyy")&amp;" - مركز التكلفة: "&amp;B75&amp;" - حساب الأصل: "&amp;I75,"إثبات مصروف ومجمع الإهلاك عن الفترة "&amp;TEXT($B$3,"mm-yyyy")&amp;" - مركز التكلفة: "&amp;B75&amp;" - حساب الأصل: "&amp;I75))</x:f>
      </x:c>
      <x:c r="G75" s="155" t="n">
        <x:f>SUMIFS('جدول الاصول الثابته الجديد'!$L$6:$L$2004,'جدول الاصول الثابته الجديد'!$B$6:$B$2004,B75,'جدول الاصول الثابته الجديد'!$C$6:$C$2004,I75)</x:f>
        <x:v>0</x:v>
      </x:c>
      <x:c r="H75" s="155" t="n">
        <x:f>G75</x:f>
        <x:v>0</x:v>
      </x:c>
      <x:c r="I75" s="163" t="str">
        <x:v>ديكورات</x:v>
      </x:c>
    </x:row>
    <x:row r="76">
      <x:c r="A76" s="159" t="n">
        <x:f>IF(B76="","",$B$3)</x:f>
        <x:v>46387</x:v>
      </x:c>
      <x:c r="B76" s="163" t="str">
        <x:v>صيدلية لنا طويق - نمار فرع رقم 34</x:v>
      </x:c>
      <x:c r="C76" s="163" t="str">
        <x:f>IFERROR(INDEX('ربط حسابات الإهلاك'!$B$5:$B$14,MATCH(I76,'ربط حسابات الإهلاك'!$C$5:$C$14,0))&amp;" - "&amp;I76,I76)</x:f>
        <x:v>120102001001 - البرامج والأنظمة</x:v>
      </x:c>
      <x:c r="D76" s="163" t="str">
        <x:f>IFERROR(INDEX('ربط حسابات الإهلاك'!$F$5:$F$14,MATCH(I76,'ربط حسابات الإهلاك'!$C$5:$C$14,0))&amp;" - "&amp;INDEX('ربط حسابات الإهلاك'!$G$5:$G$14,MATCH(I76,'ربط حسابات الإهلاك'!$C$5:$C$14,0)),"غير مرتبط")</x:f>
        <x:v>520401010000 - مصروف إطفاء - البرامج والأنظمة</x:v>
      </x:c>
      <x:c r="E76" s="163" t="str">
        <x:f>IFERROR(INDEX('ربط حسابات الإهلاك'!$D$5:$D$14,MATCH(I76,'ربط حسابات الإهلاك'!$C$5:$C$14,0))&amp;" - "&amp;INDEX('ربط حسابات الإهلاك'!$E$5:$E$14,MATCH(I76,'ربط حسابات الإهلاك'!$C$5:$C$14,0)),"غير مرتبط")</x:f>
        <x:v>120102001002 - مجمع إطفاء - البرامج والأنظمة</x:v>
      </x:c>
      <x:c r="F76" s="163" t="str">
        <x:f>IF(G76=0,"",IF(I76="البرامج والأنظمة","إثبات مصروف ومجمع الإطفاء عن الفترة "&amp;TEXT($B$3,"mm-yyyy")&amp;" - مركز التكلفة: "&amp;B76&amp;" - حساب الأصل: "&amp;I76,"إثبات مصروف ومجمع الإهلاك عن الفترة "&amp;TEXT($B$3,"mm-yyyy")&amp;" - مركز التكلفة: "&amp;B76&amp;" - حساب الأصل: "&amp;I76))</x:f>
        <x:v>إثبات مصروف ومجمع الإطفاء عن الفترة 12-2026 - مركز التكلفة: صيدلية لنا طويق - نمار فرع رقم 34 - حساب الأصل: البرامج والأنظمة</x:v>
      </x:c>
      <x:c r="G76" s="155" t="n">
        <x:f>SUMIFS('جدول الاصول الثابته الجديد'!$L$6:$L$2004,'جدول الاصول الثابته الجديد'!$B$6:$B$2004,B76,'جدول الاصول الثابته الجديد'!$C$6:$C$2004,I76)</x:f>
        <x:v>249.975</x:v>
      </x:c>
      <x:c r="H76" s="155" t="n">
        <x:f>G76</x:f>
        <x:v>249.975</x:v>
      </x:c>
      <x:c r="I76" s="163" t="str">
        <x:v>البرامج والأنظمة</x:v>
      </x:c>
    </x:row>
    <x:row r="77">
      <x:c r="A77" s="159" t="n">
        <x:f>IF(B77="","",$B$3)</x:f>
        <x:v>46387</x:v>
      </x:c>
      <x:c r="B77" s="163" t="str">
        <x:v>صيدلية لنا ظهرة لبن فرع رقم 36</x:v>
      </x:c>
      <x:c r="C77" s="163" t="str">
        <x:f>IFERROR(INDEX('ربط حسابات الإهلاك'!$B$5:$B$14,MATCH(I77,'ربط حسابات الإهلاك'!$C$5:$C$14,0))&amp;" - "&amp;I77,I77)</x:f>
        <x:v>120101009000 - اجهزة ومعدات طبية</x:v>
      </x:c>
      <x:c r="D77" s="163" t="str">
        <x:f>IFERROR(INDEX('ربط حسابات الإهلاك'!$F$5:$F$14,MATCH(I77,'ربط حسابات الإهلاك'!$C$5:$C$14,0))&amp;" - "&amp;INDEX('ربط حسابات الإهلاك'!$G$5:$G$14,MATCH(I77,'ربط حسابات الإهلاك'!$C$5:$C$14,0)),"غير مرتبط")</x:f>
        <x:v>520401004000 - مصروف إهلاك - اجهزة ومعدات طبية</x:v>
      </x:c>
      <x:c r="E77" s="163" t="str">
        <x:f>IFERROR(INDEX('ربط حسابات الإهلاك'!$D$5:$D$14,MATCH(I77,'ربط حسابات الإهلاك'!$C$5:$C$14,0))&amp;" - "&amp;INDEX('ربط حسابات الإهلاك'!$E$5:$E$14,MATCH(I77,'ربط حسابات الإهلاك'!$C$5:$C$14,0)),"غير مرتبط")</x:f>
        <x:v>120101009002 - مجمع إهلاك - اجهزة ومعدات طبية</x:v>
      </x:c>
      <x:c r="F77" s="163" t="str">
        <x:f>IF(G77=0,"",IF(I77="البرامج والأنظمة","إثبات مصروف ومجمع الإطفاء عن الفترة "&amp;TEXT($B$3,"mm-yyyy")&amp;" - مركز التكلفة: "&amp;B77&amp;" - حساب الأصل: "&amp;I77,"إثبات مصروف ومجمع الإهلاك عن الفترة "&amp;TEXT($B$3,"mm-yyyy")&amp;" - مركز التكلفة: "&amp;B77&amp;" - حساب الأصل: "&amp;I77))</x:f>
      </x:c>
      <x:c r="G77" s="155" t="n">
        <x:f>SUMIFS('جدول الاصول الثابته الجديد'!$L$6:$L$2004,'جدول الاصول الثابته الجديد'!$B$6:$B$2004,B77,'جدول الاصول الثابته الجديد'!$C$6:$C$2004,I77)</x:f>
        <x:v>0</x:v>
      </x:c>
      <x:c r="H77" s="155" t="n">
        <x:f>G77</x:f>
        <x:v>0</x:v>
      </x:c>
      <x:c r="I77" s="163" t="str">
        <x:v>اجهزة ومعدات طبية</x:v>
      </x:c>
    </x:row>
    <x:row r="78">
      <x:c r="A78" s="159" t="n">
        <x:f>IF(B78="","",$B$3)</x:f>
        <x:v>46387</x:v>
      </x:c>
      <x:c r="B78" s="163" t="str">
        <x:v>صيدلية لنا ظهرة لبن فرع رقم 36</x:v>
      </x:c>
      <x:c r="C78" s="163" t="str">
        <x:f>IFERROR(INDEX('ربط حسابات الإهلاك'!$B$5:$B$14,MATCH(I78,'ربط حسابات الإهلاك'!$C$5:$C$14,0))&amp;" - "&amp;I78,I78)</x:f>
        <x:v>120101003000 - السيارات</x:v>
      </x:c>
      <x:c r="D78" s="163" t="str">
        <x:f>IFERROR(INDEX('ربط حسابات الإهلاك'!$F$5:$F$14,MATCH(I78,'ربط حسابات الإهلاك'!$C$5:$C$14,0))&amp;" - "&amp;INDEX('ربط حسابات الإهلاك'!$G$5:$G$14,MATCH(I78,'ربط حسابات الإهلاك'!$C$5:$C$14,0)),"غير مرتبط")</x:f>
        <x:v>520401005000 - مصروف إهلاك - السيارات</x:v>
      </x:c>
      <x:c r="E78" s="163" t="str">
        <x:f>IFERROR(INDEX('ربط حسابات الإهلاك'!$D$5:$D$14,MATCH(I78,'ربط حسابات الإهلاك'!$C$5:$C$14,0))&amp;" - "&amp;INDEX('ربط حسابات الإهلاك'!$E$5:$E$14,MATCH(I78,'ربط حسابات الإهلاك'!$C$5:$C$14,0)),"غير مرتبط")</x:f>
        <x:v>120101003001 - مجمع إهلاك - السيارات</x:v>
      </x:c>
      <x:c r="F78" s="163" t="str">
        <x:f>IF(G78=0,"",IF(I78="البرامج والأنظمة","إثبات مصروف ومجمع الإطفاء عن الفترة "&amp;TEXT($B$3,"mm-yyyy")&amp;" - مركز التكلفة: "&amp;B78&amp;" - حساب الأصل: "&amp;I78,"إثبات مصروف ومجمع الإهلاك عن الفترة "&amp;TEXT($B$3,"mm-yyyy")&amp;" - مركز التكلفة: "&amp;B78&amp;" - حساب الأصل: "&amp;I78))</x:f>
      </x:c>
      <x:c r="G78" s="155" t="n">
        <x:f>SUMIFS('جدول الاصول الثابته الجديد'!$L$6:$L$2004,'جدول الاصول الثابته الجديد'!$B$6:$B$2004,B78,'جدول الاصول الثابته الجديد'!$C$6:$C$2004,I78)</x:f>
        <x:v>0</x:v>
      </x:c>
      <x:c r="H78" s="155" t="n">
        <x:f>G78</x:f>
        <x:v>0</x:v>
      </x:c>
      <x:c r="I78" s="163" t="str">
        <x:v>السيارات</x:v>
      </x:c>
    </x:row>
    <x:row r="79">
      <x:c r="A79" s="159" t="n">
        <x:f>IF(B79="","",$B$3)</x:f>
        <x:v>46387</x:v>
      </x:c>
      <x:c r="B79" s="163" t="str">
        <x:v>صيدلية لنا ظهرة لبن فرع رقم 36</x:v>
      </x:c>
      <x:c r="C79" s="163" t="str">
        <x:f>IFERROR(INDEX('ربط حسابات الإهلاك'!$B$5:$B$14,MATCH(I79,'ربط حسابات الإهلاك'!$C$5:$C$14,0))&amp;" - "&amp;I79,I79)</x:f>
        <x:v>120101005001 - أثاث و مفروشات</x:v>
      </x:c>
      <x:c r="D79" s="163" t="str">
        <x:f>IFERROR(INDEX('ربط حسابات الإهلاك'!$F$5:$F$14,MATCH(I79,'ربط حسابات الإهلاك'!$C$5:$C$14,0))&amp;" - "&amp;INDEX('ربط حسابات الإهلاك'!$G$5:$G$14,MATCH(I79,'ربط حسابات الإهلاك'!$C$5:$C$14,0)),"غير مرتبط")</x:f>
        <x:v>520401006000 - مصروف إهلاك - أثاث و مفروشات</x:v>
      </x:c>
      <x:c r="E79" s="163" t="str">
        <x:f>IFERROR(INDEX('ربط حسابات الإهلاك'!$D$5:$D$14,MATCH(I79,'ربط حسابات الإهلاك'!$C$5:$C$14,0))&amp;" - "&amp;INDEX('ربط حسابات الإهلاك'!$E$5:$E$14,MATCH(I79,'ربط حسابات الإهلاك'!$C$5:$C$14,0)),"غير مرتبط")</x:f>
        <x:v>120101005002 - مجمع إهلاك - أثاث و مفروشات</x:v>
      </x:c>
      <x:c r="F79" s="163" t="str">
        <x:f>IF(G79=0,"",IF(I79="البرامج والأنظمة","إثبات مصروف ومجمع الإطفاء عن الفترة "&amp;TEXT($B$3,"mm-yyyy")&amp;" - مركز التكلفة: "&amp;B79&amp;" - حساب الأصل: "&amp;I79,"إثبات مصروف ومجمع الإهلاك عن الفترة "&amp;TEXT($B$3,"mm-yyyy")&amp;" - مركز التكلفة: "&amp;B79&amp;" - حساب الأصل: "&amp;I79))</x:f>
      </x:c>
      <x:c r="G79" s="155" t="n">
        <x:f>SUMIFS('جدول الاصول الثابته الجديد'!$L$6:$L$2004,'جدول الاصول الثابته الجديد'!$B$6:$B$2004,B79,'جدول الاصول الثابته الجديد'!$C$6:$C$2004,I79)</x:f>
        <x:v>0</x:v>
      </x:c>
      <x:c r="H79" s="155" t="n">
        <x:f>G79</x:f>
        <x:v>0</x:v>
      </x:c>
      <x:c r="I79" s="163" t="str">
        <x:v>أثاث و مفروشات</x:v>
      </x:c>
    </x:row>
    <x:row r="80">
      <x:c r="A80" s="159" t="n">
        <x:f>IF(B80="","",$B$3)</x:f>
        <x:v>46387</x:v>
      </x:c>
      <x:c r="B80" s="163" t="str">
        <x:v>صيدلية لنا ظهرة لبن فرع رقم 36</x:v>
      </x:c>
      <x:c r="C80" s="163" t="str">
        <x:f>IFERROR(INDEX('ربط حسابات الإهلاك'!$B$5:$B$14,MATCH(I80,'ربط حسابات الإهلاك'!$C$5:$C$14,0))&amp;" - "&amp;I80,I80)</x:f>
        <x:v>120101011001 - أثاث و مفروشات السكن</x:v>
      </x:c>
      <x:c r="D80" s="163" t="str">
        <x:f>IFERROR(INDEX('ربط حسابات الإهلاك'!$F$5:$F$14,MATCH(I80,'ربط حسابات الإهلاك'!$C$5:$C$14,0))&amp;" - "&amp;INDEX('ربط حسابات الإهلاك'!$G$5:$G$14,MATCH(I80,'ربط حسابات الإهلاك'!$C$5:$C$14,0)),"غير مرتبط")</x:f>
        <x:v>520401007000 - مصروف إهلاك - أثاث و مفروشات السكن</x:v>
      </x:c>
      <x:c r="E80" s="163" t="str">
        <x:f>IFERROR(INDEX('ربط حسابات الإهلاك'!$D$5:$D$14,MATCH(I80,'ربط حسابات الإهلاك'!$C$5:$C$14,0))&amp;" - "&amp;INDEX('ربط حسابات الإهلاك'!$E$5:$E$14,MATCH(I80,'ربط حسابات الإهلاك'!$C$5:$C$14,0)),"غير مرتبط")</x:f>
        <x:v>120101011002 - مجمع إهلاك - أثاث و مفروشات السكن</x:v>
      </x:c>
      <x:c r="F80" s="163" t="str">
        <x:f>IF(G80=0,"",IF(I80="البرامج والأنظمة","إثبات مصروف ومجمع الإطفاء عن الفترة "&amp;TEXT($B$3,"mm-yyyy")&amp;" - مركز التكلفة: "&amp;B80&amp;" - حساب الأصل: "&amp;I80,"إثبات مصروف ومجمع الإهلاك عن الفترة "&amp;TEXT($B$3,"mm-yyyy")&amp;" - مركز التكلفة: "&amp;B80&amp;" - حساب الأصل: "&amp;I80))</x:f>
      </x:c>
      <x:c r="G80" s="155" t="n">
        <x:f>SUMIFS('جدول الاصول الثابته الجديد'!$L$6:$L$2004,'جدول الاصول الثابته الجديد'!$B$6:$B$2004,B80,'جدول الاصول الثابته الجديد'!$C$6:$C$2004,I80)</x:f>
        <x:v>0</x:v>
      </x:c>
      <x:c r="H80" s="155" t="n">
        <x:f>G80</x:f>
        <x:v>0</x:v>
      </x:c>
      <x:c r="I80" s="163" t="str">
        <x:v>أثاث و مفروشات السكن</x:v>
      </x:c>
    </x:row>
    <x:row r="81">
      <x:c r="A81" s="159" t="n">
        <x:f>IF(B81="","",$B$3)</x:f>
        <x:v>46387</x:v>
      </x:c>
      <x:c r="B81" s="163" t="str">
        <x:v>صيدلية لنا ظهرة لبن فرع رقم 36</x:v>
      </x:c>
      <x:c r="C81" s="163" t="str">
        <x:f>IFERROR(INDEX('ربط حسابات الإهلاك'!$B$5:$B$14,MATCH(I81,'ربط حسابات الإهلاك'!$C$5:$C$14,0))&amp;" - "&amp;I81,I81)</x:f>
        <x:v>120101006001 - الاجهزة الالكترونية والحاسب الالي وملحقاته</x:v>
      </x:c>
      <x:c r="D81" s="163" t="str">
        <x:f>IFERROR(INDEX('ربط حسابات الإهلاك'!$F$5:$F$14,MATCH(I81,'ربط حسابات الإهلاك'!$C$5:$C$14,0))&amp;" - "&amp;INDEX('ربط حسابات الإهلاك'!$G$5:$G$14,MATCH(I81,'ربط حسابات الإهلاك'!$C$5:$C$14,0)),"غير مرتبط")</x:f>
        <x:v>520401009000 - مصروف إهلاك - الاجهزة الالكترونية والحاسب الالي وملحقاته</x:v>
      </x:c>
      <x:c r="E81" s="163" t="str">
        <x:f>IFERROR(INDEX('ربط حسابات الإهلاك'!$D$5:$D$14,MATCH(I81,'ربط حسابات الإهلاك'!$C$5:$C$14,0))&amp;" - "&amp;INDEX('ربط حسابات الإهلاك'!$E$5:$E$14,MATCH(I81,'ربط حسابات الإهلاك'!$C$5:$C$14,0)),"غير مرتبط")</x:f>
        <x:v>120101006002 - مجمع إهلاك - الاجهزة الالكترونية والحاسب الالي وملحقاته</x:v>
      </x:c>
      <x:c r="F81" s="163" t="str">
        <x:f>IF(G81=0,"",IF(I81="البرامج والأنظمة","إثبات مصروف ومجمع الإطفاء عن الفترة "&amp;TEXT($B$3,"mm-yyyy")&amp;" - مركز التكلفة: "&amp;B81&amp;" - حساب الأصل: "&amp;I81,"إثبات مصروف ومجمع الإهلاك عن الفترة "&amp;TEXT($B$3,"mm-yyyy")&amp;" - مركز التكلفة: "&amp;B81&amp;" - حساب الأصل: "&amp;I81))</x:f>
        <x:v>إثبات مصروف ومجمع الإهلاك عن الفترة 12-2026 - مركز التكلفة: صيدلية لنا ظهرة لبن فرع رقم 36 - حساب الأصل: الاجهزة الالكترونية والحاسب الالي وملحقاته</x:v>
      </x:c>
      <x:c r="G81" s="155" t="n">
        <x:f>SUMIFS('جدول الاصول الثابته الجديد'!$L$6:$L$2004,'جدول الاصول الثابته الجديد'!$B$6:$B$2004,B81,'جدول الاصول الثابته الجديد'!$C$6:$C$2004,I81)</x:f>
        <x:v>130.82025000000002</x:v>
      </x:c>
      <x:c r="H81" s="155" t="n">
        <x:f>G81</x:f>
        <x:v>130.82025000000002</x:v>
      </x:c>
      <x:c r="I81" s="163" t="str">
        <x:v>الاجهزة الالكترونية والحاسب الالي وملحقاته</x:v>
      </x:c>
    </x:row>
    <x:row r="82">
      <x:c r="A82" s="159" t="n">
        <x:f>IF(B82="","",$B$3)</x:f>
        <x:v>46387</x:v>
      </x:c>
      <x:c r="B82" s="163" t="str">
        <x:v>صيدلية لنا ظهرة لبن فرع رقم 36</x:v>
      </x:c>
      <x:c r="C82" s="163" t="str">
        <x:f>IFERROR(INDEX('ربط حسابات الإهلاك'!$B$5:$B$14,MATCH(I82,'ربط حسابات الإهلاك'!$C$5:$C$14,0))&amp;" - "&amp;I82,I82)</x:f>
        <x:v>120101007001 - الاجهزة الكهربائية</x:v>
      </x:c>
      <x:c r="D82" s="163" t="str">
        <x:f>IFERROR(INDEX('ربط حسابات الإهلاك'!$F$5:$F$14,MATCH(I82,'ربط حسابات الإهلاك'!$C$5:$C$14,0))&amp;" - "&amp;INDEX('ربط حسابات الإهلاك'!$G$5:$G$14,MATCH(I82,'ربط حسابات الإهلاك'!$C$5:$C$14,0)),"غير مرتبط")</x:f>
        <x:v>520401008000 - مصروف إهلاك - الاجهزة الكهربائية</x:v>
      </x:c>
      <x:c r="E82" s="163" t="str">
        <x:f>IFERROR(INDEX('ربط حسابات الإهلاك'!$D$5:$D$14,MATCH(I82,'ربط حسابات الإهلاك'!$C$5:$C$14,0))&amp;" - "&amp;INDEX('ربط حسابات الإهلاك'!$E$5:$E$14,MATCH(I82,'ربط حسابات الإهلاك'!$C$5:$C$14,0)),"غير مرتبط")</x:f>
        <x:v>120101007002 - مجمع إهلاك - الاجهزة الكهربائية</x:v>
      </x:c>
      <x:c r="F82" s="163" t="str">
        <x:f>IF(G82=0,"",IF(I82="البرامج والأنظمة","إثبات مصروف ومجمع الإطفاء عن الفترة "&amp;TEXT($B$3,"mm-yyyy")&amp;" - مركز التكلفة: "&amp;B82&amp;" - حساب الأصل: "&amp;I82,"إثبات مصروف ومجمع الإهلاك عن الفترة "&amp;TEXT($B$3,"mm-yyyy")&amp;" - مركز التكلفة: "&amp;B82&amp;" - حساب الأصل: "&amp;I82))</x:f>
        <x:v>إثبات مصروف ومجمع الإهلاك عن الفترة 12-2026 - مركز التكلفة: صيدلية لنا ظهرة لبن فرع رقم 36 - حساب الأصل: الاجهزة الكهربائية</x:v>
      </x:c>
      <x:c r="G82" s="155" t="n">
        <x:f>SUMIFS('جدول الاصول الثابته الجديد'!$L$6:$L$2004,'جدول الاصول الثابته الجديد'!$B$6:$B$2004,B82,'جدول الاصول الثابته الجديد'!$C$6:$C$2004,I82)</x:f>
        <x:v>11.443</x:v>
      </x:c>
      <x:c r="H82" s="155" t="n">
        <x:f>G82</x:f>
        <x:v>11.443</x:v>
      </x:c>
      <x:c r="I82" s="163" t="str">
        <x:v>الاجهزة الكهربائية</x:v>
      </x:c>
    </x:row>
    <x:row r="83">
      <x:c r="A83" s="159" t="n">
        <x:f>IF(B83="","",$B$3)</x:f>
        <x:v>46387</x:v>
      </x:c>
      <x:c r="B83" s="163" t="str">
        <x:v>صيدلية لنا ظهرة لبن فرع رقم 36</x:v>
      </x:c>
      <x:c r="C83" s="163" t="str">
        <x:f>IFERROR(INDEX('ربط حسابات الإهلاك'!$B$5:$B$14,MATCH(I83,'ربط حسابات الإهلاك'!$C$5:$C$14,0))&amp;" - "&amp;I83,I83)</x:f>
        <x:v>120101002000 - تحسينات على مباني</x:v>
      </x:c>
      <x:c r="D83" s="163" t="str">
        <x:f>IFERROR(INDEX('ربط حسابات الإهلاك'!$F$5:$F$14,MATCH(I83,'ربط حسابات الإهلاك'!$C$5:$C$14,0))&amp;" - "&amp;INDEX('ربط حسابات الإهلاك'!$G$5:$G$14,MATCH(I83,'ربط حسابات الإهلاك'!$C$5:$C$14,0)),"غير مرتبط")</x:f>
        <x:v>520401001000 - مصروف إهلاك - تحسينات على مباني</x:v>
      </x:c>
      <x:c r="E83" s="163" t="str">
        <x:f>IFERROR(INDEX('ربط حسابات الإهلاك'!$D$5:$D$14,MATCH(I83,'ربط حسابات الإهلاك'!$C$5:$C$14,0))&amp;" - "&amp;INDEX('ربط حسابات الإهلاك'!$E$5:$E$14,MATCH(I83,'ربط حسابات الإهلاك'!$C$5:$C$14,0)),"غير مرتبط")</x:f>
        <x:v>120101002002 - مجمع إهلاك - تحسينات على مباني</x:v>
      </x:c>
      <x:c r="F83" s="163" t="str">
        <x:f>IF(G83=0,"",IF(I83="البرامج والأنظمة","إثبات مصروف ومجمع الإطفاء عن الفترة "&amp;TEXT($B$3,"mm-yyyy")&amp;" - مركز التكلفة: "&amp;B83&amp;" - حساب الأصل: "&amp;I83,"إثبات مصروف ومجمع الإهلاك عن الفترة "&amp;TEXT($B$3,"mm-yyyy")&amp;" - مركز التكلفة: "&amp;B83&amp;" - حساب الأصل: "&amp;I83))</x:f>
      </x:c>
      <x:c r="G83" s="155" t="n">
        <x:f>SUMIFS('جدول الاصول الثابته الجديد'!$L$6:$L$2004,'جدول الاصول الثابته الجديد'!$B$6:$B$2004,B83,'جدول الاصول الثابته الجديد'!$C$6:$C$2004,I83)</x:f>
        <x:v>0</x:v>
      </x:c>
      <x:c r="H83" s="155" t="n">
        <x:f>G83</x:f>
        <x:v>0</x:v>
      </x:c>
      <x:c r="I83" s="163" t="str">
        <x:v>تحسينات على مباني</x:v>
      </x:c>
    </x:row>
    <x:row r="84">
      <x:c r="A84" s="159" t="n">
        <x:f>IF(B84="","",$B$3)</x:f>
        <x:v>46387</x:v>
      </x:c>
      <x:c r="B84" s="163" t="str">
        <x:v>صيدلية لنا ظهرة لبن فرع رقم 36</x:v>
      </x:c>
      <x:c r="C84" s="163" t="str">
        <x:f>IFERROR(INDEX('ربط حسابات الإهلاك'!$B$5:$B$14,MATCH(I84,'ربط حسابات الإهلاك'!$C$5:$C$14,0))&amp;" - "&amp;I84,I84)</x:f>
        <x:v>120101001000 - اجهزة التكييف</x:v>
      </x:c>
      <x:c r="D84" s="163" t="str">
        <x:f>IFERROR(INDEX('ربط حسابات الإهلاك'!$F$5:$F$14,MATCH(I84,'ربط حسابات الإهلاك'!$C$5:$C$14,0))&amp;" - "&amp;INDEX('ربط حسابات الإهلاك'!$G$5:$G$14,MATCH(I84,'ربط حسابات الإهلاك'!$C$5:$C$14,0)),"غير مرتبط")</x:f>
        <x:v>520401002000 - مصروف إهلاك - اجهزة التكييف</x:v>
      </x:c>
      <x:c r="E84" s="163" t="str">
        <x:f>IFERROR(INDEX('ربط حسابات الإهلاك'!$D$5:$D$14,MATCH(I84,'ربط حسابات الإهلاك'!$C$5:$C$14,0))&amp;" - "&amp;INDEX('ربط حسابات الإهلاك'!$E$5:$E$14,MATCH(I84,'ربط حسابات الإهلاك'!$C$5:$C$14,0)),"غير مرتبط")</x:f>
        <x:v>120101001002 - مجمع إهلاك - اجهزة التكييف</x:v>
      </x:c>
      <x:c r="F84" s="163" t="str">
        <x:f>IF(G84=0,"",IF(I84="البرامج والأنظمة","إثبات مصروف ومجمع الإطفاء عن الفترة "&amp;TEXT($B$3,"mm-yyyy")&amp;" - مركز التكلفة: "&amp;B84&amp;" - حساب الأصل: "&amp;I84,"إثبات مصروف ومجمع الإهلاك عن الفترة "&amp;TEXT($B$3,"mm-yyyy")&amp;" - مركز التكلفة: "&amp;B84&amp;" - حساب الأصل: "&amp;I84))</x:f>
      </x:c>
      <x:c r="G84" s="155" t="n">
        <x:f>SUMIFS('جدول الاصول الثابته الجديد'!$L$6:$L$2004,'جدول الاصول الثابته الجديد'!$B$6:$B$2004,B84,'جدول الاصول الثابته الجديد'!$C$6:$C$2004,I84)</x:f>
        <x:v>0</x:v>
      </x:c>
      <x:c r="H84" s="155" t="n">
        <x:f>G84</x:f>
        <x:v>0</x:v>
      </x:c>
      <x:c r="I84" s="163" t="str">
        <x:v>اجهزة التكييف</x:v>
      </x:c>
    </x:row>
    <x:row r="85">
      <x:c r="A85" s="159" t="n">
        <x:f>IF(B85="","",$B$3)</x:f>
        <x:v>46387</x:v>
      </x:c>
      <x:c r="B85" s="163" t="str">
        <x:v>صيدلية لنا ظهرة لبن فرع رقم 36</x:v>
      </x:c>
      <x:c r="C85" s="163" t="str">
        <x:f>IFERROR(INDEX('ربط حسابات الإهلاك'!$B$5:$B$14,MATCH(I85,'ربط حسابات الإهلاك'!$C$5:$C$14,0))&amp;" - "&amp;I85,I85)</x:f>
        <x:v>120101004000 - ديكورات</x:v>
      </x:c>
      <x:c r="D85" s="163" t="str">
        <x:f>IFERROR(INDEX('ربط حسابات الإهلاك'!$F$5:$F$14,MATCH(I85,'ربط حسابات الإهلاك'!$C$5:$C$14,0))&amp;" - "&amp;INDEX('ربط حسابات الإهلاك'!$G$5:$G$14,MATCH(I85,'ربط حسابات الإهلاك'!$C$5:$C$14,0)),"غير مرتبط")</x:f>
        <x:v>520401003000 - مصروف إهلاك - ديكورات</x:v>
      </x:c>
      <x:c r="E85" s="163" t="str">
        <x:f>IFERROR(INDEX('ربط حسابات الإهلاك'!$D$5:$D$14,MATCH(I85,'ربط حسابات الإهلاك'!$C$5:$C$14,0))&amp;" - "&amp;INDEX('ربط حسابات الإهلاك'!$E$5:$E$14,MATCH(I85,'ربط حسابات الإهلاك'!$C$5:$C$14,0)),"غير مرتبط")</x:f>
        <x:v>120101004002 - مجمع إهلاك - ديكورات</x:v>
      </x:c>
      <x:c r="F85" s="163" t="str">
        <x:f>IF(G85=0,"",IF(I85="البرامج والأنظمة","إثبات مصروف ومجمع الإطفاء عن الفترة "&amp;TEXT($B$3,"mm-yyyy")&amp;" - مركز التكلفة: "&amp;B85&amp;" - حساب الأصل: "&amp;I85,"إثبات مصروف ومجمع الإهلاك عن الفترة "&amp;TEXT($B$3,"mm-yyyy")&amp;" - مركز التكلفة: "&amp;B85&amp;" - حساب الأصل: "&amp;I85))</x:f>
      </x:c>
      <x:c r="G85" s="155" t="n">
        <x:f>SUMIFS('جدول الاصول الثابته الجديد'!$L$6:$L$2004,'جدول الاصول الثابته الجديد'!$B$6:$B$2004,B85,'جدول الاصول الثابته الجديد'!$C$6:$C$2004,I85)</x:f>
        <x:v>0</x:v>
      </x:c>
      <x:c r="H85" s="155" t="n">
        <x:f>G85</x:f>
        <x:v>0</x:v>
      </x:c>
      <x:c r="I85" s="163" t="str">
        <x:v>ديكورات</x:v>
      </x:c>
    </x:row>
    <x:row r="86">
      <x:c r="A86" s="159" t="n">
        <x:f>IF(B86="","",$B$3)</x:f>
        <x:v>46387</x:v>
      </x:c>
      <x:c r="B86" s="163" t="str">
        <x:v>صيدلية لنا ظهرة لبن فرع رقم 36</x:v>
      </x:c>
      <x:c r="C86" s="163" t="str">
        <x:f>IFERROR(INDEX('ربط حسابات الإهلاك'!$B$5:$B$14,MATCH(I86,'ربط حسابات الإهلاك'!$C$5:$C$14,0))&amp;" - "&amp;I86,I86)</x:f>
        <x:v>120102001001 - البرامج والأنظمة</x:v>
      </x:c>
      <x:c r="D86" s="163" t="str">
        <x:f>IFERROR(INDEX('ربط حسابات الإهلاك'!$F$5:$F$14,MATCH(I86,'ربط حسابات الإهلاك'!$C$5:$C$14,0))&amp;" - "&amp;INDEX('ربط حسابات الإهلاك'!$G$5:$G$14,MATCH(I86,'ربط حسابات الإهلاك'!$C$5:$C$14,0)),"غير مرتبط")</x:f>
        <x:v>520401010000 - مصروف إطفاء - البرامج والأنظمة</x:v>
      </x:c>
      <x:c r="E86" s="163" t="str">
        <x:f>IFERROR(INDEX('ربط حسابات الإهلاك'!$D$5:$D$14,MATCH(I86,'ربط حسابات الإهلاك'!$C$5:$C$14,0))&amp;" - "&amp;INDEX('ربط حسابات الإهلاك'!$E$5:$E$14,MATCH(I86,'ربط حسابات الإهلاك'!$C$5:$C$14,0)),"غير مرتبط")</x:f>
        <x:v>120102001002 - مجمع إطفاء - البرامج والأنظمة</x:v>
      </x:c>
      <x:c r="F86" s="163" t="str">
        <x:f>IF(G86=0,"",IF(I86="البرامج والأنظمة","إثبات مصروف ومجمع الإطفاء عن الفترة "&amp;TEXT($B$3,"mm-yyyy")&amp;" - مركز التكلفة: "&amp;B86&amp;" - حساب الأصل: "&amp;I86,"إثبات مصروف ومجمع الإهلاك عن الفترة "&amp;TEXT($B$3,"mm-yyyy")&amp;" - مركز التكلفة: "&amp;B86&amp;" - حساب الأصل: "&amp;I86))</x:f>
        <x:v>إثبات مصروف ومجمع الإطفاء عن الفترة 12-2026 - مركز التكلفة: صيدلية لنا ظهرة لبن فرع رقم 36 - حساب الأصل: البرامج والأنظمة</x:v>
      </x:c>
      <x:c r="G86" s="155" t="n">
        <x:f>SUMIFS('جدول الاصول الثابته الجديد'!$L$6:$L$2004,'جدول الاصول الثابته الجديد'!$B$6:$B$2004,B86,'جدول الاصول الثابته الجديد'!$C$6:$C$2004,I86)</x:f>
        <x:v>249.975</x:v>
      </x:c>
      <x:c r="H86" s="155" t="n">
        <x:f>G86</x:f>
        <x:v>249.975</x:v>
      </x:c>
      <x:c r="I86" s="163" t="str">
        <x:v>البرامج والأنظمة</x:v>
      </x:c>
    </x:row>
    <x:row r="87">
      <x:c r="A87" s="159" t="n">
        <x:f>IF(B87="","",$B$3)</x:f>
        <x:v>46387</x:v>
      </x:c>
      <x:c r="B87" s="163" t="str">
        <x:v>صيدلية لنا ظهرة لبن لولو فرع رقم 35</x:v>
      </x:c>
      <x:c r="C87" s="163" t="str">
        <x:f>IFERROR(INDEX('ربط حسابات الإهلاك'!$B$5:$B$14,MATCH(I87,'ربط حسابات الإهلاك'!$C$5:$C$14,0))&amp;" - "&amp;I87,I87)</x:f>
        <x:v>120101009000 - اجهزة ومعدات طبية</x:v>
      </x:c>
      <x:c r="D87" s="163" t="str">
        <x:f>IFERROR(INDEX('ربط حسابات الإهلاك'!$F$5:$F$14,MATCH(I87,'ربط حسابات الإهلاك'!$C$5:$C$14,0))&amp;" - "&amp;INDEX('ربط حسابات الإهلاك'!$G$5:$G$14,MATCH(I87,'ربط حسابات الإهلاك'!$C$5:$C$14,0)),"غير مرتبط")</x:f>
        <x:v>520401004000 - مصروف إهلاك - اجهزة ومعدات طبية</x:v>
      </x:c>
      <x:c r="E87" s="163" t="str">
        <x:f>IFERROR(INDEX('ربط حسابات الإهلاك'!$D$5:$D$14,MATCH(I87,'ربط حسابات الإهلاك'!$C$5:$C$14,0))&amp;" - "&amp;INDEX('ربط حسابات الإهلاك'!$E$5:$E$14,MATCH(I87,'ربط حسابات الإهلاك'!$C$5:$C$14,0)),"غير مرتبط")</x:f>
        <x:v>120101009002 - مجمع إهلاك - اجهزة ومعدات طبية</x:v>
      </x:c>
      <x:c r="F87" s="163" t="str">
        <x:f>IF(G87=0,"",IF(I87="البرامج والأنظمة","إثبات مصروف ومجمع الإطفاء عن الفترة "&amp;TEXT($B$3,"mm-yyyy")&amp;" - مركز التكلفة: "&amp;B87&amp;" - حساب الأصل: "&amp;I87,"إثبات مصروف ومجمع الإهلاك عن الفترة "&amp;TEXT($B$3,"mm-yyyy")&amp;" - مركز التكلفة: "&amp;B87&amp;" - حساب الأصل: "&amp;I87))</x:f>
      </x:c>
      <x:c r="G87" s="155" t="n">
        <x:f>SUMIFS('جدول الاصول الثابته الجديد'!$L$6:$L$2004,'جدول الاصول الثابته الجديد'!$B$6:$B$2004,B87,'جدول الاصول الثابته الجديد'!$C$6:$C$2004,I87)</x:f>
        <x:v>0</x:v>
      </x:c>
      <x:c r="H87" s="155" t="n">
        <x:f>G87</x:f>
        <x:v>0</x:v>
      </x:c>
      <x:c r="I87" s="163" t="str">
        <x:v>اجهزة ومعدات طبية</x:v>
      </x:c>
    </x:row>
    <x:row r="88">
      <x:c r="A88" s="159" t="n">
        <x:f>IF(B88="","",$B$3)</x:f>
        <x:v>46387</x:v>
      </x:c>
      <x:c r="B88" s="163" t="str">
        <x:v>صيدلية لنا ظهرة لبن لولو فرع رقم 35</x:v>
      </x:c>
      <x:c r="C88" s="163" t="str">
        <x:f>IFERROR(INDEX('ربط حسابات الإهلاك'!$B$5:$B$14,MATCH(I88,'ربط حسابات الإهلاك'!$C$5:$C$14,0))&amp;" - "&amp;I88,I88)</x:f>
        <x:v>120101003000 - السيارات</x:v>
      </x:c>
      <x:c r="D88" s="163" t="str">
        <x:f>IFERROR(INDEX('ربط حسابات الإهلاك'!$F$5:$F$14,MATCH(I88,'ربط حسابات الإهلاك'!$C$5:$C$14,0))&amp;" - "&amp;INDEX('ربط حسابات الإهلاك'!$G$5:$G$14,MATCH(I88,'ربط حسابات الإهلاك'!$C$5:$C$14,0)),"غير مرتبط")</x:f>
        <x:v>520401005000 - مصروف إهلاك - السيارات</x:v>
      </x:c>
      <x:c r="E88" s="163" t="str">
        <x:f>IFERROR(INDEX('ربط حسابات الإهلاك'!$D$5:$D$14,MATCH(I88,'ربط حسابات الإهلاك'!$C$5:$C$14,0))&amp;" - "&amp;INDEX('ربط حسابات الإهلاك'!$E$5:$E$14,MATCH(I88,'ربط حسابات الإهلاك'!$C$5:$C$14,0)),"غير مرتبط")</x:f>
        <x:v>120101003001 - مجمع إهلاك - السيارات</x:v>
      </x:c>
      <x:c r="F88" s="163" t="str">
        <x:f>IF(G88=0,"",IF(I88="البرامج والأنظمة","إثبات مصروف ومجمع الإطفاء عن الفترة "&amp;TEXT($B$3,"mm-yyyy")&amp;" - مركز التكلفة: "&amp;B88&amp;" - حساب الأصل: "&amp;I88,"إثبات مصروف ومجمع الإهلاك عن الفترة "&amp;TEXT($B$3,"mm-yyyy")&amp;" - مركز التكلفة: "&amp;B88&amp;" - حساب الأصل: "&amp;I88))</x:f>
      </x:c>
      <x:c r="G88" s="155" t="n">
        <x:f>SUMIFS('جدول الاصول الثابته الجديد'!$L$6:$L$2004,'جدول الاصول الثابته الجديد'!$B$6:$B$2004,B88,'جدول الاصول الثابته الجديد'!$C$6:$C$2004,I88)</x:f>
        <x:v>0</x:v>
      </x:c>
      <x:c r="H88" s="155" t="n">
        <x:f>G88</x:f>
        <x:v>0</x:v>
      </x:c>
      <x:c r="I88" s="163" t="str">
        <x:v>السيارات</x:v>
      </x:c>
    </x:row>
    <x:row r="89">
      <x:c r="A89" s="159" t="n">
        <x:f>IF(B89="","",$B$3)</x:f>
        <x:v>46387</x:v>
      </x:c>
      <x:c r="B89" s="163" t="str">
        <x:v>صيدلية لنا ظهرة لبن لولو فرع رقم 35</x:v>
      </x:c>
      <x:c r="C89" s="163" t="str">
        <x:f>IFERROR(INDEX('ربط حسابات الإهلاك'!$B$5:$B$14,MATCH(I89,'ربط حسابات الإهلاك'!$C$5:$C$14,0))&amp;" - "&amp;I89,I89)</x:f>
        <x:v>120101005001 - أثاث و مفروشات</x:v>
      </x:c>
      <x:c r="D89" s="163" t="str">
        <x:f>IFERROR(INDEX('ربط حسابات الإهلاك'!$F$5:$F$14,MATCH(I89,'ربط حسابات الإهلاك'!$C$5:$C$14,0))&amp;" - "&amp;INDEX('ربط حسابات الإهلاك'!$G$5:$G$14,MATCH(I89,'ربط حسابات الإهلاك'!$C$5:$C$14,0)),"غير مرتبط")</x:f>
        <x:v>520401006000 - مصروف إهلاك - أثاث و مفروشات</x:v>
      </x:c>
      <x:c r="E89" s="163" t="str">
        <x:f>IFERROR(INDEX('ربط حسابات الإهلاك'!$D$5:$D$14,MATCH(I89,'ربط حسابات الإهلاك'!$C$5:$C$14,0))&amp;" - "&amp;INDEX('ربط حسابات الإهلاك'!$E$5:$E$14,MATCH(I89,'ربط حسابات الإهلاك'!$C$5:$C$14,0)),"غير مرتبط")</x:f>
        <x:v>120101005002 - مجمع إهلاك - أثاث و مفروشات</x:v>
      </x:c>
      <x:c r="F89" s="163" t="str">
        <x:f>IF(G89=0,"",IF(I89="البرامج والأنظمة","إثبات مصروف ومجمع الإطفاء عن الفترة "&amp;TEXT($B$3,"mm-yyyy")&amp;" - مركز التكلفة: "&amp;B89&amp;" - حساب الأصل: "&amp;I89,"إثبات مصروف ومجمع الإهلاك عن الفترة "&amp;TEXT($B$3,"mm-yyyy")&amp;" - مركز التكلفة: "&amp;B89&amp;" - حساب الأصل: "&amp;I89))</x:f>
      </x:c>
      <x:c r="G89" s="155" t="n">
        <x:f>SUMIFS('جدول الاصول الثابته الجديد'!$L$6:$L$2004,'جدول الاصول الثابته الجديد'!$B$6:$B$2004,B89,'جدول الاصول الثابته الجديد'!$C$6:$C$2004,I89)</x:f>
        <x:v>0</x:v>
      </x:c>
      <x:c r="H89" s="155" t="n">
        <x:f>G89</x:f>
        <x:v>0</x:v>
      </x:c>
      <x:c r="I89" s="163" t="str">
        <x:v>أثاث و مفروشات</x:v>
      </x:c>
    </x:row>
    <x:row r="90">
      <x:c r="A90" s="159" t="n">
        <x:f>IF(B90="","",$B$3)</x:f>
        <x:v>46387</x:v>
      </x:c>
      <x:c r="B90" s="163" t="str">
        <x:v>صيدلية لنا ظهرة لبن لولو فرع رقم 35</x:v>
      </x:c>
      <x:c r="C90" s="163" t="str">
        <x:f>IFERROR(INDEX('ربط حسابات الإهلاك'!$B$5:$B$14,MATCH(I90,'ربط حسابات الإهلاك'!$C$5:$C$14,0))&amp;" - "&amp;I90,I90)</x:f>
        <x:v>120101011001 - أثاث و مفروشات السكن</x:v>
      </x:c>
      <x:c r="D90" s="163" t="str">
        <x:f>IFERROR(INDEX('ربط حسابات الإهلاك'!$F$5:$F$14,MATCH(I90,'ربط حسابات الإهلاك'!$C$5:$C$14,0))&amp;" - "&amp;INDEX('ربط حسابات الإهلاك'!$G$5:$G$14,MATCH(I90,'ربط حسابات الإهلاك'!$C$5:$C$14,0)),"غير مرتبط")</x:f>
        <x:v>520401007000 - مصروف إهلاك - أثاث و مفروشات السكن</x:v>
      </x:c>
      <x:c r="E90" s="163" t="str">
        <x:f>IFERROR(INDEX('ربط حسابات الإهلاك'!$D$5:$D$14,MATCH(I90,'ربط حسابات الإهلاك'!$C$5:$C$14,0))&amp;" - "&amp;INDEX('ربط حسابات الإهلاك'!$E$5:$E$14,MATCH(I90,'ربط حسابات الإهلاك'!$C$5:$C$14,0)),"غير مرتبط")</x:f>
        <x:v>120101011002 - مجمع إهلاك - أثاث و مفروشات السكن</x:v>
      </x:c>
      <x:c r="F90" s="163" t="str">
        <x:f>IF(G90=0,"",IF(I90="البرامج والأنظمة","إثبات مصروف ومجمع الإطفاء عن الفترة "&amp;TEXT($B$3,"mm-yyyy")&amp;" - مركز التكلفة: "&amp;B90&amp;" - حساب الأصل: "&amp;I90,"إثبات مصروف ومجمع الإهلاك عن الفترة "&amp;TEXT($B$3,"mm-yyyy")&amp;" - مركز التكلفة: "&amp;B90&amp;" - حساب الأصل: "&amp;I90))</x:f>
      </x:c>
      <x:c r="G90" s="155" t="n">
        <x:f>SUMIFS('جدول الاصول الثابته الجديد'!$L$6:$L$2004,'جدول الاصول الثابته الجديد'!$B$6:$B$2004,B90,'جدول الاصول الثابته الجديد'!$C$6:$C$2004,I90)</x:f>
        <x:v>0</x:v>
      </x:c>
      <x:c r="H90" s="155" t="n">
        <x:f>G90</x:f>
        <x:v>0</x:v>
      </x:c>
      <x:c r="I90" s="163" t="str">
        <x:v>أثاث و مفروشات السكن</x:v>
      </x:c>
    </x:row>
    <x:row r="91">
      <x:c r="A91" s="159" t="n">
        <x:f>IF(B91="","",$B$3)</x:f>
        <x:v>46387</x:v>
      </x:c>
      <x:c r="B91" s="163" t="str">
        <x:v>صيدلية لنا ظهرة لبن لولو فرع رقم 35</x:v>
      </x:c>
      <x:c r="C91" s="163" t="str">
        <x:f>IFERROR(INDEX('ربط حسابات الإهلاك'!$B$5:$B$14,MATCH(I91,'ربط حسابات الإهلاك'!$C$5:$C$14,0))&amp;" - "&amp;I91,I91)</x:f>
        <x:v>120101006001 - الاجهزة الالكترونية والحاسب الالي وملحقاته</x:v>
      </x:c>
      <x:c r="D91" s="163" t="str">
        <x:f>IFERROR(INDEX('ربط حسابات الإهلاك'!$F$5:$F$14,MATCH(I91,'ربط حسابات الإهلاك'!$C$5:$C$14,0))&amp;" - "&amp;INDEX('ربط حسابات الإهلاك'!$G$5:$G$14,MATCH(I91,'ربط حسابات الإهلاك'!$C$5:$C$14,0)),"غير مرتبط")</x:f>
        <x:v>520401009000 - مصروف إهلاك - الاجهزة الالكترونية والحاسب الالي وملحقاته</x:v>
      </x:c>
      <x:c r="E91" s="163" t="str">
        <x:f>IFERROR(INDEX('ربط حسابات الإهلاك'!$D$5:$D$14,MATCH(I91,'ربط حسابات الإهلاك'!$C$5:$C$14,0))&amp;" - "&amp;INDEX('ربط حسابات الإهلاك'!$E$5:$E$14,MATCH(I91,'ربط حسابات الإهلاك'!$C$5:$C$14,0)),"غير مرتبط")</x:f>
        <x:v>120101006002 - مجمع إهلاك - الاجهزة الالكترونية والحاسب الالي وملحقاته</x:v>
      </x:c>
      <x:c r="F91" s="163" t="str">
        <x:f>IF(G91=0,"",IF(I91="البرامج والأنظمة","إثبات مصروف ومجمع الإطفاء عن الفترة "&amp;TEXT($B$3,"mm-yyyy")&amp;" - مركز التكلفة: "&amp;B91&amp;" - حساب الأصل: "&amp;I91,"إثبات مصروف ومجمع الإهلاك عن الفترة "&amp;TEXT($B$3,"mm-yyyy")&amp;" - مركز التكلفة: "&amp;B91&amp;" - حساب الأصل: "&amp;I91))</x:f>
        <x:v>إثبات مصروف ومجمع الإهلاك عن الفترة 12-2026 - مركز التكلفة: صيدلية لنا ظهرة لبن لولو فرع رقم 35 - حساب الأصل: الاجهزة الالكترونية والحاسب الالي وملحقاته</x:v>
      </x:c>
      <x:c r="G91" s="155" t="n">
        <x:f>SUMIFS('جدول الاصول الثابته الجديد'!$L$6:$L$2004,'جدول الاصول الثابته الجديد'!$B$6:$B$2004,B91,'جدول الاصول الثابته الجديد'!$C$6:$C$2004,I91)</x:f>
        <x:v>494.23807124999996</x:v>
      </x:c>
      <x:c r="H91" s="155" t="n">
        <x:f>G91</x:f>
        <x:v>494.23807124999996</x:v>
      </x:c>
      <x:c r="I91" s="163" t="str">
        <x:v>الاجهزة الالكترونية والحاسب الالي وملحقاته</x:v>
      </x:c>
    </x:row>
    <x:row r="92">
      <x:c r="A92" s="159" t="n">
        <x:f>IF(B92="","",$B$3)</x:f>
        <x:v>46387</x:v>
      </x:c>
      <x:c r="B92" s="163" t="str">
        <x:v>صيدلية لنا ظهرة لبن لولو فرع رقم 35</x:v>
      </x:c>
      <x:c r="C92" s="163" t="str">
        <x:f>IFERROR(INDEX('ربط حسابات الإهلاك'!$B$5:$B$14,MATCH(I92,'ربط حسابات الإهلاك'!$C$5:$C$14,0))&amp;" - "&amp;I92,I92)</x:f>
        <x:v>120101007001 - الاجهزة الكهربائية</x:v>
      </x:c>
      <x:c r="D92" s="163" t="str">
        <x:f>IFERROR(INDEX('ربط حسابات الإهلاك'!$F$5:$F$14,MATCH(I92,'ربط حسابات الإهلاك'!$C$5:$C$14,0))&amp;" - "&amp;INDEX('ربط حسابات الإهلاك'!$G$5:$G$14,MATCH(I92,'ربط حسابات الإهلاك'!$C$5:$C$14,0)),"غير مرتبط")</x:f>
        <x:v>520401008000 - مصروف إهلاك - الاجهزة الكهربائية</x:v>
      </x:c>
      <x:c r="E92" s="163" t="str">
        <x:f>IFERROR(INDEX('ربط حسابات الإهلاك'!$D$5:$D$14,MATCH(I92,'ربط حسابات الإهلاك'!$C$5:$C$14,0))&amp;" - "&amp;INDEX('ربط حسابات الإهلاك'!$E$5:$E$14,MATCH(I92,'ربط حسابات الإهلاك'!$C$5:$C$14,0)),"غير مرتبط")</x:f>
        <x:v>120101007002 - مجمع إهلاك - الاجهزة الكهربائية</x:v>
      </x:c>
      <x:c r="F92" s="163" t="str">
        <x:f>IF(G92=0,"",IF(I92="البرامج والأنظمة","إثبات مصروف ومجمع الإطفاء عن الفترة "&amp;TEXT($B$3,"mm-yyyy")&amp;" - مركز التكلفة: "&amp;B92&amp;" - حساب الأصل: "&amp;I92,"إثبات مصروف ومجمع الإهلاك عن الفترة "&amp;TEXT($B$3,"mm-yyyy")&amp;" - مركز التكلفة: "&amp;B92&amp;" - حساب الأصل: "&amp;I92))</x:f>
        <x:v>إثبات مصروف ومجمع الإهلاك عن الفترة 12-2026 - مركز التكلفة: صيدلية لنا ظهرة لبن لولو فرع رقم 35 - حساب الأصل: الاجهزة الكهربائية</x:v>
      </x:c>
      <x:c r="G92" s="155" t="n">
        <x:f>SUMIFS('جدول الاصول الثابته الجديد'!$L$6:$L$2004,'جدول الاصول الثابته الجديد'!$B$6:$B$2004,B92,'جدول الاصول الثابته الجديد'!$C$6:$C$2004,I92)</x:f>
        <x:v>11.443</x:v>
      </x:c>
      <x:c r="H92" s="155" t="n">
        <x:f>G92</x:f>
        <x:v>11.443</x:v>
      </x:c>
      <x:c r="I92" s="163" t="str">
        <x:v>الاجهزة الكهربائية</x:v>
      </x:c>
    </x:row>
    <x:row r="93">
      <x:c r="A93" s="159" t="n">
        <x:f>IF(B93="","",$B$3)</x:f>
        <x:v>46387</x:v>
      </x:c>
      <x:c r="B93" s="163" t="str">
        <x:v>صيدلية لنا ظهرة لبن لولو فرع رقم 35</x:v>
      </x:c>
      <x:c r="C93" s="163" t="str">
        <x:f>IFERROR(INDEX('ربط حسابات الإهلاك'!$B$5:$B$14,MATCH(I93,'ربط حسابات الإهلاك'!$C$5:$C$14,0))&amp;" - "&amp;I93,I93)</x:f>
        <x:v>120101002000 - تحسينات على مباني</x:v>
      </x:c>
      <x:c r="D93" s="163" t="str">
        <x:f>IFERROR(INDEX('ربط حسابات الإهلاك'!$F$5:$F$14,MATCH(I93,'ربط حسابات الإهلاك'!$C$5:$C$14,0))&amp;" - "&amp;INDEX('ربط حسابات الإهلاك'!$G$5:$G$14,MATCH(I93,'ربط حسابات الإهلاك'!$C$5:$C$14,0)),"غير مرتبط")</x:f>
        <x:v>520401001000 - مصروف إهلاك - تحسينات على مباني</x:v>
      </x:c>
      <x:c r="E93" s="163" t="str">
        <x:f>IFERROR(INDEX('ربط حسابات الإهلاك'!$D$5:$D$14,MATCH(I93,'ربط حسابات الإهلاك'!$C$5:$C$14,0))&amp;" - "&amp;INDEX('ربط حسابات الإهلاك'!$E$5:$E$14,MATCH(I93,'ربط حسابات الإهلاك'!$C$5:$C$14,0)),"غير مرتبط")</x:f>
        <x:v>120101002002 - مجمع إهلاك - تحسينات على مباني</x:v>
      </x:c>
      <x:c r="F93" s="163" t="str">
        <x:f>IF(G93=0,"",IF(I93="البرامج والأنظمة","إثبات مصروف ومجمع الإطفاء عن الفترة "&amp;TEXT($B$3,"mm-yyyy")&amp;" - مركز التكلفة: "&amp;B93&amp;" - حساب الأصل: "&amp;I93,"إثبات مصروف ومجمع الإهلاك عن الفترة "&amp;TEXT($B$3,"mm-yyyy")&amp;" - مركز التكلفة: "&amp;B93&amp;" - حساب الأصل: "&amp;I93))</x:f>
      </x:c>
      <x:c r="G93" s="155" t="n">
        <x:f>SUMIFS('جدول الاصول الثابته الجديد'!$L$6:$L$2004,'جدول الاصول الثابته الجديد'!$B$6:$B$2004,B93,'جدول الاصول الثابته الجديد'!$C$6:$C$2004,I93)</x:f>
        <x:v>0</x:v>
      </x:c>
      <x:c r="H93" s="155" t="n">
        <x:f>G93</x:f>
        <x:v>0</x:v>
      </x:c>
      <x:c r="I93" s="163" t="str">
        <x:v>تحسينات على مباني</x:v>
      </x:c>
    </x:row>
    <x:row r="94">
      <x:c r="A94" s="159" t="n">
        <x:f>IF(B94="","",$B$3)</x:f>
        <x:v>46387</x:v>
      </x:c>
      <x:c r="B94" s="163" t="str">
        <x:v>صيدلية لنا ظهرة لبن لولو فرع رقم 35</x:v>
      </x:c>
      <x:c r="C94" s="163" t="str">
        <x:f>IFERROR(INDEX('ربط حسابات الإهلاك'!$B$5:$B$14,MATCH(I94,'ربط حسابات الإهلاك'!$C$5:$C$14,0))&amp;" - "&amp;I94,I94)</x:f>
        <x:v>120101001000 - اجهزة التكييف</x:v>
      </x:c>
      <x:c r="D94" s="163" t="str">
        <x:f>IFERROR(INDEX('ربط حسابات الإهلاك'!$F$5:$F$14,MATCH(I94,'ربط حسابات الإهلاك'!$C$5:$C$14,0))&amp;" - "&amp;INDEX('ربط حسابات الإهلاك'!$G$5:$G$14,MATCH(I94,'ربط حسابات الإهلاك'!$C$5:$C$14,0)),"غير مرتبط")</x:f>
        <x:v>520401002000 - مصروف إهلاك - اجهزة التكييف</x:v>
      </x:c>
      <x:c r="E94" s="163" t="str">
        <x:f>IFERROR(INDEX('ربط حسابات الإهلاك'!$D$5:$D$14,MATCH(I94,'ربط حسابات الإهلاك'!$C$5:$C$14,0))&amp;" - "&amp;INDEX('ربط حسابات الإهلاك'!$E$5:$E$14,MATCH(I94,'ربط حسابات الإهلاك'!$C$5:$C$14,0)),"غير مرتبط")</x:f>
        <x:v>120101001002 - مجمع إهلاك - اجهزة التكييف</x:v>
      </x:c>
      <x:c r="F94" s="163" t="str">
        <x:f>IF(G94=0,"",IF(I94="البرامج والأنظمة","إثبات مصروف ومجمع الإطفاء عن الفترة "&amp;TEXT($B$3,"mm-yyyy")&amp;" - مركز التكلفة: "&amp;B94&amp;" - حساب الأصل: "&amp;I94,"إثبات مصروف ومجمع الإهلاك عن الفترة "&amp;TEXT($B$3,"mm-yyyy")&amp;" - مركز التكلفة: "&amp;B94&amp;" - حساب الأصل: "&amp;I94))</x:f>
      </x:c>
      <x:c r="G94" s="155" t="n">
        <x:f>SUMIFS('جدول الاصول الثابته الجديد'!$L$6:$L$2004,'جدول الاصول الثابته الجديد'!$B$6:$B$2004,B94,'جدول الاصول الثابته الجديد'!$C$6:$C$2004,I94)</x:f>
        <x:v>0</x:v>
      </x:c>
      <x:c r="H94" s="155" t="n">
        <x:f>G94</x:f>
        <x:v>0</x:v>
      </x:c>
      <x:c r="I94" s="163" t="str">
        <x:v>اجهزة التكييف</x:v>
      </x:c>
    </x:row>
    <x:row r="95">
      <x:c r="A95" s="159" t="n">
        <x:f>IF(B95="","",$B$3)</x:f>
        <x:v>46387</x:v>
      </x:c>
      <x:c r="B95" s="163" t="str">
        <x:v>صيدلية لنا ظهرة لبن لولو فرع رقم 35</x:v>
      </x:c>
      <x:c r="C95" s="163" t="str">
        <x:f>IFERROR(INDEX('ربط حسابات الإهلاك'!$B$5:$B$14,MATCH(I95,'ربط حسابات الإهلاك'!$C$5:$C$14,0))&amp;" - "&amp;I95,I95)</x:f>
        <x:v>120101004000 - ديكورات</x:v>
      </x:c>
      <x:c r="D95" s="163" t="str">
        <x:f>IFERROR(INDEX('ربط حسابات الإهلاك'!$F$5:$F$14,MATCH(I95,'ربط حسابات الإهلاك'!$C$5:$C$14,0))&amp;" - "&amp;INDEX('ربط حسابات الإهلاك'!$G$5:$G$14,MATCH(I95,'ربط حسابات الإهلاك'!$C$5:$C$14,0)),"غير مرتبط")</x:f>
        <x:v>520401003000 - مصروف إهلاك - ديكورات</x:v>
      </x:c>
      <x:c r="E95" s="163" t="str">
        <x:f>IFERROR(INDEX('ربط حسابات الإهلاك'!$D$5:$D$14,MATCH(I95,'ربط حسابات الإهلاك'!$C$5:$C$14,0))&amp;" - "&amp;INDEX('ربط حسابات الإهلاك'!$E$5:$E$14,MATCH(I95,'ربط حسابات الإهلاك'!$C$5:$C$14,0)),"غير مرتبط")</x:f>
        <x:v>120101004002 - مجمع إهلاك - ديكورات</x:v>
      </x:c>
      <x:c r="F95" s="163" t="str">
        <x:f>IF(G95=0,"",IF(I95="البرامج والأنظمة","إثبات مصروف ومجمع الإطفاء عن الفترة "&amp;TEXT($B$3,"mm-yyyy")&amp;" - مركز التكلفة: "&amp;B95&amp;" - حساب الأصل: "&amp;I95,"إثبات مصروف ومجمع الإهلاك عن الفترة "&amp;TEXT($B$3,"mm-yyyy")&amp;" - مركز التكلفة: "&amp;B95&amp;" - حساب الأصل: "&amp;I95))</x:f>
      </x:c>
      <x:c r="G95" s="155" t="n">
        <x:f>SUMIFS('جدول الاصول الثابته الجديد'!$L$6:$L$2004,'جدول الاصول الثابته الجديد'!$B$6:$B$2004,B95,'جدول الاصول الثابته الجديد'!$C$6:$C$2004,I95)</x:f>
        <x:v>0</x:v>
      </x:c>
      <x:c r="H95" s="155" t="n">
        <x:f>G95</x:f>
        <x:v>0</x:v>
      </x:c>
      <x:c r="I95" s="163" t="str">
        <x:v>ديكورات</x:v>
      </x:c>
    </x:row>
    <x:row r="96">
      <x:c r="A96" s="159" t="n">
        <x:f>IF(B96="","",$B$3)</x:f>
        <x:v>46387</x:v>
      </x:c>
      <x:c r="B96" s="163" t="str">
        <x:v>صيدلية لنا ظهرة لبن لولو فرع رقم 35</x:v>
      </x:c>
      <x:c r="C96" s="163" t="str">
        <x:f>IFERROR(INDEX('ربط حسابات الإهلاك'!$B$5:$B$14,MATCH(I96,'ربط حسابات الإهلاك'!$C$5:$C$14,0))&amp;" - "&amp;I96,I96)</x:f>
        <x:v>120102001001 - البرامج والأنظمة</x:v>
      </x:c>
      <x:c r="D96" s="163" t="str">
        <x:f>IFERROR(INDEX('ربط حسابات الإهلاك'!$F$5:$F$14,MATCH(I96,'ربط حسابات الإهلاك'!$C$5:$C$14,0))&amp;" - "&amp;INDEX('ربط حسابات الإهلاك'!$G$5:$G$14,MATCH(I96,'ربط حسابات الإهلاك'!$C$5:$C$14,0)),"غير مرتبط")</x:f>
        <x:v>520401010000 - مصروف إطفاء - البرامج والأنظمة</x:v>
      </x:c>
      <x:c r="E96" s="163" t="str">
        <x:f>IFERROR(INDEX('ربط حسابات الإهلاك'!$D$5:$D$14,MATCH(I96,'ربط حسابات الإهلاك'!$C$5:$C$14,0))&amp;" - "&amp;INDEX('ربط حسابات الإهلاك'!$E$5:$E$14,MATCH(I96,'ربط حسابات الإهلاك'!$C$5:$C$14,0)),"غير مرتبط")</x:f>
        <x:v>120102001002 - مجمع إطفاء - البرامج والأنظمة</x:v>
      </x:c>
      <x:c r="F96" s="163" t="str">
        <x:f>IF(G96=0,"",IF(I96="البرامج والأنظمة","إثبات مصروف ومجمع الإطفاء عن الفترة "&amp;TEXT($B$3,"mm-yyyy")&amp;" - مركز التكلفة: "&amp;B96&amp;" - حساب الأصل: "&amp;I96,"إثبات مصروف ومجمع الإهلاك عن الفترة "&amp;TEXT($B$3,"mm-yyyy")&amp;" - مركز التكلفة: "&amp;B96&amp;" - حساب الأصل: "&amp;I96))</x:f>
        <x:v>إثبات مصروف ومجمع الإطفاء عن الفترة 12-2026 - مركز التكلفة: صيدلية لنا ظهرة لبن لولو فرع رقم 35 - حساب الأصل: البرامج والأنظمة</x:v>
      </x:c>
      <x:c r="G96" s="155" t="n">
        <x:f>SUMIFS('جدول الاصول الثابته الجديد'!$L$6:$L$2004,'جدول الاصول الثابته الجديد'!$B$6:$B$2004,B96,'جدول الاصول الثابته الجديد'!$C$6:$C$2004,I96)</x:f>
        <x:v>249.975</x:v>
      </x:c>
      <x:c r="H96" s="155" t="n">
        <x:f>G96</x:f>
        <x:v>249.975</x:v>
      </x:c>
      <x:c r="I96" s="163" t="str">
        <x:v>البرامج والأنظمة</x:v>
      </x:c>
    </x:row>
    <x:row r="97">
      <x:c r="A97" s="159" t="n">
        <x:f>IF(B97="","",$B$3)</x:f>
        <x:v>46387</x:v>
      </x:c>
      <x:c r="B97" s="163" t="str">
        <x:v>صيدلية لنا فرع المهدية 31</x:v>
      </x:c>
      <x:c r="C97" s="163" t="str">
        <x:f>IFERROR(INDEX('ربط حسابات الإهلاك'!$B$5:$B$14,MATCH(I97,'ربط حسابات الإهلاك'!$C$5:$C$14,0))&amp;" - "&amp;I97,I97)</x:f>
        <x:v>120101009000 - اجهزة ومعدات طبية</x:v>
      </x:c>
      <x:c r="D97" s="163" t="str">
        <x:f>IFERROR(INDEX('ربط حسابات الإهلاك'!$F$5:$F$14,MATCH(I97,'ربط حسابات الإهلاك'!$C$5:$C$14,0))&amp;" - "&amp;INDEX('ربط حسابات الإهلاك'!$G$5:$G$14,MATCH(I97,'ربط حسابات الإهلاك'!$C$5:$C$14,0)),"غير مرتبط")</x:f>
        <x:v>520401004000 - مصروف إهلاك - اجهزة ومعدات طبية</x:v>
      </x:c>
      <x:c r="E97" s="163" t="str">
        <x:f>IFERROR(INDEX('ربط حسابات الإهلاك'!$D$5:$D$14,MATCH(I97,'ربط حسابات الإهلاك'!$C$5:$C$14,0))&amp;" - "&amp;INDEX('ربط حسابات الإهلاك'!$E$5:$E$14,MATCH(I97,'ربط حسابات الإهلاك'!$C$5:$C$14,0)),"غير مرتبط")</x:f>
        <x:v>120101009002 - مجمع إهلاك - اجهزة ومعدات طبية</x:v>
      </x:c>
      <x:c r="F97" s="163" t="str">
        <x:f>IF(G97=0,"",IF(I97="البرامج والأنظمة","إثبات مصروف ومجمع الإطفاء عن الفترة "&amp;TEXT($B$3,"mm-yyyy")&amp;" - مركز التكلفة: "&amp;B97&amp;" - حساب الأصل: "&amp;I97,"إثبات مصروف ومجمع الإهلاك عن الفترة "&amp;TEXT($B$3,"mm-yyyy")&amp;" - مركز التكلفة: "&amp;B97&amp;" - حساب الأصل: "&amp;I97))</x:f>
      </x:c>
      <x:c r="G97" s="155" t="n">
        <x:f>SUMIFS('جدول الاصول الثابته الجديد'!$L$6:$L$2004,'جدول الاصول الثابته الجديد'!$B$6:$B$2004,B97,'جدول الاصول الثابته الجديد'!$C$6:$C$2004,I97)</x:f>
        <x:v>0</x:v>
      </x:c>
      <x:c r="H97" s="155" t="n">
        <x:f>G97</x:f>
        <x:v>0</x:v>
      </x:c>
      <x:c r="I97" s="163" t="str">
        <x:v>اجهزة ومعدات طبية</x:v>
      </x:c>
    </x:row>
    <x:row r="98">
      <x:c r="A98" s="159" t="n">
        <x:f>IF(B98="","",$B$3)</x:f>
        <x:v>46387</x:v>
      </x:c>
      <x:c r="B98" s="163" t="str">
        <x:v>صيدلية لنا فرع المهدية 31</x:v>
      </x:c>
      <x:c r="C98" s="163" t="str">
        <x:f>IFERROR(INDEX('ربط حسابات الإهلاك'!$B$5:$B$14,MATCH(I98,'ربط حسابات الإهلاك'!$C$5:$C$14,0))&amp;" - "&amp;I98,I98)</x:f>
        <x:v>120101003000 - السيارات</x:v>
      </x:c>
      <x:c r="D98" s="163" t="str">
        <x:f>IFERROR(INDEX('ربط حسابات الإهلاك'!$F$5:$F$14,MATCH(I98,'ربط حسابات الإهلاك'!$C$5:$C$14,0))&amp;" - "&amp;INDEX('ربط حسابات الإهلاك'!$G$5:$G$14,MATCH(I98,'ربط حسابات الإهلاك'!$C$5:$C$14,0)),"غير مرتبط")</x:f>
        <x:v>520401005000 - مصروف إهلاك - السيارات</x:v>
      </x:c>
      <x:c r="E98" s="163" t="str">
        <x:f>IFERROR(INDEX('ربط حسابات الإهلاك'!$D$5:$D$14,MATCH(I98,'ربط حسابات الإهلاك'!$C$5:$C$14,0))&amp;" - "&amp;INDEX('ربط حسابات الإهلاك'!$E$5:$E$14,MATCH(I98,'ربط حسابات الإهلاك'!$C$5:$C$14,0)),"غير مرتبط")</x:f>
        <x:v>120101003001 - مجمع إهلاك - السيارات</x:v>
      </x:c>
      <x:c r="F98" s="163" t="str">
        <x:f>IF(G98=0,"",IF(I98="البرامج والأنظمة","إثبات مصروف ومجمع الإطفاء عن الفترة "&amp;TEXT($B$3,"mm-yyyy")&amp;" - مركز التكلفة: "&amp;B98&amp;" - حساب الأصل: "&amp;I98,"إثبات مصروف ومجمع الإهلاك عن الفترة "&amp;TEXT($B$3,"mm-yyyy")&amp;" - مركز التكلفة: "&amp;B98&amp;" - حساب الأصل: "&amp;I98))</x:f>
      </x:c>
      <x:c r="G98" s="155" t="n">
        <x:f>SUMIFS('جدول الاصول الثابته الجديد'!$L$6:$L$2004,'جدول الاصول الثابته الجديد'!$B$6:$B$2004,B98,'جدول الاصول الثابته الجديد'!$C$6:$C$2004,I98)</x:f>
        <x:v>0</x:v>
      </x:c>
      <x:c r="H98" s="155" t="n">
        <x:f>G98</x:f>
        <x:v>0</x:v>
      </x:c>
      <x:c r="I98" s="163" t="str">
        <x:v>السيارات</x:v>
      </x:c>
    </x:row>
    <x:row r="99">
      <x:c r="A99" s="159" t="n">
        <x:f>IF(B99="","",$B$3)</x:f>
        <x:v>46387</x:v>
      </x:c>
      <x:c r="B99" s="163" t="str">
        <x:v>صيدلية لنا فرع المهدية 31</x:v>
      </x:c>
      <x:c r="C99" s="163" t="str">
        <x:f>IFERROR(INDEX('ربط حسابات الإهلاك'!$B$5:$B$14,MATCH(I99,'ربط حسابات الإهلاك'!$C$5:$C$14,0))&amp;" - "&amp;I99,I99)</x:f>
        <x:v>120101005001 - أثاث و مفروشات</x:v>
      </x:c>
      <x:c r="D99" s="163" t="str">
        <x:f>IFERROR(INDEX('ربط حسابات الإهلاك'!$F$5:$F$14,MATCH(I99,'ربط حسابات الإهلاك'!$C$5:$C$14,0))&amp;" - "&amp;INDEX('ربط حسابات الإهلاك'!$G$5:$G$14,MATCH(I99,'ربط حسابات الإهلاك'!$C$5:$C$14,0)),"غير مرتبط")</x:f>
        <x:v>520401006000 - مصروف إهلاك - أثاث و مفروشات</x:v>
      </x:c>
      <x:c r="E99" s="163" t="str">
        <x:f>IFERROR(INDEX('ربط حسابات الإهلاك'!$D$5:$D$14,MATCH(I99,'ربط حسابات الإهلاك'!$C$5:$C$14,0))&amp;" - "&amp;INDEX('ربط حسابات الإهلاك'!$E$5:$E$14,MATCH(I99,'ربط حسابات الإهلاك'!$C$5:$C$14,0)),"غير مرتبط")</x:f>
        <x:v>120101005002 - مجمع إهلاك - أثاث و مفروشات</x:v>
      </x:c>
      <x:c r="F99" s="163" t="str">
        <x:f>IF(G99=0,"",IF(I99="البرامج والأنظمة","إثبات مصروف ومجمع الإطفاء عن الفترة "&amp;TEXT($B$3,"mm-yyyy")&amp;" - مركز التكلفة: "&amp;B99&amp;" - حساب الأصل: "&amp;I99,"إثبات مصروف ومجمع الإهلاك عن الفترة "&amp;TEXT($B$3,"mm-yyyy")&amp;" - مركز التكلفة: "&amp;B99&amp;" - حساب الأصل: "&amp;I99))</x:f>
      </x:c>
      <x:c r="G99" s="155" t="n">
        <x:f>SUMIFS('جدول الاصول الثابته الجديد'!$L$6:$L$2004,'جدول الاصول الثابته الجديد'!$B$6:$B$2004,B99,'جدول الاصول الثابته الجديد'!$C$6:$C$2004,I99)</x:f>
        <x:v>0</x:v>
      </x:c>
      <x:c r="H99" s="155" t="n">
        <x:f>G99</x:f>
        <x:v>0</x:v>
      </x:c>
      <x:c r="I99" s="163" t="str">
        <x:v>أثاث و مفروشات</x:v>
      </x:c>
    </x:row>
    <x:row r="100">
      <x:c r="A100" s="159" t="n">
        <x:f>IF(B100="","",$B$3)</x:f>
        <x:v>46387</x:v>
      </x:c>
      <x:c r="B100" s="163" t="str">
        <x:v>صيدلية لنا فرع المهدية 31</x:v>
      </x:c>
      <x:c r="C100" s="163" t="str">
        <x:f>IFERROR(INDEX('ربط حسابات الإهلاك'!$B$5:$B$14,MATCH(I100,'ربط حسابات الإهلاك'!$C$5:$C$14,0))&amp;" - "&amp;I100,I100)</x:f>
        <x:v>120101011001 - أثاث و مفروشات السكن</x:v>
      </x:c>
      <x:c r="D100" s="163" t="str">
        <x:f>IFERROR(INDEX('ربط حسابات الإهلاك'!$F$5:$F$14,MATCH(I100,'ربط حسابات الإهلاك'!$C$5:$C$14,0))&amp;" - "&amp;INDEX('ربط حسابات الإهلاك'!$G$5:$G$14,MATCH(I100,'ربط حسابات الإهلاك'!$C$5:$C$14,0)),"غير مرتبط")</x:f>
        <x:v>520401007000 - مصروف إهلاك - أثاث و مفروشات السكن</x:v>
      </x:c>
      <x:c r="E100" s="163" t="str">
        <x:f>IFERROR(INDEX('ربط حسابات الإهلاك'!$D$5:$D$14,MATCH(I100,'ربط حسابات الإهلاك'!$C$5:$C$14,0))&amp;" - "&amp;INDEX('ربط حسابات الإهلاك'!$E$5:$E$14,MATCH(I100,'ربط حسابات الإهلاك'!$C$5:$C$14,0)),"غير مرتبط")</x:f>
        <x:v>120101011002 - مجمع إهلاك - أثاث و مفروشات السكن</x:v>
      </x:c>
      <x:c r="F100" s="163" t="str">
        <x:f>IF(G100=0,"",IF(I100="البرامج والأنظمة","إثبات مصروف ومجمع الإطفاء عن الفترة "&amp;TEXT($B$3,"mm-yyyy")&amp;" - مركز التكلفة: "&amp;B100&amp;" - حساب الأصل: "&amp;I100,"إثبات مصروف ومجمع الإهلاك عن الفترة "&amp;TEXT($B$3,"mm-yyyy")&amp;" - مركز التكلفة: "&amp;B100&amp;" - حساب الأصل: "&amp;I100))</x:f>
        <x:v>إثبات مصروف ومجمع الإهلاك عن الفترة 12-2026 - مركز التكلفة: صيدلية لنا فرع المهدية 31 - حساب الأصل: أثاث و مفروشات السكن</x:v>
      </x:c>
      <x:c r="G100" s="155" t="n">
        <x:f>SUMIFS('جدول الاصول الثابته الجديد'!$L$6:$L$2004,'جدول الاصول الثابته الجديد'!$B$6:$B$2004,B100,'جدول الاصول الثابته الجديد'!$C$6:$C$2004,I100)</x:f>
        <x:v>12.319</x:v>
      </x:c>
      <x:c r="H100" s="155" t="n">
        <x:f>G100</x:f>
        <x:v>12.319</x:v>
      </x:c>
      <x:c r="I100" s="163" t="str">
        <x:v>أثاث و مفروشات السكن</x:v>
      </x:c>
    </x:row>
    <x:row r="101">
      <x:c r="A101" s="159" t="n">
        <x:f>IF(B101="","",$B$3)</x:f>
        <x:v>46387</x:v>
      </x:c>
      <x:c r="B101" s="163" t="str">
        <x:v>صيدلية لنا فرع المهدية 31</x:v>
      </x:c>
      <x:c r="C101" s="163" t="str">
        <x:f>IFERROR(INDEX('ربط حسابات الإهلاك'!$B$5:$B$14,MATCH(I101,'ربط حسابات الإهلاك'!$C$5:$C$14,0))&amp;" - "&amp;I101,I101)</x:f>
        <x:v>120101006001 - الاجهزة الالكترونية والحاسب الالي وملحقاته</x:v>
      </x:c>
      <x:c r="D101" s="163" t="str">
        <x:f>IFERROR(INDEX('ربط حسابات الإهلاك'!$F$5:$F$14,MATCH(I101,'ربط حسابات الإهلاك'!$C$5:$C$14,0))&amp;" - "&amp;INDEX('ربط حسابات الإهلاك'!$G$5:$G$14,MATCH(I101,'ربط حسابات الإهلاك'!$C$5:$C$14,0)),"غير مرتبط")</x:f>
        <x:v>520401009000 - مصروف إهلاك - الاجهزة الالكترونية والحاسب الالي وملحقاته</x:v>
      </x:c>
      <x:c r="E101" s="163" t="str">
        <x:f>IFERROR(INDEX('ربط حسابات الإهلاك'!$D$5:$D$14,MATCH(I101,'ربط حسابات الإهلاك'!$C$5:$C$14,0))&amp;" - "&amp;INDEX('ربط حسابات الإهلاك'!$E$5:$E$14,MATCH(I101,'ربط حسابات الإهلاك'!$C$5:$C$14,0)),"غير مرتبط")</x:f>
        <x:v>120101006002 - مجمع إهلاك - الاجهزة الالكترونية والحاسب الالي وملحقاته</x:v>
      </x:c>
      <x:c r="F101" s="163" t="str">
        <x:f>IF(G101=0,"",IF(I101="البرامج والأنظمة","إثبات مصروف ومجمع الإطفاء عن الفترة "&amp;TEXT($B$3,"mm-yyyy")&amp;" - مركز التكلفة: "&amp;B101&amp;" - حساب الأصل: "&amp;I101,"إثبات مصروف ومجمع الإهلاك عن الفترة "&amp;TEXT($B$3,"mm-yyyy")&amp;" - مركز التكلفة: "&amp;B101&amp;" - حساب الأصل: "&amp;I101))</x:f>
      </x:c>
      <x:c r="G101" s="155" t="n">
        <x:f>SUMIFS('جدول الاصول الثابته الجديد'!$L$6:$L$2004,'جدول الاصول الثابته الجديد'!$B$6:$B$2004,B101,'جدول الاصول الثابته الجديد'!$C$6:$C$2004,I101)</x:f>
        <x:v>0</x:v>
      </x:c>
      <x:c r="H101" s="155" t="n">
        <x:f>G101</x:f>
        <x:v>0</x:v>
      </x:c>
      <x:c r="I101" s="163" t="str">
        <x:v>الاجهزة الالكترونية والحاسب الالي وملحقاته</x:v>
      </x:c>
    </x:row>
    <x:row r="102">
      <x:c r="A102" s="159" t="n">
        <x:f>IF(B102="","",$B$3)</x:f>
        <x:v>46387</x:v>
      </x:c>
      <x:c r="B102" s="163" t="str">
        <x:v>صيدلية لنا فرع المهدية 31</x:v>
      </x:c>
      <x:c r="C102" s="163" t="str">
        <x:f>IFERROR(INDEX('ربط حسابات الإهلاك'!$B$5:$B$14,MATCH(I102,'ربط حسابات الإهلاك'!$C$5:$C$14,0))&amp;" - "&amp;I102,I102)</x:f>
        <x:v>120101007001 - الاجهزة الكهربائية</x:v>
      </x:c>
      <x:c r="D102" s="163" t="str">
        <x:f>IFERROR(INDEX('ربط حسابات الإهلاك'!$F$5:$F$14,MATCH(I102,'ربط حسابات الإهلاك'!$C$5:$C$14,0))&amp;" - "&amp;INDEX('ربط حسابات الإهلاك'!$G$5:$G$14,MATCH(I102,'ربط حسابات الإهلاك'!$C$5:$C$14,0)),"غير مرتبط")</x:f>
        <x:v>520401008000 - مصروف إهلاك - الاجهزة الكهربائية</x:v>
      </x:c>
      <x:c r="E102" s="163" t="str">
        <x:f>IFERROR(INDEX('ربط حسابات الإهلاك'!$D$5:$D$14,MATCH(I102,'ربط حسابات الإهلاك'!$C$5:$C$14,0))&amp;" - "&amp;INDEX('ربط حسابات الإهلاك'!$E$5:$E$14,MATCH(I102,'ربط حسابات الإهلاك'!$C$5:$C$14,0)),"غير مرتبط")</x:f>
        <x:v>120101007002 - مجمع إهلاك - الاجهزة الكهربائية</x:v>
      </x:c>
      <x:c r="F102" s="163" t="str">
        <x:f>IF(G102=0,"",IF(I102="البرامج والأنظمة","إثبات مصروف ومجمع الإطفاء عن الفترة "&amp;TEXT($B$3,"mm-yyyy")&amp;" - مركز التكلفة: "&amp;B102&amp;" - حساب الأصل: "&amp;I102,"إثبات مصروف ومجمع الإهلاك عن الفترة "&amp;TEXT($B$3,"mm-yyyy")&amp;" - مركز التكلفة: "&amp;B102&amp;" - حساب الأصل: "&amp;I102))</x:f>
        <x:v>إثبات مصروف ومجمع الإهلاك عن الفترة 12-2026 - مركز التكلفة: صيدلية لنا فرع المهدية 31 - حساب الأصل: الاجهزة الكهربائية</x:v>
      </x:c>
      <x:c r="G102" s="155" t="n">
        <x:f>SUMIFS('جدول الاصول الثابته الجديد'!$L$6:$L$2004,'جدول الاصول الثابته الجديد'!$B$6:$B$2004,B102,'جدول الاصول الثابته الجديد'!$C$6:$C$2004,I102)</x:f>
        <x:v>27.521666666666665</x:v>
      </x:c>
      <x:c r="H102" s="155" t="n">
        <x:f>G102</x:f>
        <x:v>27.521666666666665</x:v>
      </x:c>
      <x:c r="I102" s="163" t="str">
        <x:v>الاجهزة الكهربائية</x:v>
      </x:c>
    </x:row>
    <x:row r="103">
      <x:c r="A103" s="159" t="n">
        <x:f>IF(B103="","",$B$3)</x:f>
        <x:v>46387</x:v>
      </x:c>
      <x:c r="B103" s="163" t="str">
        <x:v>صيدلية لنا فرع المهدية 31</x:v>
      </x:c>
      <x:c r="C103" s="163" t="str">
        <x:f>IFERROR(INDEX('ربط حسابات الإهلاك'!$B$5:$B$14,MATCH(I103,'ربط حسابات الإهلاك'!$C$5:$C$14,0))&amp;" - "&amp;I103,I103)</x:f>
        <x:v>120101002000 - تحسينات على مباني</x:v>
      </x:c>
      <x:c r="D103" s="163" t="str">
        <x:f>IFERROR(INDEX('ربط حسابات الإهلاك'!$F$5:$F$14,MATCH(I103,'ربط حسابات الإهلاك'!$C$5:$C$14,0))&amp;" - "&amp;INDEX('ربط حسابات الإهلاك'!$G$5:$G$14,MATCH(I103,'ربط حسابات الإهلاك'!$C$5:$C$14,0)),"غير مرتبط")</x:f>
        <x:v>520401001000 - مصروف إهلاك - تحسينات على مباني</x:v>
      </x:c>
      <x:c r="E103" s="163" t="str">
        <x:f>IFERROR(INDEX('ربط حسابات الإهلاك'!$D$5:$D$14,MATCH(I103,'ربط حسابات الإهلاك'!$C$5:$C$14,0))&amp;" - "&amp;INDEX('ربط حسابات الإهلاك'!$E$5:$E$14,MATCH(I103,'ربط حسابات الإهلاك'!$C$5:$C$14,0)),"غير مرتبط")</x:f>
        <x:v>120101002002 - مجمع إهلاك - تحسينات على مباني</x:v>
      </x:c>
      <x:c r="F103" s="163" t="str">
        <x:f>IF(G103=0,"",IF(I103="البرامج والأنظمة","إثبات مصروف ومجمع الإطفاء عن الفترة "&amp;TEXT($B$3,"mm-yyyy")&amp;" - مركز التكلفة: "&amp;B103&amp;" - حساب الأصل: "&amp;I103,"إثبات مصروف ومجمع الإهلاك عن الفترة "&amp;TEXT($B$3,"mm-yyyy")&amp;" - مركز التكلفة: "&amp;B103&amp;" - حساب الأصل: "&amp;I103))</x:f>
      </x:c>
      <x:c r="G103" s="155" t="n">
        <x:f>SUMIFS('جدول الاصول الثابته الجديد'!$L$6:$L$2004,'جدول الاصول الثابته الجديد'!$B$6:$B$2004,B103,'جدول الاصول الثابته الجديد'!$C$6:$C$2004,I103)</x:f>
        <x:v>0</x:v>
      </x:c>
      <x:c r="H103" s="155" t="n">
        <x:f>G103</x:f>
        <x:v>0</x:v>
      </x:c>
      <x:c r="I103" s="163" t="str">
        <x:v>تحسينات على مباني</x:v>
      </x:c>
    </x:row>
    <x:row r="104">
      <x:c r="A104" s="159" t="n">
        <x:f>IF(B104="","",$B$3)</x:f>
        <x:v>46387</x:v>
      </x:c>
      <x:c r="B104" s="163" t="str">
        <x:v>صيدلية لنا فرع المهدية 31</x:v>
      </x:c>
      <x:c r="C104" s="163" t="str">
        <x:f>IFERROR(INDEX('ربط حسابات الإهلاك'!$B$5:$B$14,MATCH(I104,'ربط حسابات الإهلاك'!$C$5:$C$14,0))&amp;" - "&amp;I104,I104)</x:f>
        <x:v>120101001000 - اجهزة التكييف</x:v>
      </x:c>
      <x:c r="D104" s="163" t="str">
        <x:f>IFERROR(INDEX('ربط حسابات الإهلاك'!$F$5:$F$14,MATCH(I104,'ربط حسابات الإهلاك'!$C$5:$C$14,0))&amp;" - "&amp;INDEX('ربط حسابات الإهلاك'!$G$5:$G$14,MATCH(I104,'ربط حسابات الإهلاك'!$C$5:$C$14,0)),"غير مرتبط")</x:f>
        <x:v>520401002000 - مصروف إهلاك - اجهزة التكييف</x:v>
      </x:c>
      <x:c r="E104" s="163" t="str">
        <x:f>IFERROR(INDEX('ربط حسابات الإهلاك'!$D$5:$D$14,MATCH(I104,'ربط حسابات الإهلاك'!$C$5:$C$14,0))&amp;" - "&amp;INDEX('ربط حسابات الإهلاك'!$E$5:$E$14,MATCH(I104,'ربط حسابات الإهلاك'!$C$5:$C$14,0)),"غير مرتبط")</x:f>
        <x:v>120101001002 - مجمع إهلاك - اجهزة التكييف</x:v>
      </x:c>
      <x:c r="F104" s="163" t="str">
        <x:f>IF(G104=0,"",IF(I104="البرامج والأنظمة","إثبات مصروف ومجمع الإطفاء عن الفترة "&amp;TEXT($B$3,"mm-yyyy")&amp;" - مركز التكلفة: "&amp;B104&amp;" - حساب الأصل: "&amp;I104,"إثبات مصروف ومجمع الإهلاك عن الفترة "&amp;TEXT($B$3,"mm-yyyy")&amp;" - مركز التكلفة: "&amp;B104&amp;" - حساب الأصل: "&amp;I104))</x:f>
        <x:v>إثبات مصروف ومجمع الإهلاك عن الفترة 12-2026 - مركز التكلفة: صيدلية لنا فرع المهدية 31 - حساب الأصل: اجهزة التكييف</x:v>
      </x:c>
      <x:c r="G104" s="155" t="n">
        <x:f>SUMIFS('جدول الاصول الثابته الجديد'!$L$6:$L$2004,'جدول الاصول الثابته الجديد'!$B$6:$B$2004,B104,'جدول الاصول الثابته الجديد'!$C$6:$C$2004,I104)</x:f>
        <x:v>579.8725833333332</x:v>
      </x:c>
      <x:c r="H104" s="155" t="n">
        <x:f>G104</x:f>
        <x:v>579.8725833333332</x:v>
      </x:c>
      <x:c r="I104" s="163" t="str">
        <x:v>اجهزة التكييف</x:v>
      </x:c>
    </x:row>
    <x:row r="105">
      <x:c r="A105" s="159" t="n">
        <x:f>IF(B105="","",$B$3)</x:f>
        <x:v>46387</x:v>
      </x:c>
      <x:c r="B105" s="163" t="str">
        <x:v>صيدلية لنا فرع المهدية 31</x:v>
      </x:c>
      <x:c r="C105" s="163" t="str">
        <x:f>IFERROR(INDEX('ربط حسابات الإهلاك'!$B$5:$B$14,MATCH(I105,'ربط حسابات الإهلاك'!$C$5:$C$14,0))&amp;" - "&amp;I105,I105)</x:f>
        <x:v>120101004000 - ديكورات</x:v>
      </x:c>
      <x:c r="D105" s="163" t="str">
        <x:f>IFERROR(INDEX('ربط حسابات الإهلاك'!$F$5:$F$14,MATCH(I105,'ربط حسابات الإهلاك'!$C$5:$C$14,0))&amp;" - "&amp;INDEX('ربط حسابات الإهلاك'!$G$5:$G$14,MATCH(I105,'ربط حسابات الإهلاك'!$C$5:$C$14,0)),"غير مرتبط")</x:f>
        <x:v>520401003000 - مصروف إهلاك - ديكورات</x:v>
      </x:c>
      <x:c r="E105" s="163" t="str">
        <x:f>IFERROR(INDEX('ربط حسابات الإهلاك'!$D$5:$D$14,MATCH(I105,'ربط حسابات الإهلاك'!$C$5:$C$14,0))&amp;" - "&amp;INDEX('ربط حسابات الإهلاك'!$E$5:$E$14,MATCH(I105,'ربط حسابات الإهلاك'!$C$5:$C$14,0)),"غير مرتبط")</x:f>
        <x:v>120101004002 - مجمع إهلاك - ديكورات</x:v>
      </x:c>
      <x:c r="F105" s="163" t="str">
        <x:f>IF(G105=0,"",IF(I105="البرامج والأنظمة","إثبات مصروف ومجمع الإطفاء عن الفترة "&amp;TEXT($B$3,"mm-yyyy")&amp;" - مركز التكلفة: "&amp;B105&amp;" - حساب الأصل: "&amp;I105,"إثبات مصروف ومجمع الإهلاك عن الفترة "&amp;TEXT($B$3,"mm-yyyy")&amp;" - مركز التكلفة: "&amp;B105&amp;" - حساب الأصل: "&amp;I105))</x:f>
        <x:v>إثبات مصروف ومجمع الإهلاك عن الفترة 12-2026 - مركز التكلفة: صيدلية لنا فرع المهدية 31 - حساب الأصل: ديكورات</x:v>
      </x:c>
      <x:c r="G105" s="155" t="n">
        <x:f>SUMIFS('جدول الاصول الثابته الجديد'!$L$6:$L$2004,'جدول الاصول الثابته الجديد'!$B$6:$B$2004,B105,'جدول الاصول الثابته الجديد'!$C$6:$C$2004,I105)</x:f>
        <x:v>3.25</x:v>
      </x:c>
      <x:c r="H105" s="155" t="n">
        <x:f>G105</x:f>
        <x:v>3.25</x:v>
      </x:c>
      <x:c r="I105" s="163" t="str">
        <x:v>ديكورات</x:v>
      </x:c>
    </x:row>
    <x:row r="106">
      <x:c r="A106" s="159" t="n">
        <x:f>IF(B106="","",$B$3)</x:f>
        <x:v>46387</x:v>
      </x:c>
      <x:c r="B106" s="163" t="str">
        <x:v>صيدلية لنا فرع المهدية 31</x:v>
      </x:c>
      <x:c r="C106" s="163" t="str">
        <x:f>IFERROR(INDEX('ربط حسابات الإهلاك'!$B$5:$B$14,MATCH(I106,'ربط حسابات الإهلاك'!$C$5:$C$14,0))&amp;" - "&amp;I106,I106)</x:f>
        <x:v>120102001001 - البرامج والأنظمة</x:v>
      </x:c>
      <x:c r="D106" s="163" t="str">
        <x:f>IFERROR(INDEX('ربط حسابات الإهلاك'!$F$5:$F$14,MATCH(I106,'ربط حسابات الإهلاك'!$C$5:$C$14,0))&amp;" - "&amp;INDEX('ربط حسابات الإهلاك'!$G$5:$G$14,MATCH(I106,'ربط حسابات الإهلاك'!$C$5:$C$14,0)),"غير مرتبط")</x:f>
        <x:v>520401010000 - مصروف إطفاء - البرامج والأنظمة</x:v>
      </x:c>
      <x:c r="E106" s="163" t="str">
        <x:f>IFERROR(INDEX('ربط حسابات الإهلاك'!$D$5:$D$14,MATCH(I106,'ربط حسابات الإهلاك'!$C$5:$C$14,0))&amp;" - "&amp;INDEX('ربط حسابات الإهلاك'!$E$5:$E$14,MATCH(I106,'ربط حسابات الإهلاك'!$C$5:$C$14,0)),"غير مرتبط")</x:f>
        <x:v>120102001002 - مجمع إطفاء - البرامج والأنظمة</x:v>
      </x:c>
      <x:c r="F106" s="163" t="str">
        <x:f>IF(G106=0,"",IF(I106="البرامج والأنظمة","إثبات مصروف ومجمع الإطفاء عن الفترة "&amp;TEXT($B$3,"mm-yyyy")&amp;" - مركز التكلفة: "&amp;B106&amp;" - حساب الأصل: "&amp;I106,"إثبات مصروف ومجمع الإهلاك عن الفترة "&amp;TEXT($B$3,"mm-yyyy")&amp;" - مركز التكلفة: "&amp;B106&amp;" - حساب الأصل: "&amp;I106))</x:f>
        <x:v>إثبات مصروف ومجمع الإطفاء عن الفترة 12-2026 - مركز التكلفة: صيدلية لنا فرع المهدية 31 - حساب الأصل: البرامج والأنظمة</x:v>
      </x:c>
      <x:c r="G106" s="155" t="n">
        <x:f>SUMIFS('جدول الاصول الثابته الجديد'!$L$6:$L$2004,'جدول الاصول الثابته الجديد'!$B$6:$B$2004,B106,'جدول الاصول الثابته الجديد'!$C$6:$C$2004,I106)</x:f>
        <x:v>277.75</x:v>
      </x:c>
      <x:c r="H106" s="155" t="n">
        <x:f>G106</x:f>
        <x:v>277.75</x:v>
      </x:c>
      <x:c r="I106" s="163" t="str">
        <x:v>البرامج والأنظمة</x:v>
      </x:c>
    </x:row>
    <x:row r="107">
      <x:c r="A107" s="159" t="n">
        <x:f>IF(B107="","",$B$3)</x:f>
        <x:v>46387</x:v>
      </x:c>
      <x:c r="B107" s="163" t="str">
        <x:v>صيدلية لنا فرع طويق رقم 32</x:v>
      </x:c>
      <x:c r="C107" s="163" t="str">
        <x:f>IFERROR(INDEX('ربط حسابات الإهلاك'!$B$5:$B$14,MATCH(I107,'ربط حسابات الإهلاك'!$C$5:$C$14,0))&amp;" - "&amp;I107,I107)</x:f>
        <x:v>120101009000 - اجهزة ومعدات طبية</x:v>
      </x:c>
      <x:c r="D107" s="163" t="str">
        <x:f>IFERROR(INDEX('ربط حسابات الإهلاك'!$F$5:$F$14,MATCH(I107,'ربط حسابات الإهلاك'!$C$5:$C$14,0))&amp;" - "&amp;INDEX('ربط حسابات الإهلاك'!$G$5:$G$14,MATCH(I107,'ربط حسابات الإهلاك'!$C$5:$C$14,0)),"غير مرتبط")</x:f>
        <x:v>520401004000 - مصروف إهلاك - اجهزة ومعدات طبية</x:v>
      </x:c>
      <x:c r="E107" s="163" t="str">
        <x:f>IFERROR(INDEX('ربط حسابات الإهلاك'!$D$5:$D$14,MATCH(I107,'ربط حسابات الإهلاك'!$C$5:$C$14,0))&amp;" - "&amp;INDEX('ربط حسابات الإهلاك'!$E$5:$E$14,MATCH(I107,'ربط حسابات الإهلاك'!$C$5:$C$14,0)),"غير مرتبط")</x:f>
        <x:v>120101009002 - مجمع إهلاك - اجهزة ومعدات طبية</x:v>
      </x:c>
      <x:c r="F107" s="163" t="str">
        <x:f>IF(G107=0,"",IF(I107="البرامج والأنظمة","إثبات مصروف ومجمع الإطفاء عن الفترة "&amp;TEXT($B$3,"mm-yyyy")&amp;" - مركز التكلفة: "&amp;B107&amp;" - حساب الأصل: "&amp;I107,"إثبات مصروف ومجمع الإهلاك عن الفترة "&amp;TEXT($B$3,"mm-yyyy")&amp;" - مركز التكلفة: "&amp;B107&amp;" - حساب الأصل: "&amp;I107))</x:f>
      </x:c>
      <x:c r="G107" s="155" t="n">
        <x:f>SUMIFS('جدول الاصول الثابته الجديد'!$L$6:$L$2004,'جدول الاصول الثابته الجديد'!$B$6:$B$2004,B107,'جدول الاصول الثابته الجديد'!$C$6:$C$2004,I107)</x:f>
        <x:v>0</x:v>
      </x:c>
      <x:c r="H107" s="155" t="n">
        <x:f>G107</x:f>
        <x:v>0</x:v>
      </x:c>
      <x:c r="I107" s="163" t="str">
        <x:v>اجهزة ومعدات طبية</x:v>
      </x:c>
    </x:row>
    <x:row r="108">
      <x:c r="A108" s="159" t="n">
        <x:f>IF(B108="","",$B$3)</x:f>
        <x:v>46387</x:v>
      </x:c>
      <x:c r="B108" s="163" t="str">
        <x:v>صيدلية لنا فرع طويق رقم 32</x:v>
      </x:c>
      <x:c r="C108" s="163" t="str">
        <x:f>IFERROR(INDEX('ربط حسابات الإهلاك'!$B$5:$B$14,MATCH(I108,'ربط حسابات الإهلاك'!$C$5:$C$14,0))&amp;" - "&amp;I108,I108)</x:f>
        <x:v>120101003000 - السيارات</x:v>
      </x:c>
      <x:c r="D108" s="163" t="str">
        <x:f>IFERROR(INDEX('ربط حسابات الإهلاك'!$F$5:$F$14,MATCH(I108,'ربط حسابات الإهلاك'!$C$5:$C$14,0))&amp;" - "&amp;INDEX('ربط حسابات الإهلاك'!$G$5:$G$14,MATCH(I108,'ربط حسابات الإهلاك'!$C$5:$C$14,0)),"غير مرتبط")</x:f>
        <x:v>520401005000 - مصروف إهلاك - السيارات</x:v>
      </x:c>
      <x:c r="E108" s="163" t="str">
        <x:f>IFERROR(INDEX('ربط حسابات الإهلاك'!$D$5:$D$14,MATCH(I108,'ربط حسابات الإهلاك'!$C$5:$C$14,0))&amp;" - "&amp;INDEX('ربط حسابات الإهلاك'!$E$5:$E$14,MATCH(I108,'ربط حسابات الإهلاك'!$C$5:$C$14,0)),"غير مرتبط")</x:f>
        <x:v>120101003001 - مجمع إهلاك - السيارات</x:v>
      </x:c>
      <x:c r="F108" s="163" t="str">
        <x:f>IF(G108=0,"",IF(I108="البرامج والأنظمة","إثبات مصروف ومجمع الإطفاء عن الفترة "&amp;TEXT($B$3,"mm-yyyy")&amp;" - مركز التكلفة: "&amp;B108&amp;" - حساب الأصل: "&amp;I108,"إثبات مصروف ومجمع الإهلاك عن الفترة "&amp;TEXT($B$3,"mm-yyyy")&amp;" - مركز التكلفة: "&amp;B108&amp;" - حساب الأصل: "&amp;I108))</x:f>
      </x:c>
      <x:c r="G108" s="155" t="n">
        <x:f>SUMIFS('جدول الاصول الثابته الجديد'!$L$6:$L$2004,'جدول الاصول الثابته الجديد'!$B$6:$B$2004,B108,'جدول الاصول الثابته الجديد'!$C$6:$C$2004,I108)</x:f>
        <x:v>0</x:v>
      </x:c>
      <x:c r="H108" s="155" t="n">
        <x:f>G108</x:f>
        <x:v>0</x:v>
      </x:c>
      <x:c r="I108" s="163" t="str">
        <x:v>السيارات</x:v>
      </x:c>
    </x:row>
    <x:row r="109">
      <x:c r="A109" s="159" t="n">
        <x:f>IF(B109="","",$B$3)</x:f>
        <x:v>46387</x:v>
      </x:c>
      <x:c r="B109" s="163" t="str">
        <x:v>صيدلية لنا فرع طويق رقم 32</x:v>
      </x:c>
      <x:c r="C109" s="163" t="str">
        <x:f>IFERROR(INDEX('ربط حسابات الإهلاك'!$B$5:$B$14,MATCH(I109,'ربط حسابات الإهلاك'!$C$5:$C$14,0))&amp;" - "&amp;I109,I109)</x:f>
        <x:v>120101005001 - أثاث و مفروشات</x:v>
      </x:c>
      <x:c r="D109" s="163" t="str">
        <x:f>IFERROR(INDEX('ربط حسابات الإهلاك'!$F$5:$F$14,MATCH(I109,'ربط حسابات الإهلاك'!$C$5:$C$14,0))&amp;" - "&amp;INDEX('ربط حسابات الإهلاك'!$G$5:$G$14,MATCH(I109,'ربط حسابات الإهلاك'!$C$5:$C$14,0)),"غير مرتبط")</x:f>
        <x:v>520401006000 - مصروف إهلاك - أثاث و مفروشات</x:v>
      </x:c>
      <x:c r="E109" s="163" t="str">
        <x:f>IFERROR(INDEX('ربط حسابات الإهلاك'!$D$5:$D$14,MATCH(I109,'ربط حسابات الإهلاك'!$C$5:$C$14,0))&amp;" - "&amp;INDEX('ربط حسابات الإهلاك'!$E$5:$E$14,MATCH(I109,'ربط حسابات الإهلاك'!$C$5:$C$14,0)),"غير مرتبط")</x:f>
        <x:v>120101005002 - مجمع إهلاك - أثاث و مفروشات</x:v>
      </x:c>
      <x:c r="F109" s="163" t="str">
        <x:f>IF(G109=0,"",IF(I109="البرامج والأنظمة","إثبات مصروف ومجمع الإطفاء عن الفترة "&amp;TEXT($B$3,"mm-yyyy")&amp;" - مركز التكلفة: "&amp;B109&amp;" - حساب الأصل: "&amp;I109,"إثبات مصروف ومجمع الإهلاك عن الفترة "&amp;TEXT($B$3,"mm-yyyy")&amp;" - مركز التكلفة: "&amp;B109&amp;" - حساب الأصل: "&amp;I109))</x:f>
      </x:c>
      <x:c r="G109" s="155" t="n">
        <x:f>SUMIFS('جدول الاصول الثابته الجديد'!$L$6:$L$2004,'جدول الاصول الثابته الجديد'!$B$6:$B$2004,B109,'جدول الاصول الثابته الجديد'!$C$6:$C$2004,I109)</x:f>
        <x:v>0</x:v>
      </x:c>
      <x:c r="H109" s="155" t="n">
        <x:f>G109</x:f>
        <x:v>0</x:v>
      </x:c>
      <x:c r="I109" s="163" t="str">
        <x:v>أثاث و مفروشات</x:v>
      </x:c>
    </x:row>
    <x:row r="110">
      <x:c r="A110" s="159" t="n">
        <x:f>IF(B110="","",$B$3)</x:f>
        <x:v>46387</x:v>
      </x:c>
      <x:c r="B110" s="163" t="str">
        <x:v>صيدلية لنا فرع طويق رقم 32</x:v>
      </x:c>
      <x:c r="C110" s="163" t="str">
        <x:f>IFERROR(INDEX('ربط حسابات الإهلاك'!$B$5:$B$14,MATCH(I110,'ربط حسابات الإهلاك'!$C$5:$C$14,0))&amp;" - "&amp;I110,I110)</x:f>
        <x:v>120101011001 - أثاث و مفروشات السكن</x:v>
      </x:c>
      <x:c r="D110" s="163" t="str">
        <x:f>IFERROR(INDEX('ربط حسابات الإهلاك'!$F$5:$F$14,MATCH(I110,'ربط حسابات الإهلاك'!$C$5:$C$14,0))&amp;" - "&amp;INDEX('ربط حسابات الإهلاك'!$G$5:$G$14,MATCH(I110,'ربط حسابات الإهلاك'!$C$5:$C$14,0)),"غير مرتبط")</x:f>
        <x:v>520401007000 - مصروف إهلاك - أثاث و مفروشات السكن</x:v>
      </x:c>
      <x:c r="E110" s="163" t="str">
        <x:f>IFERROR(INDEX('ربط حسابات الإهلاك'!$D$5:$D$14,MATCH(I110,'ربط حسابات الإهلاك'!$C$5:$C$14,0))&amp;" - "&amp;INDEX('ربط حسابات الإهلاك'!$E$5:$E$14,MATCH(I110,'ربط حسابات الإهلاك'!$C$5:$C$14,0)),"غير مرتبط")</x:f>
        <x:v>120101011002 - مجمع إهلاك - أثاث و مفروشات السكن</x:v>
      </x:c>
      <x:c r="F110" s="163" t="str">
        <x:f>IF(G110=0,"",IF(I110="البرامج والأنظمة","إثبات مصروف ومجمع الإطفاء عن الفترة "&amp;TEXT($B$3,"mm-yyyy")&amp;" - مركز التكلفة: "&amp;B110&amp;" - حساب الأصل: "&amp;I110,"إثبات مصروف ومجمع الإهلاك عن الفترة "&amp;TEXT($B$3,"mm-yyyy")&amp;" - مركز التكلفة: "&amp;B110&amp;" - حساب الأصل: "&amp;I110))</x:f>
      </x:c>
      <x:c r="G110" s="155" t="n">
        <x:f>SUMIFS('جدول الاصول الثابته الجديد'!$L$6:$L$2004,'جدول الاصول الثابته الجديد'!$B$6:$B$2004,B110,'جدول الاصول الثابته الجديد'!$C$6:$C$2004,I110)</x:f>
        <x:v>0</x:v>
      </x:c>
      <x:c r="H110" s="155" t="n">
        <x:f>G110</x:f>
        <x:v>0</x:v>
      </x:c>
      <x:c r="I110" s="163" t="str">
        <x:v>أثاث و مفروشات السكن</x:v>
      </x:c>
    </x:row>
    <x:row r="111">
      <x:c r="A111" s="159" t="n">
        <x:f>IF(B111="","",$B$3)</x:f>
        <x:v>46387</x:v>
      </x:c>
      <x:c r="B111" s="163" t="str">
        <x:v>صيدلية لنا فرع طويق رقم 32</x:v>
      </x:c>
      <x:c r="C111" s="163" t="str">
        <x:f>IFERROR(INDEX('ربط حسابات الإهلاك'!$B$5:$B$14,MATCH(I111,'ربط حسابات الإهلاك'!$C$5:$C$14,0))&amp;" - "&amp;I111,I111)</x:f>
        <x:v>120101006001 - الاجهزة الالكترونية والحاسب الالي وملحقاته</x:v>
      </x:c>
      <x:c r="D111" s="163" t="str">
        <x:f>IFERROR(INDEX('ربط حسابات الإهلاك'!$F$5:$F$14,MATCH(I111,'ربط حسابات الإهلاك'!$C$5:$C$14,0))&amp;" - "&amp;INDEX('ربط حسابات الإهلاك'!$G$5:$G$14,MATCH(I111,'ربط حسابات الإهلاك'!$C$5:$C$14,0)),"غير مرتبط")</x:f>
        <x:v>520401009000 - مصروف إهلاك - الاجهزة الالكترونية والحاسب الالي وملحقاته</x:v>
      </x:c>
      <x:c r="E111" s="163" t="str">
        <x:f>IFERROR(INDEX('ربط حسابات الإهلاك'!$D$5:$D$14,MATCH(I111,'ربط حسابات الإهلاك'!$C$5:$C$14,0))&amp;" - "&amp;INDEX('ربط حسابات الإهلاك'!$E$5:$E$14,MATCH(I111,'ربط حسابات الإهلاك'!$C$5:$C$14,0)),"غير مرتبط")</x:f>
        <x:v>120101006002 - مجمع إهلاك - الاجهزة الالكترونية والحاسب الالي وملحقاته</x:v>
      </x:c>
      <x:c r="F111" s="163" t="str">
        <x:f>IF(G111=0,"",IF(I111="البرامج والأنظمة","إثبات مصروف ومجمع الإطفاء عن الفترة "&amp;TEXT($B$3,"mm-yyyy")&amp;" - مركز التكلفة: "&amp;B111&amp;" - حساب الأصل: "&amp;I111,"إثبات مصروف ومجمع الإهلاك عن الفترة "&amp;TEXT($B$3,"mm-yyyy")&amp;" - مركز التكلفة: "&amp;B111&amp;" - حساب الأصل: "&amp;I111))</x:f>
        <x:v>إثبات مصروف ومجمع الإهلاك عن الفترة 12-2026 - مركز التكلفة: صيدلية لنا فرع طويق رقم 32 - حساب الأصل: الاجهزة الالكترونية والحاسب الالي وملحقاته</x:v>
      </x:c>
      <x:c r="G111" s="155" t="n">
        <x:f>SUMIFS('جدول الاصول الثابته الجديد'!$L$6:$L$2004,'جدول الاصول الثابته الجديد'!$B$6:$B$2004,B111,'جدول الاصول الثابته الجديد'!$C$6:$C$2004,I111)</x:f>
        <x:v>580.2197416674999</x:v>
      </x:c>
      <x:c r="H111" s="155" t="n">
        <x:f>G111</x:f>
        <x:v>580.2197416674999</x:v>
      </x:c>
      <x:c r="I111" s="163" t="str">
        <x:v>الاجهزة الالكترونية والحاسب الالي وملحقاته</x:v>
      </x:c>
    </x:row>
    <x:row r="112">
      <x:c r="A112" s="159" t="n">
        <x:f>IF(B112="","",$B$3)</x:f>
        <x:v>46387</x:v>
      </x:c>
      <x:c r="B112" s="163" t="str">
        <x:v>صيدلية لنا فرع طويق رقم 32</x:v>
      </x:c>
      <x:c r="C112" s="163" t="str">
        <x:f>IFERROR(INDEX('ربط حسابات الإهلاك'!$B$5:$B$14,MATCH(I112,'ربط حسابات الإهلاك'!$C$5:$C$14,0))&amp;" - "&amp;I112,I112)</x:f>
        <x:v>120101007001 - الاجهزة الكهربائية</x:v>
      </x:c>
      <x:c r="D112" s="163" t="str">
        <x:f>IFERROR(INDEX('ربط حسابات الإهلاك'!$F$5:$F$14,MATCH(I112,'ربط حسابات الإهلاك'!$C$5:$C$14,0))&amp;" - "&amp;INDEX('ربط حسابات الإهلاك'!$G$5:$G$14,MATCH(I112,'ربط حسابات الإهلاك'!$C$5:$C$14,0)),"غير مرتبط")</x:f>
        <x:v>520401008000 - مصروف إهلاك - الاجهزة الكهربائية</x:v>
      </x:c>
      <x:c r="E112" s="163" t="str">
        <x:f>IFERROR(INDEX('ربط حسابات الإهلاك'!$D$5:$D$14,MATCH(I112,'ربط حسابات الإهلاك'!$C$5:$C$14,0))&amp;" - "&amp;INDEX('ربط حسابات الإهلاك'!$E$5:$E$14,MATCH(I112,'ربط حسابات الإهلاك'!$C$5:$C$14,0)),"غير مرتبط")</x:f>
        <x:v>120101007002 - مجمع إهلاك - الاجهزة الكهربائية</x:v>
      </x:c>
      <x:c r="F112" s="163" t="str">
        <x:f>IF(G112=0,"",IF(I112="البرامج والأنظمة","إثبات مصروف ومجمع الإطفاء عن الفترة "&amp;TEXT($B$3,"mm-yyyy")&amp;" - مركز التكلفة: "&amp;B112&amp;" - حساب الأصل: "&amp;I112,"إثبات مصروف ومجمع الإهلاك عن الفترة "&amp;TEXT($B$3,"mm-yyyy")&amp;" - مركز التكلفة: "&amp;B112&amp;" - حساب الأصل: "&amp;I112))</x:f>
        <x:v>إثبات مصروف ومجمع الإهلاك عن الفترة 12-2026 - مركز التكلفة: صيدلية لنا فرع طويق رقم 32 - حساب الأصل: الاجهزة الكهربائية</x:v>
      </x:c>
      <x:c r="G112" s="155" t="n">
        <x:f>SUMIFS('جدول الاصول الثابته الجديد'!$L$6:$L$2004,'جدول الاصول الثابته الجديد'!$B$6:$B$2004,B112,'جدول الاصول الثابته الجديد'!$C$6:$C$2004,I112)</x:f>
        <x:v>28.210833333333337</x:v>
      </x:c>
      <x:c r="H112" s="155" t="n">
        <x:f>G112</x:f>
        <x:v>28.210833333333337</x:v>
      </x:c>
      <x:c r="I112" s="163" t="str">
        <x:v>الاجهزة الكهربائية</x:v>
      </x:c>
    </x:row>
    <x:row r="113">
      <x:c r="A113" s="159" t="n">
        <x:f>IF(B113="","",$B$3)</x:f>
        <x:v>46387</x:v>
      </x:c>
      <x:c r="B113" s="163" t="str">
        <x:v>صيدلية لنا فرع طويق رقم 32</x:v>
      </x:c>
      <x:c r="C113" s="163" t="str">
        <x:f>IFERROR(INDEX('ربط حسابات الإهلاك'!$B$5:$B$14,MATCH(I113,'ربط حسابات الإهلاك'!$C$5:$C$14,0))&amp;" - "&amp;I113,I113)</x:f>
        <x:v>120101002000 - تحسينات على مباني</x:v>
      </x:c>
      <x:c r="D113" s="163" t="str">
        <x:f>IFERROR(INDEX('ربط حسابات الإهلاك'!$F$5:$F$14,MATCH(I113,'ربط حسابات الإهلاك'!$C$5:$C$14,0))&amp;" - "&amp;INDEX('ربط حسابات الإهلاك'!$G$5:$G$14,MATCH(I113,'ربط حسابات الإهلاك'!$C$5:$C$14,0)),"غير مرتبط")</x:f>
        <x:v>520401001000 - مصروف إهلاك - تحسينات على مباني</x:v>
      </x:c>
      <x:c r="E113" s="163" t="str">
        <x:f>IFERROR(INDEX('ربط حسابات الإهلاك'!$D$5:$D$14,MATCH(I113,'ربط حسابات الإهلاك'!$C$5:$C$14,0))&amp;" - "&amp;INDEX('ربط حسابات الإهلاك'!$E$5:$E$14,MATCH(I113,'ربط حسابات الإهلاك'!$C$5:$C$14,0)),"غير مرتبط")</x:f>
        <x:v>120101002002 - مجمع إهلاك - تحسينات على مباني</x:v>
      </x:c>
      <x:c r="F113" s="163" t="str">
        <x:f>IF(G113=0,"",IF(I113="البرامج والأنظمة","إثبات مصروف ومجمع الإطفاء عن الفترة "&amp;TEXT($B$3,"mm-yyyy")&amp;" - مركز التكلفة: "&amp;B113&amp;" - حساب الأصل: "&amp;I113,"إثبات مصروف ومجمع الإهلاك عن الفترة "&amp;TEXT($B$3,"mm-yyyy")&amp;" - مركز التكلفة: "&amp;B113&amp;" - حساب الأصل: "&amp;I113))</x:f>
      </x:c>
      <x:c r="G113" s="155" t="n">
        <x:f>SUMIFS('جدول الاصول الثابته الجديد'!$L$6:$L$2004,'جدول الاصول الثابته الجديد'!$B$6:$B$2004,B113,'جدول الاصول الثابته الجديد'!$C$6:$C$2004,I113)</x:f>
        <x:v>0</x:v>
      </x:c>
      <x:c r="H113" s="155" t="n">
        <x:f>G113</x:f>
        <x:v>0</x:v>
      </x:c>
      <x:c r="I113" s="163" t="str">
        <x:v>تحسينات على مباني</x:v>
      </x:c>
    </x:row>
    <x:row r="114">
      <x:c r="A114" s="159" t="n">
        <x:f>IF(B114="","",$B$3)</x:f>
        <x:v>46387</x:v>
      </x:c>
      <x:c r="B114" s="163" t="str">
        <x:v>صيدلية لنا فرع طويق رقم 32</x:v>
      </x:c>
      <x:c r="C114" s="163" t="str">
        <x:f>IFERROR(INDEX('ربط حسابات الإهلاك'!$B$5:$B$14,MATCH(I114,'ربط حسابات الإهلاك'!$C$5:$C$14,0))&amp;" - "&amp;I114,I114)</x:f>
        <x:v>120101001000 - اجهزة التكييف</x:v>
      </x:c>
      <x:c r="D114" s="163" t="str">
        <x:f>IFERROR(INDEX('ربط حسابات الإهلاك'!$F$5:$F$14,MATCH(I114,'ربط حسابات الإهلاك'!$C$5:$C$14,0))&amp;" - "&amp;INDEX('ربط حسابات الإهلاك'!$G$5:$G$14,MATCH(I114,'ربط حسابات الإهلاك'!$C$5:$C$14,0)),"غير مرتبط")</x:f>
        <x:v>520401002000 - مصروف إهلاك - اجهزة التكييف</x:v>
      </x:c>
      <x:c r="E114" s="163" t="str">
        <x:f>IFERROR(INDEX('ربط حسابات الإهلاك'!$D$5:$D$14,MATCH(I114,'ربط حسابات الإهلاك'!$C$5:$C$14,0))&amp;" - "&amp;INDEX('ربط حسابات الإهلاك'!$E$5:$E$14,MATCH(I114,'ربط حسابات الإهلاك'!$C$5:$C$14,0)),"غير مرتبط")</x:f>
        <x:v>120101001002 - مجمع إهلاك - اجهزة التكييف</x:v>
      </x:c>
      <x:c r="F114" s="163" t="str">
        <x:f>IF(G114=0,"",IF(I114="البرامج والأنظمة","إثبات مصروف ومجمع الإطفاء عن الفترة "&amp;TEXT($B$3,"mm-yyyy")&amp;" - مركز التكلفة: "&amp;B114&amp;" - حساب الأصل: "&amp;I114,"إثبات مصروف ومجمع الإهلاك عن الفترة "&amp;TEXT($B$3,"mm-yyyy")&amp;" - مركز التكلفة: "&amp;B114&amp;" - حساب الأصل: "&amp;I114))</x:f>
      </x:c>
      <x:c r="G114" s="155" t="n">
        <x:f>SUMIFS('جدول الاصول الثابته الجديد'!$L$6:$L$2004,'جدول الاصول الثابته الجديد'!$B$6:$B$2004,B114,'جدول الاصول الثابته الجديد'!$C$6:$C$2004,I114)</x:f>
        <x:v>0</x:v>
      </x:c>
      <x:c r="H114" s="155" t="n">
        <x:f>G114</x:f>
        <x:v>0</x:v>
      </x:c>
      <x:c r="I114" s="163" t="str">
        <x:v>اجهزة التكييف</x:v>
      </x:c>
    </x:row>
    <x:row r="115">
      <x:c r="A115" s="159" t="n">
        <x:f>IF(B115="","",$B$3)</x:f>
        <x:v>46387</x:v>
      </x:c>
      <x:c r="B115" s="163" t="str">
        <x:v>صيدلية لنا فرع طويق رقم 32</x:v>
      </x:c>
      <x:c r="C115" s="163" t="str">
        <x:f>IFERROR(INDEX('ربط حسابات الإهلاك'!$B$5:$B$14,MATCH(I115,'ربط حسابات الإهلاك'!$C$5:$C$14,0))&amp;" - "&amp;I115,I115)</x:f>
        <x:v>120101004000 - ديكورات</x:v>
      </x:c>
      <x:c r="D115" s="163" t="str">
        <x:f>IFERROR(INDEX('ربط حسابات الإهلاك'!$F$5:$F$14,MATCH(I115,'ربط حسابات الإهلاك'!$C$5:$C$14,0))&amp;" - "&amp;INDEX('ربط حسابات الإهلاك'!$G$5:$G$14,MATCH(I115,'ربط حسابات الإهلاك'!$C$5:$C$14,0)),"غير مرتبط")</x:f>
        <x:v>520401003000 - مصروف إهلاك - ديكورات</x:v>
      </x:c>
      <x:c r="E115" s="163" t="str">
        <x:f>IFERROR(INDEX('ربط حسابات الإهلاك'!$D$5:$D$14,MATCH(I115,'ربط حسابات الإهلاك'!$C$5:$C$14,0))&amp;" - "&amp;INDEX('ربط حسابات الإهلاك'!$E$5:$E$14,MATCH(I115,'ربط حسابات الإهلاك'!$C$5:$C$14,0)),"غير مرتبط")</x:f>
        <x:v>120101004002 - مجمع إهلاك - ديكورات</x:v>
      </x:c>
      <x:c r="F115" s="163" t="str">
        <x:f>IF(G115=0,"",IF(I115="البرامج والأنظمة","إثبات مصروف ومجمع الإطفاء عن الفترة "&amp;TEXT($B$3,"mm-yyyy")&amp;" - مركز التكلفة: "&amp;B115&amp;" - حساب الأصل: "&amp;I115,"إثبات مصروف ومجمع الإهلاك عن الفترة "&amp;TEXT($B$3,"mm-yyyy")&amp;" - مركز التكلفة: "&amp;B115&amp;" - حساب الأصل: "&amp;I115))</x:f>
      </x:c>
      <x:c r="G115" s="155" t="n">
        <x:f>SUMIFS('جدول الاصول الثابته الجديد'!$L$6:$L$2004,'جدول الاصول الثابته الجديد'!$B$6:$B$2004,B115,'جدول الاصول الثابته الجديد'!$C$6:$C$2004,I115)</x:f>
        <x:v>0</x:v>
      </x:c>
      <x:c r="H115" s="155" t="n">
        <x:f>G115</x:f>
        <x:v>0</x:v>
      </x:c>
      <x:c r="I115" s="163" t="str">
        <x:v>ديكورات</x:v>
      </x:c>
    </x:row>
    <x:row r="116">
      <x:c r="A116" s="159" t="n">
        <x:f>IF(B116="","",$B$3)</x:f>
        <x:v>46387</x:v>
      </x:c>
      <x:c r="B116" s="163" t="str">
        <x:v>صيدلية لنا فرع طويق رقم 32</x:v>
      </x:c>
      <x:c r="C116" s="163" t="str">
        <x:f>IFERROR(INDEX('ربط حسابات الإهلاك'!$B$5:$B$14,MATCH(I116,'ربط حسابات الإهلاك'!$C$5:$C$14,0))&amp;" - "&amp;I116,I116)</x:f>
        <x:v>120102001001 - البرامج والأنظمة</x:v>
      </x:c>
      <x:c r="D116" s="163" t="str">
        <x:f>IFERROR(INDEX('ربط حسابات الإهلاك'!$F$5:$F$14,MATCH(I116,'ربط حسابات الإهلاك'!$C$5:$C$14,0))&amp;" - "&amp;INDEX('ربط حسابات الإهلاك'!$G$5:$G$14,MATCH(I116,'ربط حسابات الإهلاك'!$C$5:$C$14,0)),"غير مرتبط")</x:f>
        <x:v>520401010000 - مصروف إطفاء - البرامج والأنظمة</x:v>
      </x:c>
      <x:c r="E116" s="163" t="str">
        <x:f>IFERROR(INDEX('ربط حسابات الإهلاك'!$D$5:$D$14,MATCH(I116,'ربط حسابات الإهلاك'!$C$5:$C$14,0))&amp;" - "&amp;INDEX('ربط حسابات الإهلاك'!$E$5:$E$14,MATCH(I116,'ربط حسابات الإهلاك'!$C$5:$C$14,0)),"غير مرتبط")</x:f>
        <x:v>120102001002 - مجمع إطفاء - البرامج والأنظمة</x:v>
      </x:c>
      <x:c r="F116" s="163" t="str">
        <x:f>IF(G116=0,"",IF(I116="البرامج والأنظمة","إثبات مصروف ومجمع الإطفاء عن الفترة "&amp;TEXT($B$3,"mm-yyyy")&amp;" - مركز التكلفة: "&amp;B116&amp;" - حساب الأصل: "&amp;I116,"إثبات مصروف ومجمع الإهلاك عن الفترة "&amp;TEXT($B$3,"mm-yyyy")&amp;" - مركز التكلفة: "&amp;B116&amp;" - حساب الأصل: "&amp;I116))</x:f>
        <x:v>إثبات مصروف ومجمع الإطفاء عن الفترة 12-2026 - مركز التكلفة: صيدلية لنا فرع طويق رقم 32 - حساب الأصل: البرامج والأنظمة</x:v>
      </x:c>
      <x:c r="G116" s="155" t="n">
        <x:f>SUMIFS('جدول الاصول الثابته الجديد'!$L$6:$L$2004,'جدول الاصول الثابته الجديد'!$B$6:$B$2004,B116,'جدول الاصول الثابته الجديد'!$C$6:$C$2004,I116)</x:f>
        <x:v>277.75</x:v>
      </x:c>
      <x:c r="H116" s="155" t="n">
        <x:f>G116</x:f>
        <x:v>277.75</x:v>
      </x:c>
      <x:c r="I116" s="163" t="str">
        <x:v>البرامج والأنظمة</x:v>
      </x:c>
    </x:row>
    <x:row r="117">
      <x:c r="A117" s="159" t="n">
        <x:f>IF(B117="","",$B$3)</x:f>
        <x:v>46387</x:v>
      </x:c>
      <x:c r="B117" s="163" t="str">
        <x:v>صيدلية لنا فرع وادى لبن رقم 33</x:v>
      </x:c>
      <x:c r="C117" s="163" t="str">
        <x:f>IFERROR(INDEX('ربط حسابات الإهلاك'!$B$5:$B$14,MATCH(I117,'ربط حسابات الإهلاك'!$C$5:$C$14,0))&amp;" - "&amp;I117,I117)</x:f>
        <x:v>120101009000 - اجهزة ومعدات طبية</x:v>
      </x:c>
      <x:c r="D117" s="163" t="str">
        <x:f>IFERROR(INDEX('ربط حسابات الإهلاك'!$F$5:$F$14,MATCH(I117,'ربط حسابات الإهلاك'!$C$5:$C$14,0))&amp;" - "&amp;INDEX('ربط حسابات الإهلاك'!$G$5:$G$14,MATCH(I117,'ربط حسابات الإهلاك'!$C$5:$C$14,0)),"غير مرتبط")</x:f>
        <x:v>520401004000 - مصروف إهلاك - اجهزة ومعدات طبية</x:v>
      </x:c>
      <x:c r="E117" s="163" t="str">
        <x:f>IFERROR(INDEX('ربط حسابات الإهلاك'!$D$5:$D$14,MATCH(I117,'ربط حسابات الإهلاك'!$C$5:$C$14,0))&amp;" - "&amp;INDEX('ربط حسابات الإهلاك'!$E$5:$E$14,MATCH(I117,'ربط حسابات الإهلاك'!$C$5:$C$14,0)),"غير مرتبط")</x:f>
        <x:v>120101009002 - مجمع إهلاك - اجهزة ومعدات طبية</x:v>
      </x:c>
      <x:c r="F117" s="163" t="str">
        <x:f>IF(G117=0,"",IF(I117="البرامج والأنظمة","إثبات مصروف ومجمع الإطفاء عن الفترة "&amp;TEXT($B$3,"mm-yyyy")&amp;" - مركز التكلفة: "&amp;B117&amp;" - حساب الأصل: "&amp;I117,"إثبات مصروف ومجمع الإهلاك عن الفترة "&amp;TEXT($B$3,"mm-yyyy")&amp;" - مركز التكلفة: "&amp;B117&amp;" - حساب الأصل: "&amp;I117))</x:f>
      </x:c>
      <x:c r="G117" s="155" t="n">
        <x:f>SUMIFS('جدول الاصول الثابته الجديد'!$L$6:$L$2004,'جدول الاصول الثابته الجديد'!$B$6:$B$2004,B117,'جدول الاصول الثابته الجديد'!$C$6:$C$2004,I117)</x:f>
        <x:v>0</x:v>
      </x:c>
      <x:c r="H117" s="155" t="n">
        <x:f>G117</x:f>
        <x:v>0</x:v>
      </x:c>
      <x:c r="I117" s="163" t="str">
        <x:v>اجهزة ومعدات طبية</x:v>
      </x:c>
    </x:row>
    <x:row r="118">
      <x:c r="A118" s="159" t="n">
        <x:f>IF(B118="","",$B$3)</x:f>
        <x:v>46387</x:v>
      </x:c>
      <x:c r="B118" s="163" t="str">
        <x:v>صيدلية لنا فرع وادى لبن رقم 33</x:v>
      </x:c>
      <x:c r="C118" s="163" t="str">
        <x:f>IFERROR(INDEX('ربط حسابات الإهلاك'!$B$5:$B$14,MATCH(I118,'ربط حسابات الإهلاك'!$C$5:$C$14,0))&amp;" - "&amp;I118,I118)</x:f>
        <x:v>120101003000 - السيارات</x:v>
      </x:c>
      <x:c r="D118" s="163" t="str">
        <x:f>IFERROR(INDEX('ربط حسابات الإهلاك'!$F$5:$F$14,MATCH(I118,'ربط حسابات الإهلاك'!$C$5:$C$14,0))&amp;" - "&amp;INDEX('ربط حسابات الإهلاك'!$G$5:$G$14,MATCH(I118,'ربط حسابات الإهلاك'!$C$5:$C$14,0)),"غير مرتبط")</x:f>
        <x:v>520401005000 - مصروف إهلاك - السيارات</x:v>
      </x:c>
      <x:c r="E118" s="163" t="str">
        <x:f>IFERROR(INDEX('ربط حسابات الإهلاك'!$D$5:$D$14,MATCH(I118,'ربط حسابات الإهلاك'!$C$5:$C$14,0))&amp;" - "&amp;INDEX('ربط حسابات الإهلاك'!$E$5:$E$14,MATCH(I118,'ربط حسابات الإهلاك'!$C$5:$C$14,0)),"غير مرتبط")</x:f>
        <x:v>120101003001 - مجمع إهلاك - السيارات</x:v>
      </x:c>
      <x:c r="F118" s="163" t="str">
        <x:f>IF(G118=0,"",IF(I118="البرامج والأنظمة","إثبات مصروف ومجمع الإطفاء عن الفترة "&amp;TEXT($B$3,"mm-yyyy")&amp;" - مركز التكلفة: "&amp;B118&amp;" - حساب الأصل: "&amp;I118,"إثبات مصروف ومجمع الإهلاك عن الفترة "&amp;TEXT($B$3,"mm-yyyy")&amp;" - مركز التكلفة: "&amp;B118&amp;" - حساب الأصل: "&amp;I118))</x:f>
      </x:c>
      <x:c r="G118" s="155" t="n">
        <x:f>SUMIFS('جدول الاصول الثابته الجديد'!$L$6:$L$2004,'جدول الاصول الثابته الجديد'!$B$6:$B$2004,B118,'جدول الاصول الثابته الجديد'!$C$6:$C$2004,I118)</x:f>
        <x:v>0</x:v>
      </x:c>
      <x:c r="H118" s="155" t="n">
        <x:f>G118</x:f>
        <x:v>0</x:v>
      </x:c>
      <x:c r="I118" s="163" t="str">
        <x:v>السيارات</x:v>
      </x:c>
    </x:row>
    <x:row r="119">
      <x:c r="A119" s="159" t="n">
        <x:f>IF(B119="","",$B$3)</x:f>
        <x:v>46387</x:v>
      </x:c>
      <x:c r="B119" s="163" t="str">
        <x:v>صيدلية لنا فرع وادى لبن رقم 33</x:v>
      </x:c>
      <x:c r="C119" s="163" t="str">
        <x:f>IFERROR(INDEX('ربط حسابات الإهلاك'!$B$5:$B$14,MATCH(I119,'ربط حسابات الإهلاك'!$C$5:$C$14,0))&amp;" - "&amp;I119,I119)</x:f>
        <x:v>120101005001 - أثاث و مفروشات</x:v>
      </x:c>
      <x:c r="D119" s="163" t="str">
        <x:f>IFERROR(INDEX('ربط حسابات الإهلاك'!$F$5:$F$14,MATCH(I119,'ربط حسابات الإهلاك'!$C$5:$C$14,0))&amp;" - "&amp;INDEX('ربط حسابات الإهلاك'!$G$5:$G$14,MATCH(I119,'ربط حسابات الإهلاك'!$C$5:$C$14,0)),"غير مرتبط")</x:f>
        <x:v>520401006000 - مصروف إهلاك - أثاث و مفروشات</x:v>
      </x:c>
      <x:c r="E119" s="163" t="str">
        <x:f>IFERROR(INDEX('ربط حسابات الإهلاك'!$D$5:$D$14,MATCH(I119,'ربط حسابات الإهلاك'!$C$5:$C$14,0))&amp;" - "&amp;INDEX('ربط حسابات الإهلاك'!$E$5:$E$14,MATCH(I119,'ربط حسابات الإهلاك'!$C$5:$C$14,0)),"غير مرتبط")</x:f>
        <x:v>120101005002 - مجمع إهلاك - أثاث و مفروشات</x:v>
      </x:c>
      <x:c r="F119" s="163" t="str">
        <x:f>IF(G119=0,"",IF(I119="البرامج والأنظمة","إثبات مصروف ومجمع الإطفاء عن الفترة "&amp;TEXT($B$3,"mm-yyyy")&amp;" - مركز التكلفة: "&amp;B119&amp;" - حساب الأصل: "&amp;I119,"إثبات مصروف ومجمع الإهلاك عن الفترة "&amp;TEXT($B$3,"mm-yyyy")&amp;" - مركز التكلفة: "&amp;B119&amp;" - حساب الأصل: "&amp;I119))</x:f>
      </x:c>
      <x:c r="G119" s="155" t="n">
        <x:f>SUMIFS('جدول الاصول الثابته الجديد'!$L$6:$L$2004,'جدول الاصول الثابته الجديد'!$B$6:$B$2004,B119,'جدول الاصول الثابته الجديد'!$C$6:$C$2004,I119)</x:f>
        <x:v>0</x:v>
      </x:c>
      <x:c r="H119" s="155" t="n">
        <x:f>G119</x:f>
        <x:v>0</x:v>
      </x:c>
      <x:c r="I119" s="163" t="str">
        <x:v>أثاث و مفروشات</x:v>
      </x:c>
    </x:row>
    <x:row r="120">
      <x:c r="A120" s="159" t="n">
        <x:f>IF(B120="","",$B$3)</x:f>
        <x:v>46387</x:v>
      </x:c>
      <x:c r="B120" s="163" t="str">
        <x:v>صيدلية لنا فرع وادى لبن رقم 33</x:v>
      </x:c>
      <x:c r="C120" s="163" t="str">
        <x:f>IFERROR(INDEX('ربط حسابات الإهلاك'!$B$5:$B$14,MATCH(I120,'ربط حسابات الإهلاك'!$C$5:$C$14,0))&amp;" - "&amp;I120,I120)</x:f>
        <x:v>120101011001 - أثاث و مفروشات السكن</x:v>
      </x:c>
      <x:c r="D120" s="163" t="str">
        <x:f>IFERROR(INDEX('ربط حسابات الإهلاك'!$F$5:$F$14,MATCH(I120,'ربط حسابات الإهلاك'!$C$5:$C$14,0))&amp;" - "&amp;INDEX('ربط حسابات الإهلاك'!$G$5:$G$14,MATCH(I120,'ربط حسابات الإهلاك'!$C$5:$C$14,0)),"غير مرتبط")</x:f>
        <x:v>520401007000 - مصروف إهلاك - أثاث و مفروشات السكن</x:v>
      </x:c>
      <x:c r="E120" s="163" t="str">
        <x:f>IFERROR(INDEX('ربط حسابات الإهلاك'!$D$5:$D$14,MATCH(I120,'ربط حسابات الإهلاك'!$C$5:$C$14,0))&amp;" - "&amp;INDEX('ربط حسابات الإهلاك'!$E$5:$E$14,MATCH(I120,'ربط حسابات الإهلاك'!$C$5:$C$14,0)),"غير مرتبط")</x:f>
        <x:v>120101011002 - مجمع إهلاك - أثاث و مفروشات السكن</x:v>
      </x:c>
      <x:c r="F120" s="163" t="str">
        <x:f>IF(G120=0,"",IF(I120="البرامج والأنظمة","إثبات مصروف ومجمع الإطفاء عن الفترة "&amp;TEXT($B$3,"mm-yyyy")&amp;" - مركز التكلفة: "&amp;B120&amp;" - حساب الأصل: "&amp;I120,"إثبات مصروف ومجمع الإهلاك عن الفترة "&amp;TEXT($B$3,"mm-yyyy")&amp;" - مركز التكلفة: "&amp;B120&amp;" - حساب الأصل: "&amp;I120))</x:f>
      </x:c>
      <x:c r="G120" s="155" t="n">
        <x:f>SUMIFS('جدول الاصول الثابته الجديد'!$L$6:$L$2004,'جدول الاصول الثابته الجديد'!$B$6:$B$2004,B120,'جدول الاصول الثابته الجديد'!$C$6:$C$2004,I120)</x:f>
        <x:v>0</x:v>
      </x:c>
      <x:c r="H120" s="155" t="n">
        <x:f>G120</x:f>
        <x:v>0</x:v>
      </x:c>
      <x:c r="I120" s="163" t="str">
        <x:v>أثاث و مفروشات السكن</x:v>
      </x:c>
    </x:row>
    <x:row r="121">
      <x:c r="A121" s="159" t="n">
        <x:f>IF(B121="","",$B$3)</x:f>
        <x:v>46387</x:v>
      </x:c>
      <x:c r="B121" s="3" t="str">
        <x:v>صيدلية لنا فرع وادى لبن رقم 33</x:v>
      </x:c>
      <x:c r="C121" s="3" t="str">
        <x:f>IFERROR(INDEX('ربط حسابات الإهلاك'!$B$5:$B$14,MATCH(I121,'ربط حسابات الإهلاك'!$C$5:$C$14,0))&amp;" - "&amp;I121,I121)</x:f>
        <x:v>120101006001 - الاجهزة الالكترونية والحاسب الالي وملحقاته</x:v>
      </x:c>
      <x:c r="D121" s="3" t="str">
        <x:f>IFERROR(INDEX('ربط حسابات الإهلاك'!$F$5:$F$14,MATCH(I121,'ربط حسابات الإهلاك'!$C$5:$C$14,0))&amp;" - "&amp;INDEX('ربط حسابات الإهلاك'!$G$5:$G$14,MATCH(I121,'ربط حسابات الإهلاك'!$C$5:$C$14,0)),"غير مرتبط")</x:f>
        <x:v>520401009000 - مصروف إهلاك - الاجهزة الالكترونية والحاسب الالي وملحقاته</x:v>
      </x:c>
      <x:c r="E121" s="3" t="str">
        <x:f>IFERROR(INDEX('ربط حسابات الإهلاك'!$D$5:$D$14,MATCH(I121,'ربط حسابات الإهلاك'!$C$5:$C$14,0))&amp;" - "&amp;INDEX('ربط حسابات الإهلاك'!$E$5:$E$14,MATCH(I121,'ربط حسابات الإهلاك'!$C$5:$C$14,0)),"غير مرتبط")</x:f>
        <x:v>120101006002 - مجمع إهلاك - الاجهزة الالكترونية والحاسب الالي وملحقاته</x:v>
      </x:c>
      <x:c r="F121" s="3" t="str">
        <x:f>IF(G121=0,"",IF(I121="البرامج والأنظمة","إثبات مصروف ومجمع الإطفاء عن الفترة "&amp;TEXT($B$3,"mm-yyyy")&amp;" - مركز التكلفة: "&amp;B121&amp;" - حساب الأصل: "&amp;I121,"إثبات مصروف ومجمع الإهلاك عن الفترة "&amp;TEXT($B$3,"mm-yyyy")&amp;" - مركز التكلفة: "&amp;B121&amp;" - حساب الأصل: "&amp;I121))</x:f>
        <x:v>إثبات مصروف ومجمع الإهلاك عن الفترة 12-2026 - مركز التكلفة: صيدلية لنا فرع وادى لبن رقم 33 - حساب الأصل: الاجهزة الالكترونية والحاسب الالي وملحقاته</x:v>
      </x:c>
      <x:c r="G121" s="155" t="n">
        <x:f>SUMIFS('جدول الاصول الثابته الجديد'!$L$6:$L$2004,'جدول الاصول الثابته الجديد'!$B$6:$B$2004,B121,'جدول الاصول الثابته الجديد'!$C$6:$C$2004,I121)</x:f>
        <x:v>293.02625</x:v>
      </x:c>
      <x:c r="H121" s="155" t="n">
        <x:f>G121</x:f>
        <x:v>293.02625</x:v>
      </x:c>
      <x:c r="I121" t="str">
        <x:v>الاجهزة الالكترونية والحاسب الالي وملحقاته</x:v>
      </x:c>
    </x:row>
    <x:row r="122">
      <x:c r="A122" s="159" t="n">
        <x:f>IF(B122="","",$B$3)</x:f>
        <x:v>46387</x:v>
      </x:c>
      <x:c r="B122" s="3" t="str">
        <x:v>صيدلية لنا فرع وادى لبن رقم 33</x:v>
      </x:c>
      <x:c r="C122" s="3" t="str">
        <x:f>IFERROR(INDEX('ربط حسابات الإهلاك'!$B$5:$B$14,MATCH(I122,'ربط حسابات الإهلاك'!$C$5:$C$14,0))&amp;" - "&amp;I122,I122)</x:f>
        <x:v>120101007001 - الاجهزة الكهربائية</x:v>
      </x:c>
      <x:c r="D122" s="3" t="str">
        <x:f>IFERROR(INDEX('ربط حسابات الإهلاك'!$F$5:$F$14,MATCH(I122,'ربط حسابات الإهلاك'!$C$5:$C$14,0))&amp;" - "&amp;INDEX('ربط حسابات الإهلاك'!$G$5:$G$14,MATCH(I122,'ربط حسابات الإهلاك'!$C$5:$C$14,0)),"غير مرتبط")</x:f>
        <x:v>520401008000 - مصروف إهلاك - الاجهزة الكهربائية</x:v>
      </x:c>
      <x:c r="E122" s="3" t="str">
        <x:f>IFERROR(INDEX('ربط حسابات الإهلاك'!$D$5:$D$14,MATCH(I122,'ربط حسابات الإهلاك'!$C$5:$C$14,0))&amp;" - "&amp;INDEX('ربط حسابات الإهلاك'!$E$5:$E$14,MATCH(I122,'ربط حسابات الإهلاك'!$C$5:$C$14,0)),"غير مرتبط")</x:f>
        <x:v>120101007002 - مجمع إهلاك - الاجهزة الكهربائية</x:v>
      </x:c>
      <x:c r="F122" s="3" t="str">
        <x:f>IF(G122=0,"",IF(I122="البرامج والأنظمة","إثبات مصروف ومجمع الإطفاء عن الفترة "&amp;TEXT($B$3,"mm-yyyy")&amp;" - مركز التكلفة: "&amp;B122&amp;" - حساب الأصل: "&amp;I122,"إثبات مصروف ومجمع الإهلاك عن الفترة "&amp;TEXT($B$3,"mm-yyyy")&amp;" - مركز التكلفة: "&amp;B122&amp;" - حساب الأصل: "&amp;I122))</x:f>
      </x:c>
      <x:c r="G122" s="155" t="n">
        <x:f>SUMIFS('جدول الاصول الثابته الجديد'!$L$6:$L$2004,'جدول الاصول الثابته الجديد'!$B$6:$B$2004,B122,'جدول الاصول الثابته الجديد'!$C$6:$C$2004,I122)</x:f>
        <x:v>0</x:v>
      </x:c>
      <x:c r="H122" s="155" t="n">
        <x:f>G122</x:f>
        <x:v>0</x:v>
      </x:c>
      <x:c r="I122" t="str">
        <x:v>الاجهزة الكهربائية</x:v>
      </x:c>
    </x:row>
    <x:row r="123">
      <x:c r="A123" s="159" t="n">
        <x:f>IF(B123="","",$B$3)</x:f>
        <x:v>46387</x:v>
      </x:c>
      <x:c r="B123" s="3" t="str">
        <x:v>صيدلية لنا فرع وادى لبن رقم 33</x:v>
      </x:c>
      <x:c r="C123" s="3" t="str">
        <x:f>IFERROR(INDEX('ربط حسابات الإهلاك'!$B$5:$B$14,MATCH(I123,'ربط حسابات الإهلاك'!$C$5:$C$14,0))&amp;" - "&amp;I123,I123)</x:f>
        <x:v>120101002000 - تحسينات على مباني</x:v>
      </x:c>
      <x:c r="D123" s="3" t="str">
        <x:f>IFERROR(INDEX('ربط حسابات الإهلاك'!$F$5:$F$14,MATCH(I123,'ربط حسابات الإهلاك'!$C$5:$C$14,0))&amp;" - "&amp;INDEX('ربط حسابات الإهلاك'!$G$5:$G$14,MATCH(I123,'ربط حسابات الإهلاك'!$C$5:$C$14,0)),"غير مرتبط")</x:f>
        <x:v>520401001000 - مصروف إهلاك - تحسينات على مباني</x:v>
      </x:c>
      <x:c r="E123" s="3" t="str">
        <x:f>IFERROR(INDEX('ربط حسابات الإهلاك'!$D$5:$D$14,MATCH(I123,'ربط حسابات الإهلاك'!$C$5:$C$14,0))&amp;" - "&amp;INDEX('ربط حسابات الإهلاك'!$E$5:$E$14,MATCH(I123,'ربط حسابات الإهلاك'!$C$5:$C$14,0)),"غير مرتبط")</x:f>
        <x:v>120101002002 - مجمع إهلاك - تحسينات على مباني</x:v>
      </x:c>
      <x:c r="F123" s="3" t="str">
        <x:f>IF(G123=0,"",IF(I123="البرامج والأنظمة","إثبات مصروف ومجمع الإطفاء عن الفترة "&amp;TEXT($B$3,"mm-yyyy")&amp;" - مركز التكلفة: "&amp;B123&amp;" - حساب الأصل: "&amp;I123,"إثبات مصروف ومجمع الإهلاك عن الفترة "&amp;TEXT($B$3,"mm-yyyy")&amp;" - مركز التكلفة: "&amp;B123&amp;" - حساب الأصل: "&amp;I123))</x:f>
      </x:c>
      <x:c r="G123" s="155" t="n">
        <x:f>SUMIFS('جدول الاصول الثابته الجديد'!$L$6:$L$2004,'جدول الاصول الثابته الجديد'!$B$6:$B$2004,B123,'جدول الاصول الثابته الجديد'!$C$6:$C$2004,I123)</x:f>
        <x:v>0</x:v>
      </x:c>
      <x:c r="H123" s="155" t="n">
        <x:f>G123</x:f>
        <x:v>0</x:v>
      </x:c>
      <x:c r="I123" t="str">
        <x:v>تحسينات على مباني</x:v>
      </x:c>
    </x:row>
    <x:row r="124">
      <x:c r="A124" s="159" t="n">
        <x:f>IF(B124="","",$B$3)</x:f>
        <x:v>46387</x:v>
      </x:c>
      <x:c r="B124" s="3" t="str">
        <x:v>صيدلية لنا فرع وادى لبن رقم 33</x:v>
      </x:c>
      <x:c r="C124" s="3" t="str">
        <x:f>IFERROR(INDEX('ربط حسابات الإهلاك'!$B$5:$B$14,MATCH(I124,'ربط حسابات الإهلاك'!$C$5:$C$14,0))&amp;" - "&amp;I124,I124)</x:f>
        <x:v>120101001000 - اجهزة التكييف</x:v>
      </x:c>
      <x:c r="D124" s="3" t="str">
        <x:f>IFERROR(INDEX('ربط حسابات الإهلاك'!$F$5:$F$14,MATCH(I124,'ربط حسابات الإهلاك'!$C$5:$C$14,0))&amp;" - "&amp;INDEX('ربط حسابات الإهلاك'!$G$5:$G$14,MATCH(I124,'ربط حسابات الإهلاك'!$C$5:$C$14,0)),"غير مرتبط")</x:f>
        <x:v>520401002000 - مصروف إهلاك - اجهزة التكييف</x:v>
      </x:c>
      <x:c r="E124" s="3" t="str">
        <x:f>IFERROR(INDEX('ربط حسابات الإهلاك'!$D$5:$D$14,MATCH(I124,'ربط حسابات الإهلاك'!$C$5:$C$14,0))&amp;" - "&amp;INDEX('ربط حسابات الإهلاك'!$E$5:$E$14,MATCH(I124,'ربط حسابات الإهلاك'!$C$5:$C$14,0)),"غير مرتبط")</x:f>
        <x:v>120101001002 - مجمع إهلاك - اجهزة التكييف</x:v>
      </x:c>
      <x:c r="F124" s="3" t="str">
        <x:f>IF(G124=0,"",IF(I124="البرامج والأنظمة","إثبات مصروف ومجمع الإطفاء عن الفترة "&amp;TEXT($B$3,"mm-yyyy")&amp;" - مركز التكلفة: "&amp;B124&amp;" - حساب الأصل: "&amp;I124,"إثبات مصروف ومجمع الإهلاك عن الفترة "&amp;TEXT($B$3,"mm-yyyy")&amp;" - مركز التكلفة: "&amp;B124&amp;" - حساب الأصل: "&amp;I124))</x:f>
        <x:v>إثبات مصروف ومجمع الإهلاك عن الفترة 12-2026 - مركز التكلفة: صيدلية لنا فرع وادى لبن رقم 33 - حساب الأصل: اجهزة التكييف</x:v>
      </x:c>
      <x:c r="G124" s="155" t="n">
        <x:f>SUMIFS('جدول الاصول الثابته الجديد'!$L$6:$L$2004,'جدول الاصول الثابته الجديد'!$B$6:$B$2004,B124,'جدول الاصول الثابته الجديد'!$C$6:$C$2004,I124)</x:f>
        <x:v>268.76975000000004</x:v>
      </x:c>
      <x:c r="H124" s="155" t="n">
        <x:f>G124</x:f>
        <x:v>268.76975000000004</x:v>
      </x:c>
      <x:c r="I124" t="str">
        <x:v>اجهزة التكييف</x:v>
      </x:c>
    </x:row>
    <x:row r="125">
      <x:c r="A125" s="159" t="n">
        <x:f>IF(B125="","",$B$3)</x:f>
        <x:v>46387</x:v>
      </x:c>
      <x:c r="B125" s="3" t="str">
        <x:v>صيدلية لنا فرع وادى لبن رقم 33</x:v>
      </x:c>
      <x:c r="C125" s="3" t="str">
        <x:f>IFERROR(INDEX('ربط حسابات الإهلاك'!$B$5:$B$14,MATCH(I125,'ربط حسابات الإهلاك'!$C$5:$C$14,0))&amp;" - "&amp;I125,I125)</x:f>
        <x:v>120101004000 - ديكورات</x:v>
      </x:c>
      <x:c r="D125" s="3" t="str">
        <x:f>IFERROR(INDEX('ربط حسابات الإهلاك'!$F$5:$F$14,MATCH(I125,'ربط حسابات الإهلاك'!$C$5:$C$14,0))&amp;" - "&amp;INDEX('ربط حسابات الإهلاك'!$G$5:$G$14,MATCH(I125,'ربط حسابات الإهلاك'!$C$5:$C$14,0)),"غير مرتبط")</x:f>
        <x:v>520401003000 - مصروف إهلاك - ديكورات</x:v>
      </x:c>
      <x:c r="E125" s="3" t="str">
        <x:f>IFERROR(INDEX('ربط حسابات الإهلاك'!$D$5:$D$14,MATCH(I125,'ربط حسابات الإهلاك'!$C$5:$C$14,0))&amp;" - "&amp;INDEX('ربط حسابات الإهلاك'!$E$5:$E$14,MATCH(I125,'ربط حسابات الإهلاك'!$C$5:$C$14,0)),"غير مرتبط")</x:f>
        <x:v>120101004002 - مجمع إهلاك - ديكورات</x:v>
      </x:c>
      <x:c r="F125" s="3" t="str">
        <x:f>IF(G125=0,"",IF(I125="البرامج والأنظمة","إثبات مصروف ومجمع الإطفاء عن الفترة "&amp;TEXT($B$3,"mm-yyyy")&amp;" - مركز التكلفة: "&amp;B125&amp;" - حساب الأصل: "&amp;I125,"إثبات مصروف ومجمع الإهلاك عن الفترة "&amp;TEXT($B$3,"mm-yyyy")&amp;" - مركز التكلفة: "&amp;B125&amp;" - حساب الأصل: "&amp;I125))</x:f>
      </x:c>
      <x:c r="G125" s="155" t="n">
        <x:f>SUMIFS('جدول الاصول الثابته الجديد'!$L$6:$L$2004,'جدول الاصول الثابته الجديد'!$B$6:$B$2004,B125,'جدول الاصول الثابته الجديد'!$C$6:$C$2004,I125)</x:f>
        <x:v>0</x:v>
      </x:c>
      <x:c r="H125" s="155" t="n">
        <x:f>G125</x:f>
        <x:v>0</x:v>
      </x:c>
      <x:c r="I125" t="str">
        <x:v>ديكورات</x:v>
      </x:c>
    </x:row>
    <x:row r="126">
      <x:c r="A126" s="159" t="n">
        <x:f>IF(B126="","",$B$3)</x:f>
        <x:v>46387</x:v>
      </x:c>
      <x:c r="B126" s="3" t="str">
        <x:v>صيدلية لنا فرع وادى لبن رقم 33</x:v>
      </x:c>
      <x:c r="C126" s="3" t="str">
        <x:f>IFERROR(INDEX('ربط حسابات الإهلاك'!$B$5:$B$14,MATCH(I126,'ربط حسابات الإهلاك'!$C$5:$C$14,0))&amp;" - "&amp;I126,I126)</x:f>
        <x:v>120102001001 - البرامج والأنظمة</x:v>
      </x:c>
      <x:c r="D126" s="3" t="str">
        <x:f>IFERROR(INDEX('ربط حسابات الإهلاك'!$F$5:$F$14,MATCH(I126,'ربط حسابات الإهلاك'!$C$5:$C$14,0))&amp;" - "&amp;INDEX('ربط حسابات الإهلاك'!$G$5:$G$14,MATCH(I126,'ربط حسابات الإهلاك'!$C$5:$C$14,0)),"غير مرتبط")</x:f>
        <x:v>520401010000 - مصروف إطفاء - البرامج والأنظمة</x:v>
      </x:c>
      <x:c r="E126" s="3" t="str">
        <x:f>IFERROR(INDEX('ربط حسابات الإهلاك'!$D$5:$D$14,MATCH(I126,'ربط حسابات الإهلاك'!$C$5:$C$14,0))&amp;" - "&amp;INDEX('ربط حسابات الإهلاك'!$E$5:$E$14,MATCH(I126,'ربط حسابات الإهلاك'!$C$5:$C$14,0)),"غير مرتبط")</x:f>
        <x:v>120102001002 - مجمع إطفاء - البرامج والأنظمة</x:v>
      </x:c>
      <x:c r="F126" s="3" t="str">
        <x:f>IF(G126=0,"",IF(I126="البرامج والأنظمة","إثبات مصروف ومجمع الإطفاء عن الفترة "&amp;TEXT($B$3,"mm-yyyy")&amp;" - مركز التكلفة: "&amp;B126&amp;" - حساب الأصل: "&amp;I126,"إثبات مصروف ومجمع الإهلاك عن الفترة "&amp;TEXT($B$3,"mm-yyyy")&amp;" - مركز التكلفة: "&amp;B126&amp;" - حساب الأصل: "&amp;I126))</x:f>
        <x:v>إثبات مصروف ومجمع الإطفاء عن الفترة 12-2026 - مركز التكلفة: صيدلية لنا فرع وادى لبن رقم 33 - حساب الأصل: البرامج والأنظمة</x:v>
      </x:c>
      <x:c r="G126" s="155" t="n">
        <x:f>SUMIFS('جدول الاصول الثابته الجديد'!$L$6:$L$2004,'جدول الاصول الثابته الجديد'!$B$6:$B$2004,B126,'جدول الاصول الثابته الجديد'!$C$6:$C$2004,I126)</x:f>
        <x:v>277.75</x:v>
      </x:c>
      <x:c r="H126" s="155" t="n">
        <x:f>G126</x:f>
        <x:v>277.75</x:v>
      </x:c>
      <x:c r="I126" t="str">
        <x:v>البرامج والأنظمة</x:v>
      </x:c>
    </x:row>
    <x:row r="127">
      <x:c r="A127" s="159" t="n">
        <x:f>IF(B127="","",$B$3)</x:f>
        <x:v>46387</x:v>
      </x:c>
      <x:c r="B127" s="3" t="str">
        <x:v>مركز التكلفة العام الصيدلية</x:v>
      </x:c>
      <x:c r="C127" s="3" t="str">
        <x:f>IFERROR(INDEX('ربط حسابات الإهلاك'!$B$5:$B$14,MATCH(I127,'ربط حسابات الإهلاك'!$C$5:$C$14,0))&amp;" - "&amp;I127,I127)</x:f>
        <x:v>120101009000 - اجهزة ومعدات طبية</x:v>
      </x:c>
      <x:c r="D127" s="3" t="str">
        <x:f>IFERROR(INDEX('ربط حسابات الإهلاك'!$F$5:$F$14,MATCH(I127,'ربط حسابات الإهلاك'!$C$5:$C$14,0))&amp;" - "&amp;INDEX('ربط حسابات الإهلاك'!$G$5:$G$14,MATCH(I127,'ربط حسابات الإهلاك'!$C$5:$C$14,0)),"غير مرتبط")</x:f>
        <x:v>520401004000 - مصروف إهلاك - اجهزة ومعدات طبية</x:v>
      </x:c>
      <x:c r="E127" s="3" t="str">
        <x:f>IFERROR(INDEX('ربط حسابات الإهلاك'!$D$5:$D$14,MATCH(I127,'ربط حسابات الإهلاك'!$C$5:$C$14,0))&amp;" - "&amp;INDEX('ربط حسابات الإهلاك'!$E$5:$E$14,MATCH(I127,'ربط حسابات الإهلاك'!$C$5:$C$14,0)),"غير مرتبط")</x:f>
        <x:v>120101009002 - مجمع إهلاك - اجهزة ومعدات طبية</x:v>
      </x:c>
      <x:c r="F127" s="3" t="str">
        <x:f>IF(G127=0,"",IF(I127="البرامج والأنظمة","إثبات مصروف ومجمع الإطفاء عن الفترة "&amp;TEXT($B$3,"mm-yyyy")&amp;" - مركز التكلفة: "&amp;B127&amp;" - حساب الأصل: "&amp;I127,"إثبات مصروف ومجمع الإهلاك عن الفترة "&amp;TEXT($B$3,"mm-yyyy")&amp;" - مركز التكلفة: "&amp;B127&amp;" - حساب الأصل: "&amp;I127))</x:f>
      </x:c>
      <x:c r="G127" s="155" t="n">
        <x:f>SUMIFS('جدول الاصول الثابته الجديد'!$L$6:$L$2004,'جدول الاصول الثابته الجديد'!$B$6:$B$2004,B127,'جدول الاصول الثابته الجديد'!$C$6:$C$2004,I127)</x:f>
        <x:v>0</x:v>
      </x:c>
      <x:c r="H127" s="155" t="n">
        <x:f>G127</x:f>
        <x:v>0</x:v>
      </x:c>
      <x:c r="I127" t="str">
        <x:v>اجهزة ومعدات طبية</x:v>
      </x:c>
    </x:row>
    <x:row r="128">
      <x:c r="A128" s="159" t="n">
        <x:f>IF(B128="","",$B$3)</x:f>
        <x:v>46387</x:v>
      </x:c>
      <x:c r="B128" s="3" t="str">
        <x:v>مركز التكلفة العام الصيدلية</x:v>
      </x:c>
      <x:c r="C128" s="3" t="str">
        <x:f>IFERROR(INDEX('ربط حسابات الإهلاك'!$B$5:$B$14,MATCH(I128,'ربط حسابات الإهلاك'!$C$5:$C$14,0))&amp;" - "&amp;I128,I128)</x:f>
        <x:v>120101003000 - السيارات</x:v>
      </x:c>
      <x:c r="D128" s="3" t="str">
        <x:f>IFERROR(INDEX('ربط حسابات الإهلاك'!$F$5:$F$14,MATCH(I128,'ربط حسابات الإهلاك'!$C$5:$C$14,0))&amp;" - "&amp;INDEX('ربط حسابات الإهلاك'!$G$5:$G$14,MATCH(I128,'ربط حسابات الإهلاك'!$C$5:$C$14,0)),"غير مرتبط")</x:f>
        <x:v>520401005000 - مصروف إهلاك - السيارات</x:v>
      </x:c>
      <x:c r="E128" s="3" t="str">
        <x:f>IFERROR(INDEX('ربط حسابات الإهلاك'!$D$5:$D$14,MATCH(I128,'ربط حسابات الإهلاك'!$C$5:$C$14,0))&amp;" - "&amp;INDEX('ربط حسابات الإهلاك'!$E$5:$E$14,MATCH(I128,'ربط حسابات الإهلاك'!$C$5:$C$14,0)),"غير مرتبط")</x:f>
        <x:v>120101003001 - مجمع إهلاك - السيارات</x:v>
      </x:c>
      <x:c r="F128" s="3" t="str">
        <x:f>IF(G128=0,"",IF(I128="البرامج والأنظمة","إثبات مصروف ومجمع الإطفاء عن الفترة "&amp;TEXT($B$3,"mm-yyyy")&amp;" - مركز التكلفة: "&amp;B128&amp;" - حساب الأصل: "&amp;I128,"إثبات مصروف ومجمع الإهلاك عن الفترة "&amp;TEXT($B$3,"mm-yyyy")&amp;" - مركز التكلفة: "&amp;B128&amp;" - حساب الأصل: "&amp;I128))</x:f>
        <x:v>إثبات مصروف ومجمع الإهلاك عن الفترة 12-2026 - مركز التكلفة: مركز التكلفة العام الصيدلية - حساب الأصل: السيارات</x:v>
      </x:c>
      <x:c r="G128" s="155" t="n">
        <x:f>SUMIFS('جدول الاصول الثابته الجديد'!$L$6:$L$2004,'جدول الاصول الثابته الجديد'!$B$6:$B$2004,B128,'جدول الاصول الثابته الجديد'!$C$6:$C$2004,I128)</x:f>
        <x:v>12108.115999999998</x:v>
      </x:c>
      <x:c r="H128" s="155" t="n">
        <x:f>G128</x:f>
        <x:v>12108.115999999998</x:v>
      </x:c>
      <x:c r="I128" t="str">
        <x:v>السيارات</x:v>
      </x:c>
    </x:row>
    <x:row r="129">
      <x:c r="A129" s="159" t="n">
        <x:f>IF(B129="","",$B$3)</x:f>
        <x:v>46387</x:v>
      </x:c>
      <x:c r="B129" s="3" t="str">
        <x:v>مركز التكلفة العام الصيدلية</x:v>
      </x:c>
      <x:c r="C129" s="3" t="str">
        <x:f>IFERROR(INDEX('ربط حسابات الإهلاك'!$B$5:$B$14,MATCH(I129,'ربط حسابات الإهلاك'!$C$5:$C$14,0))&amp;" - "&amp;I129,I129)</x:f>
        <x:v>120101005001 - أثاث و مفروشات</x:v>
      </x:c>
      <x:c r="D129" s="3" t="str">
        <x:f>IFERROR(INDEX('ربط حسابات الإهلاك'!$F$5:$F$14,MATCH(I129,'ربط حسابات الإهلاك'!$C$5:$C$14,0))&amp;" - "&amp;INDEX('ربط حسابات الإهلاك'!$G$5:$G$14,MATCH(I129,'ربط حسابات الإهلاك'!$C$5:$C$14,0)),"غير مرتبط")</x:f>
        <x:v>520401006000 - مصروف إهلاك - أثاث و مفروشات</x:v>
      </x:c>
      <x:c r="E129" s="3" t="str">
        <x:f>IFERROR(INDEX('ربط حسابات الإهلاك'!$D$5:$D$14,MATCH(I129,'ربط حسابات الإهلاك'!$C$5:$C$14,0))&amp;" - "&amp;INDEX('ربط حسابات الإهلاك'!$E$5:$E$14,MATCH(I129,'ربط حسابات الإهلاك'!$C$5:$C$14,0)),"غير مرتبط")</x:f>
        <x:v>120101005002 - مجمع إهلاك - أثاث و مفروشات</x:v>
      </x:c>
      <x:c r="F129" s="3" t="str">
        <x:f>IF(G129=0,"",IF(I129="البرامج والأنظمة","إثبات مصروف ومجمع الإطفاء عن الفترة "&amp;TEXT($B$3,"mm-yyyy")&amp;" - مركز التكلفة: "&amp;B129&amp;" - حساب الأصل: "&amp;I129,"إثبات مصروف ومجمع الإهلاك عن الفترة "&amp;TEXT($B$3,"mm-yyyy")&amp;" - مركز التكلفة: "&amp;B129&amp;" - حساب الأصل: "&amp;I129))</x:f>
        <x:v>إثبات مصروف ومجمع الإهلاك عن الفترة 12-2026 - مركز التكلفة: مركز التكلفة العام الصيدلية - حساب الأصل: أثاث و مفروشات</x:v>
      </x:c>
      <x:c r="G129" s="155" t="n">
        <x:f>SUMIFS('جدول الاصول الثابته الجديد'!$L$6:$L$2004,'جدول الاصول الثابته الجديد'!$B$6:$B$2004,B129,'جدول الاصول الثابته الجديد'!$C$6:$C$2004,I129)</x:f>
        <x:v>45</x:v>
      </x:c>
      <x:c r="H129" s="155" t="n">
        <x:f>G129</x:f>
        <x:v>45</x:v>
      </x:c>
      <x:c r="I129" t="str">
        <x:v>أثاث و مفروشات</x:v>
      </x:c>
    </x:row>
    <x:row r="130">
      <x:c r="A130" s="159" t="n">
        <x:f>IF(B130="","",$B$3)</x:f>
        <x:v>46387</x:v>
      </x:c>
      <x:c r="B130" s="3" t="str">
        <x:v>مركز التكلفة العام الصيدلية</x:v>
      </x:c>
      <x:c r="C130" s="3" t="str">
        <x:f>IFERROR(INDEX('ربط حسابات الإهلاك'!$B$5:$B$14,MATCH(I130,'ربط حسابات الإهلاك'!$C$5:$C$14,0))&amp;" - "&amp;I130,I130)</x:f>
        <x:v>120101011001 - أثاث و مفروشات السكن</x:v>
      </x:c>
      <x:c r="D130" s="3" t="str">
        <x:f>IFERROR(INDEX('ربط حسابات الإهلاك'!$F$5:$F$14,MATCH(I130,'ربط حسابات الإهلاك'!$C$5:$C$14,0))&amp;" - "&amp;INDEX('ربط حسابات الإهلاك'!$G$5:$G$14,MATCH(I130,'ربط حسابات الإهلاك'!$C$5:$C$14,0)),"غير مرتبط")</x:f>
        <x:v>520401007000 - مصروف إهلاك - أثاث و مفروشات السكن</x:v>
      </x:c>
      <x:c r="E130" s="3" t="str">
        <x:f>IFERROR(INDEX('ربط حسابات الإهلاك'!$D$5:$D$14,MATCH(I130,'ربط حسابات الإهلاك'!$C$5:$C$14,0))&amp;" - "&amp;INDEX('ربط حسابات الإهلاك'!$E$5:$E$14,MATCH(I130,'ربط حسابات الإهلاك'!$C$5:$C$14,0)),"غير مرتبط")</x:f>
        <x:v>120101011002 - مجمع إهلاك - أثاث و مفروشات السكن</x:v>
      </x:c>
      <x:c r="F130" s="3" t="str">
        <x:f>IF(G130=0,"",IF(I130="البرامج والأنظمة","إثبات مصروف ومجمع الإطفاء عن الفترة "&amp;TEXT($B$3,"mm-yyyy")&amp;" - مركز التكلفة: "&amp;B130&amp;" - حساب الأصل: "&amp;I130,"إثبات مصروف ومجمع الإهلاك عن الفترة "&amp;TEXT($B$3,"mm-yyyy")&amp;" - مركز التكلفة: "&amp;B130&amp;" - حساب الأصل: "&amp;I130))</x:f>
        <x:v>إثبات مصروف ومجمع الإهلاك عن الفترة 12-2026 - مركز التكلفة: مركز التكلفة العام الصيدلية - حساب الأصل: أثاث و مفروشات السكن</x:v>
      </x:c>
      <x:c r="G130" s="155" t="n">
        <x:f>SUMIFS('جدول الاصول الثابته الجديد'!$L$6:$L$2004,'جدول الاصول الثابته الجديد'!$B$6:$B$2004,B130,'جدول الاصول الثابته الجديد'!$C$6:$C$2004,I130)</x:f>
        <x:v>248.05166666666668</x:v>
      </x:c>
      <x:c r="H130" s="155" t="n">
        <x:f>G130</x:f>
        <x:v>248.05166666666668</x:v>
      </x:c>
      <x:c r="I130" t="str">
        <x:v>أثاث و مفروشات السكن</x:v>
      </x:c>
    </x:row>
    <x:row r="131">
      <x:c r="A131" s="159" t="n">
        <x:f>IF(B131="","",$B$3)</x:f>
        <x:v>46387</x:v>
      </x:c>
      <x:c r="B131" s="3" t="str">
        <x:v>مركز التكلفة العام الصيدلية</x:v>
      </x:c>
      <x:c r="C131" s="3" t="str">
        <x:f>IFERROR(INDEX('ربط حسابات الإهلاك'!$B$5:$B$14,MATCH(I131,'ربط حسابات الإهلاك'!$C$5:$C$14,0))&amp;" - "&amp;I131,I131)</x:f>
        <x:v>120101006001 - الاجهزة الالكترونية والحاسب الالي وملحقاته</x:v>
      </x:c>
      <x:c r="D131" s="3" t="str">
        <x:f>IFERROR(INDEX('ربط حسابات الإهلاك'!$F$5:$F$14,MATCH(I131,'ربط حسابات الإهلاك'!$C$5:$C$14,0))&amp;" - "&amp;INDEX('ربط حسابات الإهلاك'!$G$5:$G$14,MATCH(I131,'ربط حسابات الإهلاك'!$C$5:$C$14,0)),"غير مرتبط")</x:f>
        <x:v>520401009000 - مصروف إهلاك - الاجهزة الالكترونية والحاسب الالي وملحقاته</x:v>
      </x:c>
      <x:c r="E131" s="3" t="str">
        <x:f>IFERROR(INDEX('ربط حسابات الإهلاك'!$D$5:$D$14,MATCH(I131,'ربط حسابات الإهلاك'!$C$5:$C$14,0))&amp;" - "&amp;INDEX('ربط حسابات الإهلاك'!$E$5:$E$14,MATCH(I131,'ربط حسابات الإهلاك'!$C$5:$C$14,0)),"غير مرتبط")</x:f>
        <x:v>120101006002 - مجمع إهلاك - الاجهزة الالكترونية والحاسب الالي وملحقاته</x:v>
      </x:c>
      <x:c r="F131" s="3" t="str">
        <x:f>IF(G131=0,"",IF(I131="البرامج والأنظمة","إثبات مصروف ومجمع الإطفاء عن الفترة "&amp;TEXT($B$3,"mm-yyyy")&amp;" - مركز التكلفة: "&amp;B131&amp;" - حساب الأصل: "&amp;I131,"إثبات مصروف ومجمع الإهلاك عن الفترة "&amp;TEXT($B$3,"mm-yyyy")&amp;" - مركز التكلفة: "&amp;B131&amp;" - حساب الأصل: "&amp;I131))</x:f>
        <x:v>إثبات مصروف ومجمع الإهلاك عن الفترة 12-2026 - مركز التكلفة: مركز التكلفة العام الصيدلية - حساب الأصل: الاجهزة الالكترونية والحاسب الالي وملحقاته</x:v>
      </x:c>
      <x:c r="G131" s="155" t="n">
        <x:f>SUMIFS('جدول الاصول الثابته الجديد'!$L$6:$L$2004,'جدول الاصول الثابته الجديد'!$B$6:$B$2004,B131,'جدول الاصول الثابته الجديد'!$C$6:$C$2004,I131)</x:f>
        <x:v>2022.5503465821928</x:v>
      </x:c>
      <x:c r="H131" s="155" t="n">
        <x:f>G131</x:f>
        <x:v>2022.5503465821928</x:v>
      </x:c>
      <x:c r="I131" t="str">
        <x:v>الاجهزة الالكترونية والحاسب الالي وملحقاته</x:v>
      </x:c>
    </x:row>
    <x:row r="132">
      <x:c r="A132" s="159" t="n">
        <x:f>IF(B132="","",$B$3)</x:f>
        <x:v>46387</x:v>
      </x:c>
      <x:c r="B132" s="3" t="str">
        <x:v>مركز التكلفة العام الصيدلية</x:v>
      </x:c>
      <x:c r="C132" s="3" t="str">
        <x:f>IFERROR(INDEX('ربط حسابات الإهلاك'!$B$5:$B$14,MATCH(I132,'ربط حسابات الإهلاك'!$C$5:$C$14,0))&amp;" - "&amp;I132,I132)</x:f>
        <x:v>120101007001 - الاجهزة الكهربائية</x:v>
      </x:c>
      <x:c r="D132" s="3" t="str">
        <x:f>IFERROR(INDEX('ربط حسابات الإهلاك'!$F$5:$F$14,MATCH(I132,'ربط حسابات الإهلاك'!$C$5:$C$14,0))&amp;" - "&amp;INDEX('ربط حسابات الإهلاك'!$G$5:$G$14,MATCH(I132,'ربط حسابات الإهلاك'!$C$5:$C$14,0)),"غير مرتبط")</x:f>
        <x:v>520401008000 - مصروف إهلاك - الاجهزة الكهربائية</x:v>
      </x:c>
      <x:c r="E132" s="3" t="str">
        <x:f>IFERROR(INDEX('ربط حسابات الإهلاك'!$D$5:$D$14,MATCH(I132,'ربط حسابات الإهلاك'!$C$5:$C$14,0))&amp;" - "&amp;INDEX('ربط حسابات الإهلاك'!$E$5:$E$14,MATCH(I132,'ربط حسابات الإهلاك'!$C$5:$C$14,0)),"غير مرتبط")</x:f>
        <x:v>120101007002 - مجمع إهلاك - الاجهزة الكهربائية</x:v>
      </x:c>
      <x:c r="F132" s="3" t="str">
        <x:f>IF(G132=0,"",IF(I132="البرامج والأنظمة","إثبات مصروف ومجمع الإطفاء عن الفترة "&amp;TEXT($B$3,"mm-yyyy")&amp;" - مركز التكلفة: "&amp;B132&amp;" - حساب الأصل: "&amp;I132,"إثبات مصروف ومجمع الإهلاك عن الفترة "&amp;TEXT($B$3,"mm-yyyy")&amp;" - مركز التكلفة: "&amp;B132&amp;" - حساب الأصل: "&amp;I132))</x:f>
        <x:v>إثبات مصروف ومجمع الإهلاك عن الفترة 12-2026 - مركز التكلفة: مركز التكلفة العام الصيدلية - حساب الأصل: الاجهزة الكهربائية</x:v>
      </x:c>
      <x:c r="G132" s="155" t="n">
        <x:f>SUMIFS('جدول الاصول الثابته الجديد'!$L$6:$L$2004,'جدول الاصول الثابته الجديد'!$B$6:$B$2004,B132,'جدول الاصول الثابته الجديد'!$C$6:$C$2004,I132)</x:f>
        <x:v>110.3055</x:v>
      </x:c>
      <x:c r="H132" s="155" t="n">
        <x:f>G132</x:f>
        <x:v>110.3055</x:v>
      </x:c>
      <x:c r="I132" t="str">
        <x:v>الاجهزة الكهربائية</x:v>
      </x:c>
    </x:row>
    <x:row r="133">
      <x:c r="A133" s="159" t="n">
        <x:f>IF(B133="","",$B$3)</x:f>
        <x:v>46387</x:v>
      </x:c>
      <x:c r="B133" s="3" t="str">
        <x:v>مركز التكلفة العام الصيدلية</x:v>
      </x:c>
      <x:c r="C133" s="3" t="str">
        <x:f>IFERROR(INDEX('ربط حسابات الإهلاك'!$B$5:$B$14,MATCH(I133,'ربط حسابات الإهلاك'!$C$5:$C$14,0))&amp;" - "&amp;I133,I133)</x:f>
        <x:v>120101002000 - تحسينات على مباني</x:v>
      </x:c>
      <x:c r="D133" s="3" t="str">
        <x:f>IFERROR(INDEX('ربط حسابات الإهلاك'!$F$5:$F$14,MATCH(I133,'ربط حسابات الإهلاك'!$C$5:$C$14,0))&amp;" - "&amp;INDEX('ربط حسابات الإهلاك'!$G$5:$G$14,MATCH(I133,'ربط حسابات الإهلاك'!$C$5:$C$14,0)),"غير مرتبط")</x:f>
        <x:v>520401001000 - مصروف إهلاك - تحسينات على مباني</x:v>
      </x:c>
      <x:c r="E133" s="3" t="str">
        <x:f>IFERROR(INDEX('ربط حسابات الإهلاك'!$D$5:$D$14,MATCH(I133,'ربط حسابات الإهلاك'!$C$5:$C$14,0))&amp;" - "&amp;INDEX('ربط حسابات الإهلاك'!$E$5:$E$14,MATCH(I133,'ربط حسابات الإهلاك'!$C$5:$C$14,0)),"غير مرتبط")</x:f>
        <x:v>120101002002 - مجمع إهلاك - تحسينات على مباني</x:v>
      </x:c>
      <x:c r="F133" s="3" t="str">
        <x:f>IF(G133=0,"",IF(I133="البرامج والأنظمة","إثبات مصروف ومجمع الإطفاء عن الفترة "&amp;TEXT($B$3,"mm-yyyy")&amp;" - مركز التكلفة: "&amp;B133&amp;" - حساب الأصل: "&amp;I133,"إثبات مصروف ومجمع الإهلاك عن الفترة "&amp;TEXT($B$3,"mm-yyyy")&amp;" - مركز التكلفة: "&amp;B133&amp;" - حساب الأصل: "&amp;I133))</x:f>
        <x:v>إثبات مصروف ومجمع الإهلاك عن الفترة 12-2026 - مركز التكلفة: مركز التكلفة العام الصيدلية - حساب الأصل: تحسينات على مباني</x:v>
      </x:c>
      <x:c r="G133" s="155" t="n">
        <x:f>SUMIFS('جدول الاصول الثابته الجديد'!$L$6:$L$2004,'جدول الاصول الثابته الجديد'!$B$6:$B$2004,B133,'جدول الاصول الثابته الجديد'!$C$6:$C$2004,I133)</x:f>
        <x:v>5938.5</x:v>
      </x:c>
      <x:c r="H133" s="155" t="n">
        <x:f>G133</x:f>
        <x:v>5938.5</x:v>
      </x:c>
      <x:c r="I133" t="str">
        <x:v>تحسينات على مباني</x:v>
      </x:c>
    </x:row>
    <x:row r="134">
      <x:c r="A134" s="159" t="n">
        <x:f>IF(B134="","",$B$3)</x:f>
        <x:v>46387</x:v>
      </x:c>
      <x:c r="B134" s="3" t="str">
        <x:v>مركز التكلفة العام الصيدلية</x:v>
      </x:c>
      <x:c r="C134" s="3" t="str">
        <x:f>IFERROR(INDEX('ربط حسابات الإهلاك'!$B$5:$B$14,MATCH(I134,'ربط حسابات الإهلاك'!$C$5:$C$14,0))&amp;" - "&amp;I134,I134)</x:f>
        <x:v>120101001000 - اجهزة التكييف</x:v>
      </x:c>
      <x:c r="D134" s="3" t="str">
        <x:f>IFERROR(INDEX('ربط حسابات الإهلاك'!$F$5:$F$14,MATCH(I134,'ربط حسابات الإهلاك'!$C$5:$C$14,0))&amp;" - "&amp;INDEX('ربط حسابات الإهلاك'!$G$5:$G$14,MATCH(I134,'ربط حسابات الإهلاك'!$C$5:$C$14,0)),"غير مرتبط")</x:f>
        <x:v>520401002000 - مصروف إهلاك - اجهزة التكييف</x:v>
      </x:c>
      <x:c r="E134" s="3" t="str">
        <x:f>IFERROR(INDEX('ربط حسابات الإهلاك'!$D$5:$D$14,MATCH(I134,'ربط حسابات الإهلاك'!$C$5:$C$14,0))&amp;" - "&amp;INDEX('ربط حسابات الإهلاك'!$E$5:$E$14,MATCH(I134,'ربط حسابات الإهلاك'!$C$5:$C$14,0)),"غير مرتبط")</x:f>
        <x:v>120101001002 - مجمع إهلاك - اجهزة التكييف</x:v>
      </x:c>
      <x:c r="F134" s="3" t="str">
        <x:f>IF(G134=0,"",IF(I134="البرامج والأنظمة","إثبات مصروف ومجمع الإطفاء عن الفترة "&amp;TEXT($B$3,"mm-yyyy")&amp;" - مركز التكلفة: "&amp;B134&amp;" - حساب الأصل: "&amp;I134,"إثبات مصروف ومجمع الإهلاك عن الفترة "&amp;TEXT($B$3,"mm-yyyy")&amp;" - مركز التكلفة: "&amp;B134&amp;" - حساب الأصل: "&amp;I134))</x:f>
        <x:v>إثبات مصروف ومجمع الإهلاك عن الفترة 12-2026 - مركز التكلفة: مركز التكلفة العام الصيدلية - حساب الأصل: اجهزة التكييف</x:v>
      </x:c>
      <x:c r="G134" s="155" t="n">
        <x:f>SUMIFS('جدول الاصول الثابته الجديد'!$L$6:$L$2004,'جدول الاصول الثابته الجديد'!$B$6:$B$2004,B134,'جدول الاصول الثابته الجديد'!$C$6:$C$2004,I134)</x:f>
        <x:v>772.1873333333335</x:v>
      </x:c>
      <x:c r="H134" s="155" t="n">
        <x:f>G134</x:f>
        <x:v>772.1873333333335</x:v>
      </x:c>
      <x:c r="I134" t="str">
        <x:v>اجهزة التكييف</x:v>
      </x:c>
    </x:row>
    <x:row r="135">
      <x:c r="A135" s="159" t="n">
        <x:f>IF(B135="","",$B$3)</x:f>
        <x:v>46387</x:v>
      </x:c>
      <x:c r="B135" s="3" t="str">
        <x:v>مركز التكلفة العام الصيدلية</x:v>
      </x:c>
      <x:c r="C135" s="3" t="str">
        <x:f>IFERROR(INDEX('ربط حسابات الإهلاك'!$B$5:$B$14,MATCH(I135,'ربط حسابات الإهلاك'!$C$5:$C$14,0))&amp;" - "&amp;I135,I135)</x:f>
        <x:v>120101004000 - ديكورات</x:v>
      </x:c>
      <x:c r="D135" s="3" t="str">
        <x:f>IFERROR(INDEX('ربط حسابات الإهلاك'!$F$5:$F$14,MATCH(I135,'ربط حسابات الإهلاك'!$C$5:$C$14,0))&amp;" - "&amp;INDEX('ربط حسابات الإهلاك'!$G$5:$G$14,MATCH(I135,'ربط حسابات الإهلاك'!$C$5:$C$14,0)),"غير مرتبط")</x:f>
        <x:v>520401003000 - مصروف إهلاك - ديكورات</x:v>
      </x:c>
      <x:c r="E135" s="3" t="str">
        <x:f>IFERROR(INDEX('ربط حسابات الإهلاك'!$D$5:$D$14,MATCH(I135,'ربط حسابات الإهلاك'!$C$5:$C$14,0))&amp;" - "&amp;INDEX('ربط حسابات الإهلاك'!$E$5:$E$14,MATCH(I135,'ربط حسابات الإهلاك'!$C$5:$C$14,0)),"غير مرتبط")</x:f>
        <x:v>120101004002 - مجمع إهلاك - ديكورات</x:v>
      </x:c>
      <x:c r="F135" s="3" t="str">
        <x:f>IF(G135=0,"",IF(I135="البرامج والأنظمة","إثبات مصروف ومجمع الإطفاء عن الفترة "&amp;TEXT($B$3,"mm-yyyy")&amp;" - مركز التكلفة: "&amp;B135&amp;" - حساب الأصل: "&amp;I135,"إثبات مصروف ومجمع الإهلاك عن الفترة "&amp;TEXT($B$3,"mm-yyyy")&amp;" - مركز التكلفة: "&amp;B135&amp;" - حساب الأصل: "&amp;I135))</x:f>
        <x:v>إثبات مصروف ومجمع الإهلاك عن الفترة 12-2026 - مركز التكلفة: مركز التكلفة العام الصيدلية - حساب الأصل: ديكورات</x:v>
      </x:c>
      <x:c r="G135" s="155" t="n">
        <x:f>SUMIFS('جدول الاصول الثابته الجديد'!$L$6:$L$2004,'جدول الاصول الثابته الجديد'!$B$6:$B$2004,B135,'جدول الاصول الثابته الجديد'!$C$6:$C$2004,I135)</x:f>
        <x:v>3.25</x:v>
      </x:c>
      <x:c r="H135" s="155" t="n">
        <x:f>G135</x:f>
        <x:v>3.25</x:v>
      </x:c>
      <x:c r="I135" t="str">
        <x:v>ديكورات</x:v>
      </x:c>
    </x:row>
    <x:row r="136">
      <x:c r="A136" s="159" t="n">
        <x:f>IF(B136="","",$B$3)</x:f>
        <x:v>46387</x:v>
      </x:c>
      <x:c r="B136" s="3" t="str">
        <x:v>مركز التكلفة العام الصيدلية</x:v>
      </x:c>
      <x:c r="C136" s="3" t="str">
        <x:f>IFERROR(INDEX('ربط حسابات الإهلاك'!$B$5:$B$14,MATCH(I136,'ربط حسابات الإهلاك'!$C$5:$C$14,0))&amp;" - "&amp;I136,I136)</x:f>
        <x:v>120102001001 - البرامج والأنظمة</x:v>
      </x:c>
      <x:c r="D136" s="3" t="str">
        <x:f>IFERROR(INDEX('ربط حسابات الإهلاك'!$F$5:$F$14,MATCH(I136,'ربط حسابات الإهلاك'!$C$5:$C$14,0))&amp;" - "&amp;INDEX('ربط حسابات الإهلاك'!$G$5:$G$14,MATCH(I136,'ربط حسابات الإهلاك'!$C$5:$C$14,0)),"غير مرتبط")</x:f>
        <x:v>520401010000 - مصروف إطفاء - البرامج والأنظمة</x:v>
      </x:c>
      <x:c r="E136" s="3" t="str">
        <x:f>IFERROR(INDEX('ربط حسابات الإهلاك'!$D$5:$D$14,MATCH(I136,'ربط حسابات الإهلاك'!$C$5:$C$14,0))&amp;" - "&amp;INDEX('ربط حسابات الإهلاك'!$E$5:$E$14,MATCH(I136,'ربط حسابات الإهلاك'!$C$5:$C$14,0)),"غير مرتبط")</x:f>
        <x:v>120102001002 - مجمع إطفاء - البرامج والأنظمة</x:v>
      </x:c>
      <x:c r="F136" s="3" t="str">
        <x:f>IF(G136=0,"",IF(I136="البرامج والأنظمة","إثبات مصروف ومجمع الإطفاء عن الفترة "&amp;TEXT($B$3,"mm-yyyy")&amp;" - مركز التكلفة: "&amp;B136&amp;" - حساب الأصل: "&amp;I136,"إثبات مصروف ومجمع الإهلاك عن الفترة "&amp;TEXT($B$3,"mm-yyyy")&amp;" - مركز التكلفة: "&amp;B136&amp;" - حساب الأصل: "&amp;I136))</x:f>
        <x:v>إثبات مصروف ومجمع الإطفاء عن الفترة 12-2026 - مركز التكلفة: مركز التكلفة العام الصيدلية - حساب الأصل: البرامج والأنظمة</x:v>
      </x:c>
      <x:c r="G136" s="155" t="n">
        <x:f>SUMIFS('جدول الاصول الثابته الجديد'!$L$6:$L$2004,'جدول الاصول الثابته الجديد'!$B$6:$B$2004,B136,'جدول الاصول الثابته الجديد'!$C$6:$C$2004,I136)</x:f>
        <x:v>6832.650000000001</x:v>
      </x:c>
      <x:c r="H136" s="155" t="n">
        <x:f>G136</x:f>
        <x:v>6832.650000000001</x:v>
      </x:c>
      <x:c r="I136" t="str">
        <x:v>البرامج والأنظمة</x:v>
      </x:c>
    </x:row>
    <x:row r="137">
      <x:c r="A137" s="159" t="n">
        <x:f>IF(B137="","",$B$3)</x:f>
        <x:v>46387</x:v>
      </x:c>
      <x:c r="B137" s="3" t="str">
        <x:v>مستودع الصيانه و نظم المعلومات</x:v>
      </x:c>
      <x:c r="C137" s="3" t="str">
        <x:f>IFERROR(INDEX('ربط حسابات الإهلاك'!$B$5:$B$14,MATCH(I137,'ربط حسابات الإهلاك'!$C$5:$C$14,0))&amp;" - "&amp;I137,I137)</x:f>
        <x:v>120101009000 - اجهزة ومعدات طبية</x:v>
      </x:c>
      <x:c r="D137" s="3" t="str">
        <x:f>IFERROR(INDEX('ربط حسابات الإهلاك'!$F$5:$F$14,MATCH(I137,'ربط حسابات الإهلاك'!$C$5:$C$14,0))&amp;" - "&amp;INDEX('ربط حسابات الإهلاك'!$G$5:$G$14,MATCH(I137,'ربط حسابات الإهلاك'!$C$5:$C$14,0)),"غير مرتبط")</x:f>
        <x:v>520401004000 - مصروف إهلاك - اجهزة ومعدات طبية</x:v>
      </x:c>
      <x:c r="E137" s="3" t="str">
        <x:f>IFERROR(INDEX('ربط حسابات الإهلاك'!$D$5:$D$14,MATCH(I137,'ربط حسابات الإهلاك'!$C$5:$C$14,0))&amp;" - "&amp;INDEX('ربط حسابات الإهلاك'!$E$5:$E$14,MATCH(I137,'ربط حسابات الإهلاك'!$C$5:$C$14,0)),"غير مرتبط")</x:f>
        <x:v>120101009002 - مجمع إهلاك - اجهزة ومعدات طبية</x:v>
      </x:c>
      <x:c r="F137" s="3" t="str">
        <x:f>IF(G137=0,"",IF(I137="البرامج والأنظمة","إثبات مصروف ومجمع الإطفاء عن الفترة "&amp;TEXT($B$3,"mm-yyyy")&amp;" - مركز التكلفة: "&amp;B137&amp;" - حساب الأصل: "&amp;I137,"إثبات مصروف ومجمع الإهلاك عن الفترة "&amp;TEXT($B$3,"mm-yyyy")&amp;" - مركز التكلفة: "&amp;B137&amp;" - حساب الأصل: "&amp;I137))</x:f>
      </x:c>
      <x:c r="G137" s="155" t="n">
        <x:f>SUMIFS('جدول الاصول الثابته الجديد'!$L$6:$L$2004,'جدول الاصول الثابته الجديد'!$B$6:$B$2004,B137,'جدول الاصول الثابته الجديد'!$C$6:$C$2004,I137)</x:f>
        <x:v>0</x:v>
      </x:c>
      <x:c r="H137" s="155" t="n">
        <x:f>G137</x:f>
        <x:v>0</x:v>
      </x:c>
      <x:c r="I137" t="str">
        <x:v>اجهزة ومعدات طبية</x:v>
      </x:c>
    </x:row>
    <x:row r="138">
      <x:c r="A138" s="159" t="n">
        <x:f>IF(B138="","",$B$3)</x:f>
        <x:v>46387</x:v>
      </x:c>
      <x:c r="B138" s="3" t="str">
        <x:v>مستودع الصيانه و نظم المعلومات</x:v>
      </x:c>
      <x:c r="C138" s="3" t="str">
        <x:f>IFERROR(INDEX('ربط حسابات الإهلاك'!$B$5:$B$14,MATCH(I138,'ربط حسابات الإهلاك'!$C$5:$C$14,0))&amp;" - "&amp;I138,I138)</x:f>
        <x:v>120101003000 - السيارات</x:v>
      </x:c>
      <x:c r="D138" s="3" t="str">
        <x:f>IFERROR(INDEX('ربط حسابات الإهلاك'!$F$5:$F$14,MATCH(I138,'ربط حسابات الإهلاك'!$C$5:$C$14,0))&amp;" - "&amp;INDEX('ربط حسابات الإهلاك'!$G$5:$G$14,MATCH(I138,'ربط حسابات الإهلاك'!$C$5:$C$14,0)),"غير مرتبط")</x:f>
        <x:v>520401005000 - مصروف إهلاك - السيارات</x:v>
      </x:c>
      <x:c r="E138" s="3" t="str">
        <x:f>IFERROR(INDEX('ربط حسابات الإهلاك'!$D$5:$D$14,MATCH(I138,'ربط حسابات الإهلاك'!$C$5:$C$14,0))&amp;" - "&amp;INDEX('ربط حسابات الإهلاك'!$E$5:$E$14,MATCH(I138,'ربط حسابات الإهلاك'!$C$5:$C$14,0)),"غير مرتبط")</x:f>
        <x:v>120101003001 - مجمع إهلاك - السيارات</x:v>
      </x:c>
      <x:c r="F138" s="3" t="str">
        <x:f>IF(G138=0,"",IF(I138="البرامج والأنظمة","إثبات مصروف ومجمع الإطفاء عن الفترة "&amp;TEXT($B$3,"mm-yyyy")&amp;" - مركز التكلفة: "&amp;B138&amp;" - حساب الأصل: "&amp;I138,"إثبات مصروف ومجمع الإهلاك عن الفترة "&amp;TEXT($B$3,"mm-yyyy")&amp;" - مركز التكلفة: "&amp;B138&amp;" - حساب الأصل: "&amp;I138))</x:f>
      </x:c>
      <x:c r="G138" s="155" t="n">
        <x:f>SUMIFS('جدول الاصول الثابته الجديد'!$L$6:$L$2004,'جدول الاصول الثابته الجديد'!$B$6:$B$2004,B138,'جدول الاصول الثابته الجديد'!$C$6:$C$2004,I138)</x:f>
        <x:v>0</x:v>
      </x:c>
      <x:c r="H138" s="155" t="n">
        <x:f>G138</x:f>
        <x:v>0</x:v>
      </x:c>
      <x:c r="I138" t="str">
        <x:v>السيارات</x:v>
      </x:c>
    </x:row>
    <x:row r="139">
      <x:c r="A139" s="159" t="n">
        <x:f>IF(B139="","",$B$3)</x:f>
        <x:v>46387</x:v>
      </x:c>
      <x:c r="B139" s="3" t="str">
        <x:v>مستودع الصيانه و نظم المعلومات</x:v>
      </x:c>
      <x:c r="C139" s="3" t="str">
        <x:f>IFERROR(INDEX('ربط حسابات الإهلاك'!$B$5:$B$14,MATCH(I139,'ربط حسابات الإهلاك'!$C$5:$C$14,0))&amp;" - "&amp;I139,I139)</x:f>
        <x:v>120101005001 - أثاث و مفروشات</x:v>
      </x:c>
      <x:c r="D139" s="3" t="str">
        <x:f>IFERROR(INDEX('ربط حسابات الإهلاك'!$F$5:$F$14,MATCH(I139,'ربط حسابات الإهلاك'!$C$5:$C$14,0))&amp;" - "&amp;INDEX('ربط حسابات الإهلاك'!$G$5:$G$14,MATCH(I139,'ربط حسابات الإهلاك'!$C$5:$C$14,0)),"غير مرتبط")</x:f>
        <x:v>520401006000 - مصروف إهلاك - أثاث و مفروشات</x:v>
      </x:c>
      <x:c r="E139" s="3" t="str">
        <x:f>IFERROR(INDEX('ربط حسابات الإهلاك'!$D$5:$D$14,MATCH(I139,'ربط حسابات الإهلاك'!$C$5:$C$14,0))&amp;" - "&amp;INDEX('ربط حسابات الإهلاك'!$E$5:$E$14,MATCH(I139,'ربط حسابات الإهلاك'!$C$5:$C$14,0)),"غير مرتبط")</x:f>
        <x:v>120101005002 - مجمع إهلاك - أثاث و مفروشات</x:v>
      </x:c>
      <x:c r="F139" s="3" t="str">
        <x:f>IF(G139=0,"",IF(I139="البرامج والأنظمة","إثبات مصروف ومجمع الإطفاء عن الفترة "&amp;TEXT($B$3,"mm-yyyy")&amp;" - مركز التكلفة: "&amp;B139&amp;" - حساب الأصل: "&amp;I139,"إثبات مصروف ومجمع الإهلاك عن الفترة "&amp;TEXT($B$3,"mm-yyyy")&amp;" - مركز التكلفة: "&amp;B139&amp;" - حساب الأصل: "&amp;I139))</x:f>
      </x:c>
      <x:c r="G139" s="155" t="n">
        <x:f>SUMIFS('جدول الاصول الثابته الجديد'!$L$6:$L$2004,'جدول الاصول الثابته الجديد'!$B$6:$B$2004,B139,'جدول الاصول الثابته الجديد'!$C$6:$C$2004,I139)</x:f>
        <x:v>0</x:v>
      </x:c>
      <x:c r="H139" s="155" t="n">
        <x:f>G139</x:f>
        <x:v>0</x:v>
      </x:c>
      <x:c r="I139" t="str">
        <x:v>أثاث و مفروشات</x:v>
      </x:c>
    </x:row>
    <x:row r="140">
      <x:c r="A140" s="159" t="n">
        <x:f>IF(B140="","",$B$3)</x:f>
        <x:v>46387</x:v>
      </x:c>
      <x:c r="B140" s="3" t="str">
        <x:v>مستودع الصيانه و نظم المعلومات</x:v>
      </x:c>
      <x:c r="C140" s="3" t="str">
        <x:f>IFERROR(INDEX('ربط حسابات الإهلاك'!$B$5:$B$14,MATCH(I140,'ربط حسابات الإهلاك'!$C$5:$C$14,0))&amp;" - "&amp;I140,I140)</x:f>
        <x:v>120101011001 - أثاث و مفروشات السكن</x:v>
      </x:c>
      <x:c r="D140" s="3" t="str">
        <x:f>IFERROR(INDEX('ربط حسابات الإهلاك'!$F$5:$F$14,MATCH(I140,'ربط حسابات الإهلاك'!$C$5:$C$14,0))&amp;" - "&amp;INDEX('ربط حسابات الإهلاك'!$G$5:$G$14,MATCH(I140,'ربط حسابات الإهلاك'!$C$5:$C$14,0)),"غير مرتبط")</x:f>
        <x:v>520401007000 - مصروف إهلاك - أثاث و مفروشات السكن</x:v>
      </x:c>
      <x:c r="E140" s="3" t="str">
        <x:f>IFERROR(INDEX('ربط حسابات الإهلاك'!$D$5:$D$14,MATCH(I140,'ربط حسابات الإهلاك'!$C$5:$C$14,0))&amp;" - "&amp;INDEX('ربط حسابات الإهلاك'!$E$5:$E$14,MATCH(I140,'ربط حسابات الإهلاك'!$C$5:$C$14,0)),"غير مرتبط")</x:f>
        <x:v>120101011002 - مجمع إهلاك - أثاث و مفروشات السكن</x:v>
      </x:c>
      <x:c r="F140" s="3" t="str">
        <x:f>IF(G140=0,"",IF(I140="البرامج والأنظمة","إثبات مصروف ومجمع الإطفاء عن الفترة "&amp;TEXT($B$3,"mm-yyyy")&amp;" - مركز التكلفة: "&amp;B140&amp;" - حساب الأصل: "&amp;I140,"إثبات مصروف ومجمع الإهلاك عن الفترة "&amp;TEXT($B$3,"mm-yyyy")&amp;" - مركز التكلفة: "&amp;B140&amp;" - حساب الأصل: "&amp;I140))</x:f>
      </x:c>
      <x:c r="G140" s="155" t="n">
        <x:f>SUMIFS('جدول الاصول الثابته الجديد'!$L$6:$L$2004,'جدول الاصول الثابته الجديد'!$B$6:$B$2004,B140,'جدول الاصول الثابته الجديد'!$C$6:$C$2004,I140)</x:f>
        <x:v>0</x:v>
      </x:c>
      <x:c r="H140" s="155" t="n">
        <x:f>G140</x:f>
        <x:v>0</x:v>
      </x:c>
      <x:c r="I140" t="str">
        <x:v>أثاث و مفروشات السكن</x:v>
      </x:c>
    </x:row>
    <x:row r="141">
      <x:c r="A141" s="159" t="n">
        <x:f>IF(B141="","",$B$3)</x:f>
        <x:v>46387</x:v>
      </x:c>
      <x:c r="B141" s="3" t="str">
        <x:v>مستودع الصيانه و نظم المعلومات</x:v>
      </x:c>
      <x:c r="C141" s="3" t="str">
        <x:f>IFERROR(INDEX('ربط حسابات الإهلاك'!$B$5:$B$14,MATCH(I141,'ربط حسابات الإهلاك'!$C$5:$C$14,0))&amp;" - "&amp;I141,I141)</x:f>
        <x:v>120101006001 - الاجهزة الالكترونية والحاسب الالي وملحقاته</x:v>
      </x:c>
      <x:c r="D141" s="3" t="str">
        <x:f>IFERROR(INDEX('ربط حسابات الإهلاك'!$F$5:$F$14,MATCH(I141,'ربط حسابات الإهلاك'!$C$5:$C$14,0))&amp;" - "&amp;INDEX('ربط حسابات الإهلاك'!$G$5:$G$14,MATCH(I141,'ربط حسابات الإهلاك'!$C$5:$C$14,0)),"غير مرتبط")</x:f>
        <x:v>520401009000 - مصروف إهلاك - الاجهزة الالكترونية والحاسب الالي وملحقاته</x:v>
      </x:c>
      <x:c r="E141" s="3" t="str">
        <x:f>IFERROR(INDEX('ربط حسابات الإهلاك'!$D$5:$D$14,MATCH(I141,'ربط حسابات الإهلاك'!$C$5:$C$14,0))&amp;" - "&amp;INDEX('ربط حسابات الإهلاك'!$E$5:$E$14,MATCH(I141,'ربط حسابات الإهلاك'!$C$5:$C$14,0)),"غير مرتبط")</x:f>
        <x:v>120101006002 - مجمع إهلاك - الاجهزة الالكترونية والحاسب الالي وملحقاته</x:v>
      </x:c>
      <x:c r="F141" s="3" t="str">
        <x:f>IF(G141=0,"",IF(I141="البرامج والأنظمة","إثبات مصروف ومجمع الإطفاء عن الفترة "&amp;TEXT($B$3,"mm-yyyy")&amp;" - مركز التكلفة: "&amp;B141&amp;" - حساب الأصل: "&amp;I141,"إثبات مصروف ومجمع الإهلاك عن الفترة "&amp;TEXT($B$3,"mm-yyyy")&amp;" - مركز التكلفة: "&amp;B141&amp;" - حساب الأصل: "&amp;I141))</x:f>
      </x:c>
      <x:c r="G141" s="155" t="n">
        <x:f>SUMIFS('جدول الاصول الثابته الجديد'!$L$6:$L$2004,'جدول الاصول الثابته الجديد'!$B$6:$B$2004,B141,'جدول الاصول الثابته الجديد'!$C$6:$C$2004,I141)</x:f>
        <x:v>0</x:v>
      </x:c>
      <x:c r="H141" s="155" t="n">
        <x:f>G141</x:f>
        <x:v>0</x:v>
      </x:c>
      <x:c r="I141" t="str">
        <x:v>الاجهزة الالكترونية والحاسب الالي وملحقاته</x:v>
      </x:c>
    </x:row>
    <x:row r="142">
      <x:c r="A142" s="159" t="n">
        <x:f>IF(B142="","",$B$3)</x:f>
        <x:v>46387</x:v>
      </x:c>
      <x:c r="B142" s="3" t="str">
        <x:v>مستودع الصيانه و نظم المعلومات</x:v>
      </x:c>
      <x:c r="C142" s="3" t="str">
        <x:f>IFERROR(INDEX('ربط حسابات الإهلاك'!$B$5:$B$14,MATCH(I142,'ربط حسابات الإهلاك'!$C$5:$C$14,0))&amp;" - "&amp;I142,I142)</x:f>
        <x:v>120101007001 - الاجهزة الكهربائية</x:v>
      </x:c>
      <x:c r="D142" s="3" t="str">
        <x:f>IFERROR(INDEX('ربط حسابات الإهلاك'!$F$5:$F$14,MATCH(I142,'ربط حسابات الإهلاك'!$C$5:$C$14,0))&amp;" - "&amp;INDEX('ربط حسابات الإهلاك'!$G$5:$G$14,MATCH(I142,'ربط حسابات الإهلاك'!$C$5:$C$14,0)),"غير مرتبط")</x:f>
        <x:v>520401008000 - مصروف إهلاك - الاجهزة الكهربائية</x:v>
      </x:c>
      <x:c r="E142" s="3" t="str">
        <x:f>IFERROR(INDEX('ربط حسابات الإهلاك'!$D$5:$D$14,MATCH(I142,'ربط حسابات الإهلاك'!$C$5:$C$14,0))&amp;" - "&amp;INDEX('ربط حسابات الإهلاك'!$E$5:$E$14,MATCH(I142,'ربط حسابات الإهلاك'!$C$5:$C$14,0)),"غير مرتبط")</x:f>
        <x:v>120101007002 - مجمع إهلاك - الاجهزة الكهربائية</x:v>
      </x:c>
      <x:c r="F142" s="3" t="str">
        <x:f>IF(G142=0,"",IF(I142="البرامج والأنظمة","إثبات مصروف ومجمع الإطفاء عن الفترة "&amp;TEXT($B$3,"mm-yyyy")&amp;" - مركز التكلفة: "&amp;B142&amp;" - حساب الأصل: "&amp;I142,"إثبات مصروف ومجمع الإهلاك عن الفترة "&amp;TEXT($B$3,"mm-yyyy")&amp;" - مركز التكلفة: "&amp;B142&amp;" - حساب الأصل: "&amp;I142))</x:f>
      </x:c>
      <x:c r="G142" s="155" t="n">
        <x:f>SUMIFS('جدول الاصول الثابته الجديد'!$L$6:$L$2004,'جدول الاصول الثابته الجديد'!$B$6:$B$2004,B142,'جدول الاصول الثابته الجديد'!$C$6:$C$2004,I142)</x:f>
        <x:v>0</x:v>
      </x:c>
      <x:c r="H142" s="155" t="n">
        <x:f>G142</x:f>
        <x:v>0</x:v>
      </x:c>
      <x:c r="I142" t="str">
        <x:v>الاجهزة الكهربائية</x:v>
      </x:c>
    </x:row>
    <x:row r="143">
      <x:c r="A143" s="159" t="n">
        <x:f>IF(B143="","",$B$3)</x:f>
        <x:v>46387</x:v>
      </x:c>
      <x:c r="B143" s="3" t="str">
        <x:v>مستودع الصيانه و نظم المعلومات</x:v>
      </x:c>
      <x:c r="C143" s="3" t="str">
        <x:f>IFERROR(INDEX('ربط حسابات الإهلاك'!$B$5:$B$14,MATCH(I143,'ربط حسابات الإهلاك'!$C$5:$C$14,0))&amp;" - "&amp;I143,I143)</x:f>
        <x:v>120101002000 - تحسينات على مباني</x:v>
      </x:c>
      <x:c r="D143" s="3" t="str">
        <x:f>IFERROR(INDEX('ربط حسابات الإهلاك'!$F$5:$F$14,MATCH(I143,'ربط حسابات الإهلاك'!$C$5:$C$14,0))&amp;" - "&amp;INDEX('ربط حسابات الإهلاك'!$G$5:$G$14,MATCH(I143,'ربط حسابات الإهلاك'!$C$5:$C$14,0)),"غير مرتبط")</x:f>
        <x:v>520401001000 - مصروف إهلاك - تحسينات على مباني</x:v>
      </x:c>
      <x:c r="E143" s="3" t="str">
        <x:f>IFERROR(INDEX('ربط حسابات الإهلاك'!$D$5:$D$14,MATCH(I143,'ربط حسابات الإهلاك'!$C$5:$C$14,0))&amp;" - "&amp;INDEX('ربط حسابات الإهلاك'!$E$5:$E$14,MATCH(I143,'ربط حسابات الإهلاك'!$C$5:$C$14,0)),"غير مرتبط")</x:f>
        <x:v>120101002002 - مجمع إهلاك - تحسينات على مباني</x:v>
      </x:c>
      <x:c r="F143" s="3" t="str">
        <x:f>IF(G143=0,"",IF(I143="البرامج والأنظمة","إثبات مصروف ومجمع الإطفاء عن الفترة "&amp;TEXT($B$3,"mm-yyyy")&amp;" - مركز التكلفة: "&amp;B143&amp;" - حساب الأصل: "&amp;I143,"إثبات مصروف ومجمع الإهلاك عن الفترة "&amp;TEXT($B$3,"mm-yyyy")&amp;" - مركز التكلفة: "&amp;B143&amp;" - حساب الأصل: "&amp;I143))</x:f>
      </x:c>
      <x:c r="G143" s="155" t="n">
        <x:f>SUMIFS('جدول الاصول الثابته الجديد'!$L$6:$L$2004,'جدول الاصول الثابته الجديد'!$B$6:$B$2004,B143,'جدول الاصول الثابته الجديد'!$C$6:$C$2004,I143)</x:f>
        <x:v>0</x:v>
      </x:c>
      <x:c r="H143" s="155" t="n">
        <x:f>G143</x:f>
        <x:v>0</x:v>
      </x:c>
      <x:c r="I143" t="str">
        <x:v>تحسينات على مباني</x:v>
      </x:c>
    </x:row>
    <x:row r="144">
      <x:c r="A144" s="159" t="n">
        <x:f>IF(B144="","",$B$3)</x:f>
        <x:v>46387</x:v>
      </x:c>
      <x:c r="B144" s="3" t="str">
        <x:v>مستودع الصيانه و نظم المعلومات</x:v>
      </x:c>
      <x:c r="C144" s="3" t="str">
        <x:f>IFERROR(INDEX('ربط حسابات الإهلاك'!$B$5:$B$14,MATCH(I144,'ربط حسابات الإهلاك'!$C$5:$C$14,0))&amp;" - "&amp;I144,I144)</x:f>
        <x:v>120101001000 - اجهزة التكييف</x:v>
      </x:c>
      <x:c r="D144" s="3" t="str">
        <x:f>IFERROR(INDEX('ربط حسابات الإهلاك'!$F$5:$F$14,MATCH(I144,'ربط حسابات الإهلاك'!$C$5:$C$14,0))&amp;" - "&amp;INDEX('ربط حسابات الإهلاك'!$G$5:$G$14,MATCH(I144,'ربط حسابات الإهلاك'!$C$5:$C$14,0)),"غير مرتبط")</x:f>
        <x:v>520401002000 - مصروف إهلاك - اجهزة التكييف</x:v>
      </x:c>
      <x:c r="E144" s="3" t="str">
        <x:f>IFERROR(INDEX('ربط حسابات الإهلاك'!$D$5:$D$14,MATCH(I144,'ربط حسابات الإهلاك'!$C$5:$C$14,0))&amp;" - "&amp;INDEX('ربط حسابات الإهلاك'!$E$5:$E$14,MATCH(I144,'ربط حسابات الإهلاك'!$C$5:$C$14,0)),"غير مرتبط")</x:f>
        <x:v>120101001002 - مجمع إهلاك - اجهزة التكييف</x:v>
      </x:c>
      <x:c r="F144" s="3" t="str">
        <x:f>IF(G144=0,"",IF(I144="البرامج والأنظمة","إثبات مصروف ومجمع الإطفاء عن الفترة "&amp;TEXT($B$3,"mm-yyyy")&amp;" - مركز التكلفة: "&amp;B144&amp;" - حساب الأصل: "&amp;I144,"إثبات مصروف ومجمع الإهلاك عن الفترة "&amp;TEXT($B$3,"mm-yyyy")&amp;" - مركز التكلفة: "&amp;B144&amp;" - حساب الأصل: "&amp;I144))</x:f>
      </x:c>
      <x:c r="G144" s="155" t="n">
        <x:f>SUMIFS('جدول الاصول الثابته الجديد'!$L$6:$L$2004,'جدول الاصول الثابته الجديد'!$B$6:$B$2004,B144,'جدول الاصول الثابته الجديد'!$C$6:$C$2004,I144)</x:f>
        <x:v>0</x:v>
      </x:c>
      <x:c r="H144" s="155" t="n">
        <x:f>G144</x:f>
        <x:v>0</x:v>
      </x:c>
      <x:c r="I144" t="str">
        <x:v>اجهزة التكييف</x:v>
      </x:c>
    </x:row>
    <x:row r="145">
      <x:c r="A145" s="159" t="n">
        <x:f>IF(B145="","",$B$3)</x:f>
        <x:v>46387</x:v>
      </x:c>
      <x:c r="B145" s="3" t="str">
        <x:v>مستودع الصيانه و نظم المعلومات</x:v>
      </x:c>
      <x:c r="C145" s="3" t="str">
        <x:f>IFERROR(INDEX('ربط حسابات الإهلاك'!$B$5:$B$14,MATCH(I145,'ربط حسابات الإهلاك'!$C$5:$C$14,0))&amp;" - "&amp;I145,I145)</x:f>
        <x:v>120101004000 - ديكورات</x:v>
      </x:c>
      <x:c r="D145" s="3" t="str">
        <x:f>IFERROR(INDEX('ربط حسابات الإهلاك'!$F$5:$F$14,MATCH(I145,'ربط حسابات الإهلاك'!$C$5:$C$14,0))&amp;" - "&amp;INDEX('ربط حسابات الإهلاك'!$G$5:$G$14,MATCH(I145,'ربط حسابات الإهلاك'!$C$5:$C$14,0)),"غير مرتبط")</x:f>
        <x:v>520401003000 - مصروف إهلاك - ديكورات</x:v>
      </x:c>
      <x:c r="E145" s="3" t="str">
        <x:f>IFERROR(INDEX('ربط حسابات الإهلاك'!$D$5:$D$14,MATCH(I145,'ربط حسابات الإهلاك'!$C$5:$C$14,0))&amp;" - "&amp;INDEX('ربط حسابات الإهلاك'!$E$5:$E$14,MATCH(I145,'ربط حسابات الإهلاك'!$C$5:$C$14,0)),"غير مرتبط")</x:f>
        <x:v>120101004002 - مجمع إهلاك - ديكورات</x:v>
      </x:c>
      <x:c r="F145" s="3" t="str">
        <x:f>IF(G145=0,"",IF(I145="البرامج والأنظمة","إثبات مصروف ومجمع الإطفاء عن الفترة "&amp;TEXT($B$3,"mm-yyyy")&amp;" - مركز التكلفة: "&amp;B145&amp;" - حساب الأصل: "&amp;I145,"إثبات مصروف ومجمع الإهلاك عن الفترة "&amp;TEXT($B$3,"mm-yyyy")&amp;" - مركز التكلفة: "&amp;B145&amp;" - حساب الأصل: "&amp;I145))</x:f>
      </x:c>
      <x:c r="G145" s="155" t="n">
        <x:f>SUMIFS('جدول الاصول الثابته الجديد'!$L$6:$L$2004,'جدول الاصول الثابته الجديد'!$B$6:$B$2004,B145,'جدول الاصول الثابته الجديد'!$C$6:$C$2004,I145)</x:f>
        <x:v>0</x:v>
      </x:c>
      <x:c r="H145" s="155" t="n">
        <x:f>G145</x:f>
        <x:v>0</x:v>
      </x:c>
      <x:c r="I145" t="str">
        <x:v>ديكورات</x:v>
      </x:c>
    </x:row>
    <x:row r="146">
      <x:c r="A146" s="159" t="n">
        <x:f>IF(B146="","",$B$3)</x:f>
        <x:v>46387</x:v>
      </x:c>
      <x:c r="B146" s="3" t="str">
        <x:v>مستودع الصيانه و نظم المعلومات</x:v>
      </x:c>
      <x:c r="C146" s="3" t="str">
        <x:f>IFERROR(INDEX('ربط حسابات الإهلاك'!$B$5:$B$14,MATCH(I146,'ربط حسابات الإهلاك'!$C$5:$C$14,0))&amp;" - "&amp;I146,I146)</x:f>
        <x:v>120102001001 - البرامج والأنظمة</x:v>
      </x:c>
      <x:c r="D146" s="3" t="str">
        <x:f>IFERROR(INDEX('ربط حسابات الإهلاك'!$F$5:$F$14,MATCH(I146,'ربط حسابات الإهلاك'!$C$5:$C$14,0))&amp;" - "&amp;INDEX('ربط حسابات الإهلاك'!$G$5:$G$14,MATCH(I146,'ربط حسابات الإهلاك'!$C$5:$C$14,0)),"غير مرتبط")</x:f>
        <x:v>520401010000 - مصروف إطفاء - البرامج والأنظمة</x:v>
      </x:c>
      <x:c r="E146" s="3" t="str">
        <x:f>IFERROR(INDEX('ربط حسابات الإهلاك'!$D$5:$D$14,MATCH(I146,'ربط حسابات الإهلاك'!$C$5:$C$14,0))&amp;" - "&amp;INDEX('ربط حسابات الإهلاك'!$E$5:$E$14,MATCH(I146,'ربط حسابات الإهلاك'!$C$5:$C$14,0)),"غير مرتبط")</x:f>
        <x:v>120102001002 - مجمع إطفاء - البرامج والأنظمة</x:v>
      </x:c>
      <x:c r="F146" s="3" t="str">
        <x:f>IF(G146=0,"",IF(I146="البرامج والأنظمة","إثبات مصروف ومجمع الإطفاء عن الفترة "&amp;TEXT($B$3,"mm-yyyy")&amp;" - مركز التكلفة: "&amp;B146&amp;" - حساب الأصل: "&amp;I146,"إثبات مصروف ومجمع الإهلاك عن الفترة "&amp;TEXT($B$3,"mm-yyyy")&amp;" - مركز التكلفة: "&amp;B146&amp;" - حساب الأصل: "&amp;I146))</x:f>
      </x:c>
      <x:c r="G146" s="155" t="n">
        <x:f>SUMIFS('جدول الاصول الثابته الجديد'!$L$6:$L$2004,'جدول الاصول الثابته الجديد'!$B$6:$B$2004,B146,'جدول الاصول الثابته الجديد'!$C$6:$C$2004,I146)</x:f>
        <x:v>0</x:v>
      </x:c>
      <x:c r="H146" s="155" t="n">
        <x:f>G146</x:f>
        <x:v>0</x:v>
      </x:c>
      <x:c r="I146" t="str">
        <x:v>البرامج والأنظمة</x:v>
      </x:c>
    </x:row>
    <x:row r="147">
      <x:c r="A147" s="5"/>
      <x:c r="B147" s="3"/>
      <x:c r="C147" s="3"/>
      <x:c r="D147" s="3"/>
      <x:c r="E147" s="3"/>
      <x:c r="F147" s="3"/>
      <x:c r="G147" s="6"/>
      <x:c r="H147" s="6"/>
    </x:row>
    <x:row r="148">
      <x:c r="A148" s="5"/>
      <x:c r="B148" s="3"/>
      <x:c r="C148" s="3"/>
      <x:c r="D148" s="3"/>
      <x:c r="E148" s="3"/>
      <x:c r="F148" s="3"/>
      <x:c r="G148" s="6"/>
      <x:c r="H148" s="6"/>
    </x:row>
    <x:row r="149">
      <x:c r="A149" s="5"/>
      <x:c r="B149" s="3"/>
      <x:c r="C149" s="3"/>
      <x:c r="D149" s="3"/>
      <x:c r="E149" s="3"/>
      <x:c r="F149" s="3"/>
      <x:c r="G149" s="6"/>
      <x:c r="H149" s="6"/>
    </x:row>
    <x:row r="150">
      <x:c r="A150" s="5"/>
      <x:c r="B150" s="3"/>
      <x:c r="C150" s="3"/>
      <x:c r="D150" s="3"/>
      <x:c r="E150" s="3"/>
      <x:c r="F150" s="3"/>
      <x:c r="G150" s="6"/>
      <x:c r="H150" s="6"/>
    </x:row>
    <x:row r="151">
      <x:c r="A151" s="5"/>
      <x:c r="B151" s="3"/>
      <x:c r="C151" s="3"/>
      <x:c r="D151" s="3"/>
      <x:c r="E151" s="3"/>
      <x:c r="F151" s="3"/>
      <x:c r="G151" s="6"/>
      <x:c r="H151" s="6"/>
    </x:row>
    <x:row r="152">
      <x:c r="A152" s="5"/>
      <x:c r="B152" s="3"/>
      <x:c r="C152" s="3"/>
      <x:c r="D152" s="3"/>
      <x:c r="E152" s="3"/>
      <x:c r="F152" s="3"/>
      <x:c r="G152" s="6"/>
      <x:c r="H152" s="6"/>
    </x:row>
    <x:row r="153">
      <x:c r="A153" s="5"/>
      <x:c r="B153" s="3"/>
      <x:c r="C153" s="3"/>
      <x:c r="D153" s="3"/>
      <x:c r="E153" s="3"/>
      <x:c r="F153" s="3"/>
      <x:c r="G153" s="6"/>
      <x:c r="H153" s="6"/>
    </x:row>
    <x:row r="154">
      <x:c r="A154" s="5"/>
      <x:c r="B154" s="3"/>
      <x:c r="C154" s="3"/>
      <x:c r="D154" s="3"/>
      <x:c r="E154" s="3"/>
      <x:c r="F154" s="3"/>
      <x:c r="G154" s="6"/>
      <x:c r="H154" s="6"/>
    </x:row>
    <x:row r="155">
      <x:c r="A155" s="5"/>
      <x:c r="B155" s="3"/>
      <x:c r="C155" s="3"/>
      <x:c r="D155" s="3"/>
      <x:c r="E155" s="3"/>
      <x:c r="F155" s="3"/>
      <x:c r="G155" s="6"/>
      <x:c r="H155" s="6"/>
    </x:row>
    <x:row r="156">
      <x:c r="A156" s="5"/>
      <x:c r="B156" s="3"/>
      <x:c r="C156" s="3"/>
      <x:c r="D156" s="3"/>
      <x:c r="E156" s="3"/>
      <x:c r="F156" s="3"/>
      <x:c r="G156" s="6"/>
      <x:c r="H156" s="6"/>
    </x:row>
    <x:row r="157">
      <x:c r="A157" s="5"/>
      <x:c r="B157" s="3"/>
      <x:c r="C157" s="3"/>
      <x:c r="D157" s="3"/>
      <x:c r="E157" s="3"/>
      <x:c r="F157" s="3"/>
      <x:c r="G157" s="6"/>
      <x:c r="H157" s="6"/>
    </x:row>
    <x:row r="158">
      <x:c r="A158" s="5"/>
      <x:c r="B158" s="3"/>
      <x:c r="C158" s="3"/>
      <x:c r="D158" s="3"/>
      <x:c r="E158" s="3"/>
      <x:c r="F158" s="3"/>
      <x:c r="G158" s="6"/>
      <x:c r="H158" s="6"/>
    </x:row>
    <x:row r="159">
      <x:c r="A159" s="5"/>
      <x:c r="B159" s="3"/>
      <x:c r="C159" s="3"/>
      <x:c r="D159" s="3"/>
      <x:c r="E159" s="3"/>
      <x:c r="F159" s="3"/>
      <x:c r="G159" s="6"/>
      <x:c r="H159" s="6"/>
    </x:row>
    <x:row r="160">
      <x:c r="A160" s="5"/>
      <x:c r="B160" s="3"/>
      <x:c r="C160" s="3"/>
      <x:c r="D160" s="3"/>
      <x:c r="E160" s="3"/>
      <x:c r="F160" s="3"/>
      <x:c r="G160" s="6"/>
      <x:c r="H160" s="6"/>
    </x:row>
    <x:row r="161">
      <x:c r="A161" s="5"/>
      <x:c r="B161" s="3"/>
      <x:c r="C161" s="3"/>
      <x:c r="D161" s="3"/>
      <x:c r="E161" s="3"/>
      <x:c r="F161" s="3"/>
      <x:c r="G161" s="6"/>
      <x:c r="H161" s="6"/>
    </x:row>
    <x:row r="162">
      <x:c r="A162" s="5"/>
      <x:c r="B162" s="3"/>
      <x:c r="C162" s="3"/>
      <x:c r="D162" s="3"/>
      <x:c r="E162" s="3"/>
      <x:c r="F162" s="3"/>
      <x:c r="G162" s="6"/>
      <x:c r="H162" s="6"/>
    </x:row>
    <x:row r="163">
      <x:c r="A163" s="5"/>
      <x:c r="B163" s="3"/>
      <x:c r="C163" s="3"/>
      <x:c r="D163" s="3"/>
      <x:c r="E163" s="3"/>
      <x:c r="F163" s="3"/>
      <x:c r="G163" s="6"/>
      <x:c r="H163" s="6"/>
    </x:row>
    <x:row r="164">
      <x:c r="A164" s="5"/>
      <x:c r="B164" s="3"/>
      <x:c r="C164" s="3"/>
      <x:c r="D164" s="3"/>
      <x:c r="E164" s="3"/>
      <x:c r="F164" s="3"/>
      <x:c r="G164" s="6"/>
      <x:c r="H164" s="6"/>
    </x:row>
    <x:row r="165">
      <x:c r="A165" s="5"/>
      <x:c r="B165" s="3"/>
      <x:c r="C165" s="3"/>
      <x:c r="D165" s="3"/>
      <x:c r="E165" s="3"/>
      <x:c r="F165" s="3"/>
      <x:c r="G165" s="6"/>
      <x:c r="H165" s="6"/>
    </x:row>
    <x:row r="166">
      <x:c r="A166" s="5"/>
      <x:c r="B166" s="3"/>
      <x:c r="C166" s="3"/>
      <x:c r="D166" s="3"/>
      <x:c r="E166" s="3"/>
      <x:c r="F166" s="3"/>
      <x:c r="G166" s="6"/>
      <x:c r="H166" s="6"/>
    </x:row>
    <x:row r="167">
      <x:c r="A167" s="5"/>
      <x:c r="B167" s="3"/>
      <x:c r="C167" s="3"/>
      <x:c r="D167" s="3"/>
      <x:c r="E167" s="3"/>
      <x:c r="F167" s="3"/>
      <x:c r="G167" s="6"/>
      <x:c r="H167" s="6"/>
    </x:row>
    <x:row r="168">
      <x:c r="A168" s="5"/>
      <x:c r="B168" s="3"/>
      <x:c r="C168" s="3"/>
      <x:c r="D168" s="3"/>
      <x:c r="E168" s="3"/>
      <x:c r="F168" s="3"/>
      <x:c r="G168" s="6"/>
      <x:c r="H168" s="6"/>
    </x:row>
    <x:row r="169">
      <x:c r="A169" s="5"/>
      <x:c r="B169" s="3"/>
      <x:c r="C169" s="3"/>
      <x:c r="D169" s="3"/>
      <x:c r="E169" s="3"/>
      <x:c r="F169" s="3"/>
      <x:c r="G169" s="6"/>
      <x:c r="H169" s="6"/>
    </x:row>
    <x:row r="170">
      <x:c r="A170" s="5"/>
      <x:c r="B170" s="3"/>
      <x:c r="C170" s="3"/>
      <x:c r="D170" s="3"/>
      <x:c r="E170" s="3"/>
      <x:c r="F170" s="3"/>
      <x:c r="G170" s="6"/>
      <x:c r="H170" s="6"/>
    </x:row>
    <x:row r="171">
      <x:c r="A171" s="5"/>
      <x:c r="B171" s="3"/>
      <x:c r="C171" s="3"/>
      <x:c r="D171" s="3"/>
      <x:c r="E171" s="3"/>
      <x:c r="F171" s="3"/>
      <x:c r="G171" s="6"/>
      <x:c r="H171" s="6"/>
    </x:row>
    <x:row r="172">
      <x:c r="A172" s="5"/>
      <x:c r="B172" s="3"/>
      <x:c r="C172" s="3"/>
      <x:c r="D172" s="3"/>
      <x:c r="E172" s="3"/>
      <x:c r="F172" s="3"/>
      <x:c r="G172" s="6"/>
      <x:c r="H172" s="6"/>
    </x:row>
    <x:row r="173">
      <x:c r="A173" s="5"/>
      <x:c r="B173" s="3"/>
      <x:c r="C173" s="3"/>
      <x:c r="D173" s="3"/>
      <x:c r="E173" s="3"/>
      <x:c r="F173" s="3"/>
      <x:c r="G173" s="6"/>
      <x:c r="H173" s="6"/>
    </x:row>
    <x:row r="174">
      <x:c r="A174" s="5"/>
      <x:c r="B174" s="3"/>
      <x:c r="C174" s="3"/>
      <x:c r="D174" s="3"/>
      <x:c r="E174" s="3"/>
      <x:c r="F174" s="3"/>
      <x:c r="G174" s="6"/>
      <x:c r="H174" s="6"/>
    </x:row>
    <x:row r="175">
      <x:c r="A175" s="5"/>
      <x:c r="B175" s="3"/>
      <x:c r="C175" s="3"/>
      <x:c r="D175" s="3"/>
      <x:c r="E175" s="3"/>
      <x:c r="F175" s="3"/>
      <x:c r="G175" s="6"/>
      <x:c r="H175" s="6"/>
    </x:row>
    <x:row r="176">
      <x:c r="A176" s="5"/>
      <x:c r="B176" s="3"/>
      <x:c r="C176" s="3"/>
      <x:c r="D176" s="3"/>
      <x:c r="E176" s="3"/>
      <x:c r="F176" s="3"/>
      <x:c r="G176" s="6"/>
      <x:c r="H176" s="6"/>
    </x:row>
    <x:row r="177">
      <x:c r="A177" s="5"/>
      <x:c r="B177" s="3"/>
      <x:c r="C177" s="3"/>
      <x:c r="D177" s="3"/>
      <x:c r="E177" s="3"/>
      <x:c r="F177" s="3"/>
      <x:c r="G177" s="6"/>
      <x:c r="H177" s="6"/>
    </x:row>
    <x:row r="178">
      <x:c r="A178" s="5"/>
      <x:c r="B178" s="3"/>
      <x:c r="C178" s="3"/>
      <x:c r="D178" s="3"/>
      <x:c r="E178" s="3"/>
      <x:c r="F178" s="3"/>
      <x:c r="G178" s="6"/>
      <x:c r="H178" s="6"/>
    </x:row>
    <x:row r="179">
      <x:c r="A179" s="5"/>
      <x:c r="B179" s="3"/>
      <x:c r="C179" s="3"/>
      <x:c r="D179" s="3"/>
      <x:c r="E179" s="3"/>
      <x:c r="F179" s="3"/>
      <x:c r="G179" s="6"/>
      <x:c r="H179" s="6"/>
    </x:row>
    <x:row r="180">
      <x:c r="A180" s="5"/>
      <x:c r="B180" s="3"/>
      <x:c r="C180" s="3"/>
      <x:c r="D180" s="3"/>
      <x:c r="E180" s="3"/>
      <x:c r="F180" s="3"/>
      <x:c r="G180" s="6"/>
      <x:c r="H180" s="6"/>
    </x:row>
    <x:row r="181">
      <x:c r="A181" s="5"/>
      <x:c r="B181" s="3"/>
      <x:c r="C181" s="3"/>
      <x:c r="D181" s="3"/>
      <x:c r="E181" s="3"/>
      <x:c r="F181" s="3"/>
      <x:c r="G181" s="6"/>
      <x:c r="H181" s="6"/>
    </x:row>
    <x:row r="182">
      <x:c r="A182" s="5"/>
      <x:c r="B182" s="3"/>
      <x:c r="C182" s="3"/>
      <x:c r="D182" s="3"/>
      <x:c r="E182" s="3"/>
      <x:c r="F182" s="3"/>
      <x:c r="G182" s="6"/>
      <x:c r="H182" s="6"/>
    </x:row>
    <x:row r="183">
      <x:c r="A183" s="5"/>
      <x:c r="B183" s="3"/>
      <x:c r="C183" s="3"/>
      <x:c r="D183" s="3"/>
      <x:c r="E183" s="3"/>
      <x:c r="F183" s="3"/>
      <x:c r="G183" s="6"/>
      <x:c r="H183" s="6"/>
    </x:row>
    <x:row r="184">
      <x:c r="A184" s="5"/>
      <x:c r="B184" s="3"/>
      <x:c r="C184" s="3"/>
      <x:c r="D184" s="3"/>
      <x:c r="E184" s="3"/>
      <x:c r="F184" s="3"/>
      <x:c r="G184" s="6"/>
      <x:c r="H184" s="6"/>
    </x:row>
    <x:row r="185">
      <x:c r="A185" s="5"/>
      <x:c r="B185" s="3"/>
      <x:c r="C185" s="3"/>
      <x:c r="D185" s="3"/>
      <x:c r="E185" s="3"/>
      <x:c r="F185" s="3"/>
      <x:c r="G185" s="6"/>
      <x:c r="H185" s="6"/>
    </x:row>
    <x:row r="186">
      <x:c r="A186" s="5"/>
      <x:c r="B186" s="3"/>
      <x:c r="C186" s="3"/>
      <x:c r="D186" s="3"/>
      <x:c r="E186" s="3"/>
      <x:c r="F186" s="3"/>
      <x:c r="G186" s="6"/>
      <x:c r="H186" s="6"/>
    </x:row>
    <x:row r="187">
      <x:c r="A187" s="5"/>
      <x:c r="B187" s="3"/>
      <x:c r="C187" s="3"/>
      <x:c r="D187" s="3"/>
      <x:c r="E187" s="3"/>
      <x:c r="F187" s="3"/>
      <x:c r="G187" s="6"/>
      <x:c r="H187" s="6"/>
    </x:row>
    <x:row r="188">
      <x:c r="A188" s="5"/>
      <x:c r="B188" s="3"/>
      <x:c r="C188" s="3"/>
      <x:c r="D188" s="3"/>
      <x:c r="E188" s="3"/>
      <x:c r="F188" s="3"/>
      <x:c r="G188" s="6"/>
      <x:c r="H188" s="6"/>
    </x:row>
    <x:row r="189">
      <x:c r="A189" s="5"/>
      <x:c r="B189" s="3"/>
      <x:c r="C189" s="3"/>
      <x:c r="D189" s="3"/>
      <x:c r="E189" s="3"/>
      <x:c r="F189" s="3"/>
      <x:c r="G189" s="6"/>
      <x:c r="H189" s="6"/>
    </x:row>
    <x:row r="190">
      <x:c r="A190" s="5"/>
      <x:c r="B190" s="3"/>
      <x:c r="C190" s="3"/>
      <x:c r="D190" s="3"/>
      <x:c r="E190" s="3"/>
      <x:c r="F190" s="3"/>
      <x:c r="G190" s="6"/>
      <x:c r="H190" s="6"/>
    </x:row>
    <x:row r="191">
      <x:c r="A191" s="5"/>
      <x:c r="B191" s="3"/>
      <x:c r="C191" s="3"/>
      <x:c r="D191" s="3"/>
      <x:c r="E191" s="3"/>
      <x:c r="F191" s="3"/>
      <x:c r="G191" s="6"/>
      <x:c r="H191" s="6"/>
    </x:row>
    <x:row r="192">
      <x:c r="A192" s="5"/>
      <x:c r="B192" s="3"/>
      <x:c r="C192" s="3"/>
      <x:c r="D192" s="3"/>
      <x:c r="E192" s="3"/>
      <x:c r="F192" s="3"/>
      <x:c r="G192" s="6"/>
      <x:c r="H192" s="6"/>
    </x:row>
    <x:row r="193">
      <x:c r="A193" s="5"/>
      <x:c r="B193" s="3"/>
      <x:c r="C193" s="3"/>
      <x:c r="D193" s="3"/>
      <x:c r="E193" s="3"/>
      <x:c r="F193" s="3"/>
      <x:c r="G193" s="6"/>
      <x:c r="H193" s="6"/>
    </x:row>
    <x:row r="194">
      <x:c r="A194" s="5"/>
      <x:c r="B194" s="3"/>
      <x:c r="C194" s="3"/>
      <x:c r="D194" s="3"/>
      <x:c r="E194" s="3"/>
      <x:c r="F194" s="3"/>
      <x:c r="G194" s="6"/>
      <x:c r="H194" s="6"/>
    </x:row>
    <x:row r="195">
      <x:c r="A195" s="5"/>
      <x:c r="B195" s="3"/>
      <x:c r="C195" s="3"/>
      <x:c r="D195" s="3"/>
      <x:c r="E195" s="3"/>
      <x:c r="F195" s="3"/>
      <x:c r="G195" s="6"/>
      <x:c r="H195" s="6"/>
    </x:row>
    <x:row r="196">
      <x:c r="A196" s="5"/>
      <x:c r="B196" s="3"/>
      <x:c r="C196" s="3"/>
      <x:c r="D196" s="3"/>
      <x:c r="E196" s="3"/>
      <x:c r="F196" s="3"/>
      <x:c r="G196" s="6"/>
      <x:c r="H196" s="6"/>
    </x:row>
    <x:row r="197">
      <x:c r="A197" s="5"/>
      <x:c r="B197" s="3"/>
      <x:c r="C197" s="3"/>
      <x:c r="D197" s="3"/>
      <x:c r="E197" s="3"/>
      <x:c r="F197" s="3"/>
      <x:c r="G197" s="6"/>
      <x:c r="H197" s="6"/>
    </x:row>
    <x:row r="198">
      <x:c r="A198" s="5"/>
      <x:c r="B198" s="3"/>
      <x:c r="C198" s="3"/>
      <x:c r="D198" s="3"/>
      <x:c r="E198" s="3"/>
      <x:c r="F198" s="3"/>
      <x:c r="G198" s="6"/>
      <x:c r="H198" s="6"/>
    </x:row>
    <x:row r="199">
      <x:c r="A199" s="5"/>
      <x:c r="B199" s="3"/>
      <x:c r="C199" s="3"/>
      <x:c r="D199" s="3"/>
      <x:c r="E199" s="3"/>
      <x:c r="F199" s="3"/>
      <x:c r="G199" s="6"/>
      <x:c r="H199" s="6"/>
    </x:row>
    <x:row r="200">
      <x:c r="A200" s="5"/>
      <x:c r="B200" s="3"/>
      <x:c r="C200" s="3"/>
      <x:c r="D200" s="3"/>
      <x:c r="E200" s="3"/>
      <x:c r="F200" s="3"/>
      <x:c r="G200" s="6"/>
      <x:c r="H200" s="6"/>
    </x:row>
    <x:row r="201">
      <x:c r="A201" s="5"/>
      <x:c r="B201" s="3"/>
      <x:c r="C201" s="3"/>
      <x:c r="D201" s="3"/>
      <x:c r="E201" s="3"/>
      <x:c r="F201" s="3"/>
      <x:c r="G201" s="6"/>
      <x:c r="H201" s="6"/>
    </x:row>
    <x:row r="202">
      <x:c r="A202" s="5"/>
      <x:c r="B202" s="3"/>
      <x:c r="C202" s="3"/>
      <x:c r="D202" s="3"/>
      <x:c r="E202" s="3"/>
      <x:c r="F202" s="3"/>
      <x:c r="G202" s="6"/>
      <x:c r="H202" s="6"/>
    </x:row>
    <x:row r="203">
      <x:c r="A203" s="5"/>
      <x:c r="B203" s="3"/>
      <x:c r="C203" s="3"/>
      <x:c r="D203" s="3"/>
      <x:c r="E203" s="3"/>
      <x:c r="F203" s="3"/>
      <x:c r="G203" s="6"/>
      <x:c r="H203" s="6"/>
    </x:row>
    <x:row r="204">
      <x:c r="A204" s="5"/>
      <x:c r="B204" s="3"/>
      <x:c r="C204" s="3"/>
      <x:c r="D204" s="3"/>
      <x:c r="E204" s="3"/>
      <x:c r="F204" s="3"/>
      <x:c r="G204" s="6"/>
      <x:c r="H204" s="6"/>
    </x:row>
    <x:row r="205">
      <x:c r="A205" s="5"/>
      <x:c r="B205" s="3"/>
      <x:c r="C205" s="3"/>
      <x:c r="D205" s="3"/>
      <x:c r="E205" s="3"/>
      <x:c r="F205" s="3"/>
      <x:c r="G205" s="6"/>
      <x:c r="H205" s="6"/>
    </x:row>
    <x:row r="206">
      <x:c r="A206" s="5"/>
      <x:c r="B206" s="3"/>
      <x:c r="C206" s="3"/>
      <x:c r="D206" s="3"/>
      <x:c r="E206" s="3"/>
      <x:c r="F206" s="3"/>
      <x:c r="G206" s="6"/>
      <x:c r="H206" s="6"/>
    </x:row>
    <x:row r="207">
      <x:c r="A207" s="5"/>
      <x:c r="B207" s="3"/>
      <x:c r="C207" s="3"/>
      <x:c r="D207" s="3"/>
      <x:c r="E207" s="3"/>
      <x:c r="F207" s="3"/>
      <x:c r="G207" s="6"/>
      <x:c r="H207" s="6"/>
    </x:row>
    <x:row r="208">
      <x:c r="A208" s="5"/>
      <x:c r="B208" s="3"/>
      <x:c r="C208" s="3"/>
      <x:c r="D208" s="3"/>
      <x:c r="E208" s="3"/>
      <x:c r="F208" s="3"/>
      <x:c r="G208" s="6"/>
      <x:c r="H208" s="6"/>
    </x:row>
    <x:row r="209">
      <x:c r="A209" s="5"/>
      <x:c r="B209" s="3"/>
      <x:c r="C209" s="3"/>
      <x:c r="D209" s="3"/>
      <x:c r="E209" s="3"/>
      <x:c r="F209" s="3"/>
      <x:c r="G209" s="6"/>
      <x:c r="H209" s="6"/>
    </x:row>
    <x:row r="210">
      <x:c r="A210" s="5"/>
      <x:c r="B210" s="3"/>
      <x:c r="C210" s="3"/>
      <x:c r="D210" s="3"/>
      <x:c r="E210" s="3"/>
      <x:c r="F210" s="3"/>
      <x:c r="G210" s="6"/>
      <x:c r="H210" s="6"/>
    </x:row>
    <x:row r="211">
      <x:c r="A211" s="5"/>
      <x:c r="B211" s="3"/>
      <x:c r="C211" s="3"/>
      <x:c r="D211" s="3"/>
      <x:c r="E211" s="3"/>
      <x:c r="F211" s="3"/>
      <x:c r="G211" s="6"/>
      <x:c r="H211" s="6"/>
    </x:row>
    <x:row r="212">
      <x:c r="A212" s="5"/>
      <x:c r="B212" s="3"/>
      <x:c r="C212" s="3"/>
      <x:c r="D212" s="3"/>
      <x:c r="E212" s="3"/>
      <x:c r="F212" s="3"/>
      <x:c r="G212" s="6"/>
      <x:c r="H212" s="6"/>
    </x:row>
    <x:row r="213">
      <x:c r="A213" s="5"/>
      <x:c r="B213" s="3"/>
      <x:c r="C213" s="3"/>
      <x:c r="D213" s="3"/>
      <x:c r="E213" s="3"/>
      <x:c r="F213" s="3"/>
      <x:c r="G213" s="6"/>
      <x:c r="H213" s="6"/>
    </x:row>
    <x:row r="214">
      <x:c r="A214" s="5"/>
      <x:c r="B214" s="3"/>
      <x:c r="C214" s="3"/>
      <x:c r="D214" s="3"/>
      <x:c r="E214" s="3"/>
      <x:c r="F214" s="3"/>
      <x:c r="G214" s="6"/>
      <x:c r="H214" s="6"/>
    </x:row>
    <x:row r="215">
      <x:c r="A215" s="5"/>
      <x:c r="B215" s="3"/>
      <x:c r="C215" s="3"/>
      <x:c r="D215" s="3"/>
      <x:c r="E215" s="3"/>
      <x:c r="F215" s="3"/>
      <x:c r="G215" s="6"/>
      <x:c r="H215" s="6"/>
    </x:row>
    <x:row r="216">
      <x:c r="A216" s="5"/>
      <x:c r="B216" s="3"/>
      <x:c r="C216" s="3"/>
      <x:c r="D216" s="3"/>
      <x:c r="E216" s="3"/>
      <x:c r="F216" s="3"/>
      <x:c r="G216" s="6"/>
      <x:c r="H216" s="6"/>
    </x:row>
    <x:row r="217">
      <x:c r="A217" s="5"/>
      <x:c r="B217" s="3"/>
      <x:c r="C217" s="3"/>
      <x:c r="D217" s="3"/>
      <x:c r="E217" s="3"/>
      <x:c r="F217" s="3"/>
      <x:c r="G217" s="6"/>
      <x:c r="H217" s="6"/>
    </x:row>
    <x:row r="218">
      <x:c r="A218" s="5"/>
      <x:c r="B218" s="3"/>
      <x:c r="C218" s="3"/>
      <x:c r="D218" s="3"/>
      <x:c r="E218" s="3"/>
      <x:c r="F218" s="3"/>
      <x:c r="G218" s="6"/>
      <x:c r="H218" s="6"/>
    </x:row>
    <x:row r="219">
      <x:c r="A219" s="5"/>
      <x:c r="B219" s="3"/>
      <x:c r="C219" s="3"/>
      <x:c r="D219" s="3"/>
      <x:c r="E219" s="3"/>
      <x:c r="F219" s="3"/>
      <x:c r="G219" s="6"/>
      <x:c r="H219" s="6"/>
    </x:row>
    <x:row r="220">
      <x:c r="A220" s="5"/>
      <x:c r="B220" s="3"/>
      <x:c r="C220" s="3"/>
      <x:c r="D220" s="3"/>
      <x:c r="E220" s="3"/>
      <x:c r="F220" s="3"/>
      <x:c r="G220" s="6"/>
      <x:c r="H220" s="6"/>
    </x:row>
    <x:row r="221">
      <x:c r="A221" s="5"/>
      <x:c r="B221" s="3"/>
      <x:c r="C221" s="3"/>
      <x:c r="D221" s="3"/>
      <x:c r="E221" s="3"/>
      <x:c r="F221" s="3"/>
      <x:c r="G221" s="6"/>
      <x:c r="H221" s="6"/>
    </x:row>
    <x:row r="222">
      <x:c r="A222" s="5"/>
      <x:c r="B222" s="3"/>
      <x:c r="C222" s="3"/>
      <x:c r="D222" s="3"/>
      <x:c r="E222" s="3"/>
      <x:c r="F222" s="3"/>
      <x:c r="G222" s="6"/>
      <x:c r="H222" s="6"/>
    </x:row>
    <x:row r="223">
      <x:c r="A223" s="5"/>
      <x:c r="B223" s="3"/>
      <x:c r="C223" s="3"/>
      <x:c r="D223" s="3"/>
      <x:c r="E223" s="3"/>
      <x:c r="F223" s="3"/>
      <x:c r="G223" s="6"/>
      <x:c r="H223" s="6"/>
    </x:row>
    <x:row r="224">
      <x:c r="A224" s="5"/>
      <x:c r="B224" s="3"/>
      <x:c r="C224" s="3"/>
      <x:c r="D224" s="3"/>
      <x:c r="E224" s="3"/>
      <x:c r="F224" s="3"/>
      <x:c r="G224" s="6"/>
      <x:c r="H224" s="6"/>
    </x:row>
    <x:row r="225">
      <x:c r="A225" s="5"/>
      <x:c r="B225" s="3"/>
      <x:c r="C225" s="3"/>
      <x:c r="D225" s="3"/>
      <x:c r="E225" s="3"/>
      <x:c r="F225" s="3"/>
      <x:c r="G225" s="6"/>
      <x:c r="H225" s="6"/>
    </x:row>
    <x:row r="226">
      <x:c r="A226" s="5"/>
      <x:c r="B226" s="3"/>
      <x:c r="C226" s="3"/>
      <x:c r="D226" s="3"/>
      <x:c r="E226" s="3"/>
      <x:c r="F226" s="3"/>
      <x:c r="G226" s="6"/>
      <x:c r="H226" s="6"/>
    </x:row>
    <x:row r="227">
      <x:c r="A227" s="5"/>
      <x:c r="B227" s="3"/>
      <x:c r="C227" s="3"/>
      <x:c r="D227" s="3"/>
      <x:c r="E227" s="3"/>
      <x:c r="F227" s="3"/>
      <x:c r="G227" s="6"/>
      <x:c r="H227" s="6"/>
    </x:row>
    <x:row r="228">
      <x:c r="A228" s="5"/>
      <x:c r="B228" s="3"/>
      <x:c r="C228" s="3"/>
      <x:c r="D228" s="3"/>
      <x:c r="E228" s="3"/>
      <x:c r="F228" s="3"/>
      <x:c r="G228" s="6"/>
      <x:c r="H228" s="6"/>
    </x:row>
    <x:row r="229">
      <x:c r="A229" s="5"/>
      <x:c r="B229" s="3"/>
      <x:c r="C229" s="3"/>
      <x:c r="D229" s="3"/>
      <x:c r="E229" s="3"/>
      <x:c r="F229" s="3"/>
      <x:c r="G229" s="6"/>
      <x:c r="H229" s="6"/>
    </x:row>
    <x:row r="230">
      <x:c r="A230" s="5"/>
      <x:c r="B230" s="3"/>
      <x:c r="C230" s="3"/>
      <x:c r="D230" s="3"/>
      <x:c r="E230" s="3"/>
      <x:c r="F230" s="3"/>
      <x:c r="G230" s="6"/>
      <x:c r="H230" s="6"/>
    </x:row>
    <x:row r="231">
      <x:c r="A231" s="5"/>
      <x:c r="B231" s="3"/>
      <x:c r="C231" s="3"/>
      <x:c r="D231" s="3"/>
      <x:c r="E231" s="3"/>
      <x:c r="F231" s="3"/>
      <x:c r="G231" s="6"/>
      <x:c r="H231" s="6"/>
    </x:row>
    <x:row r="232">
      <x:c r="A232" s="5"/>
      <x:c r="B232" s="3"/>
      <x:c r="C232" s="3"/>
      <x:c r="D232" s="3"/>
      <x:c r="E232" s="3"/>
      <x:c r="F232" s="3"/>
      <x:c r="G232" s="6"/>
      <x:c r="H232" s="6"/>
    </x:row>
    <x:row r="233">
      <x:c r="A233" s="5"/>
      <x:c r="B233" s="3"/>
      <x:c r="C233" s="3"/>
      <x:c r="D233" s="3"/>
      <x:c r="E233" s="3"/>
      <x:c r="F233" s="3"/>
      <x:c r="G233" s="6"/>
      <x:c r="H233" s="6"/>
    </x:row>
    <x:row r="234">
      <x:c r="A234" s="5"/>
      <x:c r="B234" s="3"/>
      <x:c r="C234" s="3"/>
      <x:c r="D234" s="3"/>
      <x:c r="E234" s="3"/>
      <x:c r="F234" s="3"/>
      <x:c r="G234" s="6"/>
      <x:c r="H234" s="6"/>
    </x:row>
    <x:row r="235">
      <x:c r="A235" s="5"/>
      <x:c r="B235" s="3"/>
      <x:c r="C235" s="3"/>
      <x:c r="D235" s="3"/>
      <x:c r="E235" s="3"/>
      <x:c r="F235" s="3"/>
      <x:c r="G235" s="6"/>
      <x:c r="H235" s="6"/>
    </x:row>
    <x:row r="236">
      <x:c r="A236" s="5"/>
      <x:c r="B236" s="3"/>
      <x:c r="C236" s="3"/>
      <x:c r="D236" s="3"/>
      <x:c r="E236" s="3"/>
      <x:c r="F236" s="3"/>
      <x:c r="G236" s="6"/>
      <x:c r="H236" s="6"/>
    </x:row>
    <x:row r="237">
      <x:c r="A237" s="5"/>
      <x:c r="B237" s="3"/>
      <x:c r="C237" s="3"/>
      <x:c r="D237" s="3"/>
      <x:c r="E237" s="3"/>
      <x:c r="F237" s="3"/>
      <x:c r="G237" s="6"/>
      <x:c r="H237" s="6"/>
    </x:row>
    <x:row r="238">
      <x:c r="A238" s="5"/>
      <x:c r="B238" s="3"/>
      <x:c r="C238" s="3"/>
      <x:c r="D238" s="3"/>
      <x:c r="E238" s="3"/>
      <x:c r="F238" s="3"/>
      <x:c r="G238" s="6"/>
      <x:c r="H238" s="6"/>
    </x:row>
    <x:row r="239">
      <x:c r="A239" s="5"/>
      <x:c r="B239" s="3"/>
      <x:c r="C239" s="3"/>
      <x:c r="D239" s="3"/>
      <x:c r="E239" s="3"/>
      <x:c r="F239" s="3"/>
      <x:c r="G239" s="6"/>
      <x:c r="H239" s="6"/>
    </x:row>
    <x:row r="240">
      <x:c r="A240" s="5"/>
      <x:c r="B240" s="3"/>
      <x:c r="C240" s="3"/>
      <x:c r="D240" s="3"/>
      <x:c r="E240" s="3"/>
      <x:c r="F240" s="3"/>
      <x:c r="G240" s="6"/>
      <x:c r="H240" s="6"/>
    </x:row>
    <x:row r="241">
      <x:c r="A241" s="5"/>
      <x:c r="B241" s="3"/>
      <x:c r="C241" s="3"/>
      <x:c r="D241" s="3"/>
      <x:c r="E241" s="3"/>
      <x:c r="F241" s="3"/>
      <x:c r="G241" s="6"/>
      <x:c r="H241" s="6"/>
    </x:row>
    <x:row r="242">
      <x:c r="A242" s="5"/>
      <x:c r="B242" s="3"/>
      <x:c r="C242" s="3"/>
      <x:c r="D242" s="3"/>
      <x:c r="E242" s="3"/>
      <x:c r="F242" s="3"/>
      <x:c r="G242" s="6"/>
      <x:c r="H242" s="6"/>
    </x:row>
    <x:row r="243">
      <x:c r="A243" s="5"/>
      <x:c r="B243" s="3"/>
      <x:c r="C243" s="3"/>
      <x:c r="D243" s="3"/>
      <x:c r="E243" s="3"/>
      <x:c r="F243" s="3"/>
      <x:c r="G243" s="6"/>
      <x:c r="H243" s="6"/>
    </x:row>
    <x:row r="244">
      <x:c r="A244" s="5"/>
      <x:c r="B244" s="3"/>
      <x:c r="C244" s="3"/>
      <x:c r="D244" s="3"/>
      <x:c r="E244" s="3"/>
      <x:c r="F244" s="3"/>
      <x:c r="G244" s="6"/>
      <x:c r="H244" s="6"/>
    </x:row>
    <x:row r="245">
      <x:c r="A245" s="5"/>
      <x:c r="B245" s="3"/>
      <x:c r="C245" s="3"/>
      <x:c r="D245" s="3"/>
      <x:c r="E245" s="3"/>
      <x:c r="F245" s="3"/>
      <x:c r="G245" s="6"/>
      <x:c r="H245" s="6"/>
    </x:row>
    <x:row r="246">
      <x:c r="A246" s="5"/>
      <x:c r="B246" s="3"/>
      <x:c r="C246" s="3"/>
      <x:c r="D246" s="3"/>
      <x:c r="E246" s="3"/>
      <x:c r="F246" s="3"/>
      <x:c r="G246" s="6"/>
      <x:c r="H246" s="6"/>
    </x:row>
    <x:row r="247">
      <x:c r="A247" s="5"/>
      <x:c r="B247" s="3"/>
      <x:c r="C247" s="3"/>
      <x:c r="D247" s="3"/>
      <x:c r="E247" s="3"/>
      <x:c r="F247" s="3"/>
      <x:c r="G247" s="6"/>
      <x:c r="H247" s="6"/>
    </x:row>
    <x:row r="248">
      <x:c r="A248" s="5"/>
      <x:c r="B248" s="3"/>
      <x:c r="C248" s="3"/>
      <x:c r="D248" s="3"/>
      <x:c r="E248" s="3"/>
      <x:c r="F248" s="3"/>
      <x:c r="G248" s="6"/>
      <x:c r="H248" s="6"/>
    </x:row>
    <x:row r="249">
      <x:c r="A249" s="5"/>
      <x:c r="B249" s="3"/>
      <x:c r="C249" s="3"/>
      <x:c r="D249" s="3"/>
      <x:c r="E249" s="3"/>
      <x:c r="F249" s="3"/>
      <x:c r="G249" s="6"/>
      <x:c r="H249" s="6"/>
    </x:row>
    <x:row r="250">
      <x:c r="A250" s="5"/>
      <x:c r="B250" s="3"/>
      <x:c r="C250" s="3"/>
      <x:c r="D250" s="3"/>
      <x:c r="E250" s="3"/>
      <x:c r="F250" s="3"/>
      <x:c r="G250" s="6"/>
      <x:c r="H250" s="6"/>
    </x:row>
    <x:row r="251">
      <x:c r="A251" s="5"/>
      <x:c r="B251" s="3"/>
      <x:c r="C251" s="3"/>
      <x:c r="D251" s="3"/>
      <x:c r="E251" s="3"/>
      <x:c r="F251" s="3"/>
      <x:c r="G251" s="6"/>
      <x:c r="H251" s="6"/>
    </x:row>
    <x:row r="252">
      <x:c r="A252" s="5"/>
      <x:c r="B252" s="3"/>
      <x:c r="C252" s="3"/>
      <x:c r="D252" s="3"/>
      <x:c r="E252" s="3"/>
      <x:c r="F252" s="3"/>
      <x:c r="G252" s="6"/>
      <x:c r="H252" s="6"/>
    </x:row>
    <x:row r="253">
      <x:c r="A253" s="5"/>
      <x:c r="B253" s="3"/>
      <x:c r="C253" s="3"/>
      <x:c r="D253" s="3"/>
      <x:c r="E253" s="3"/>
      <x:c r="F253" s="3"/>
      <x:c r="G253" s="6"/>
      <x:c r="H253" s="6"/>
    </x:row>
    <x:row r="254">
      <x:c r="A254" s="5"/>
      <x:c r="B254" s="3"/>
      <x:c r="C254" s="3"/>
      <x:c r="D254" s="3"/>
      <x:c r="E254" s="3"/>
      <x:c r="F254" s="3"/>
      <x:c r="G254" s="6"/>
      <x:c r="H254" s="6"/>
    </x:row>
    <x:row r="255">
      <x:c r="A255" s="5"/>
      <x:c r="B255" s="3"/>
      <x:c r="C255" s="3"/>
      <x:c r="D255" s="3"/>
      <x:c r="E255" s="3"/>
      <x:c r="F255" s="3"/>
      <x:c r="G255" s="6"/>
      <x:c r="H255" s="6"/>
    </x:row>
    <x:row r="256">
      <x:c r="A256" s="5"/>
      <x:c r="B256" s="3"/>
      <x:c r="C256" s="3"/>
      <x:c r="D256" s="3"/>
      <x:c r="E256" s="3"/>
      <x:c r="F256" s="3"/>
      <x:c r="G256" s="6"/>
      <x:c r="H256" s="6"/>
    </x:row>
    <x:row r="257">
      <x:c r="A257" s="5"/>
      <x:c r="B257" s="3"/>
      <x:c r="C257" s="3"/>
      <x:c r="D257" s="3"/>
      <x:c r="E257" s="3"/>
      <x:c r="F257" s="3"/>
      <x:c r="G257" s="6"/>
      <x:c r="H257" s="6"/>
    </x:row>
    <x:row r="258">
      <x:c r="A258" s="5"/>
      <x:c r="B258" s="3"/>
      <x:c r="C258" s="3"/>
      <x:c r="D258" s="3"/>
      <x:c r="E258" s="3"/>
      <x:c r="F258" s="3"/>
      <x:c r="G258" s="6"/>
      <x:c r="H258" s="6"/>
    </x:row>
    <x:row r="259">
      <x:c r="A259" s="5"/>
      <x:c r="B259" s="3"/>
      <x:c r="C259" s="3"/>
      <x:c r="D259" s="3"/>
      <x:c r="E259" s="3"/>
      <x:c r="F259" s="3"/>
      <x:c r="G259" s="6"/>
      <x:c r="H259" s="6"/>
    </x:row>
    <x:row r="260">
      <x:c r="A260" s="5"/>
      <x:c r="B260" s="3"/>
      <x:c r="C260" s="3"/>
      <x:c r="D260" s="3"/>
      <x:c r="E260" s="3"/>
      <x:c r="F260" s="3"/>
      <x:c r="G260" s="6"/>
      <x:c r="H260" s="6"/>
    </x:row>
    <x:row r="261">
      <x:c r="A261" s="5"/>
      <x:c r="B261" s="3"/>
      <x:c r="C261" s="3"/>
      <x:c r="D261" s="3"/>
      <x:c r="E261" s="3"/>
      <x:c r="F261" s="3"/>
      <x:c r="G261" s="6"/>
      <x:c r="H261" s="6"/>
    </x:row>
    <x:row r="262">
      <x:c r="A262" s="5"/>
      <x:c r="B262" s="3"/>
      <x:c r="C262" s="3"/>
      <x:c r="D262" s="3"/>
      <x:c r="E262" s="3"/>
      <x:c r="F262" s="3"/>
      <x:c r="G262" s="6"/>
      <x:c r="H262" s="6"/>
    </x:row>
    <x:row r="263">
      <x:c r="A263" s="5"/>
      <x:c r="B263" s="3"/>
      <x:c r="C263" s="3"/>
      <x:c r="D263" s="3"/>
      <x:c r="E263" s="3"/>
      <x:c r="F263" s="3"/>
      <x:c r="G263" s="6"/>
      <x:c r="H263" s="6"/>
    </x:row>
    <x:row r="264">
      <x:c r="A264" s="5"/>
      <x:c r="B264" s="3"/>
      <x:c r="C264" s="3"/>
      <x:c r="D264" s="3"/>
      <x:c r="E264" s="3"/>
      <x:c r="F264" s="3"/>
      <x:c r="G264" s="6"/>
      <x:c r="H264" s="6"/>
    </x:row>
    <x:row r="265">
      <x:c r="A265" s="5"/>
      <x:c r="B265" s="3"/>
      <x:c r="C265" s="3"/>
      <x:c r="D265" s="3"/>
      <x:c r="E265" s="3"/>
      <x:c r="F265" s="3"/>
      <x:c r="G265" s="6"/>
      <x:c r="H265" s="6"/>
    </x:row>
    <x:row r="266">
      <x:c r="A266" s="5"/>
      <x:c r="B266" s="3"/>
      <x:c r="C266" s="3"/>
      <x:c r="D266" s="3"/>
      <x:c r="E266" s="3"/>
      <x:c r="F266" s="3"/>
      <x:c r="G266" s="6"/>
      <x:c r="H266" s="6"/>
    </x:row>
    <x:row r="267">
      <x:c r="A267" s="5"/>
      <x:c r="B267" s="3"/>
      <x:c r="C267" s="3"/>
      <x:c r="D267" s="3"/>
      <x:c r="E267" s="3"/>
      <x:c r="F267" s="3"/>
      <x:c r="G267" s="6"/>
      <x:c r="H267" s="6"/>
    </x:row>
    <x:row r="268">
      <x:c r="A268" s="5"/>
      <x:c r="B268" s="3"/>
      <x:c r="C268" s="3"/>
      <x:c r="D268" s="3"/>
      <x:c r="E268" s="3"/>
      <x:c r="F268" s="3"/>
      <x:c r="G268" s="6"/>
      <x:c r="H268" s="6"/>
    </x:row>
    <x:row r="269">
      <x:c r="A269" s="5"/>
      <x:c r="B269" s="3"/>
      <x:c r="C269" s="3"/>
      <x:c r="D269" s="3"/>
      <x:c r="E269" s="3"/>
      <x:c r="F269" s="3"/>
      <x:c r="G269" s="6"/>
      <x:c r="H269" s="6"/>
    </x:row>
    <x:row r="270">
      <x:c r="A270" s="5"/>
      <x:c r="B270" s="3"/>
      <x:c r="C270" s="3"/>
      <x:c r="D270" s="3"/>
      <x:c r="E270" s="3"/>
      <x:c r="F270" s="3"/>
      <x:c r="G270" s="6"/>
      <x:c r="H270" s="6"/>
    </x:row>
    <x:row r="271">
      <x:c r="A271" s="5"/>
      <x:c r="B271" s="3"/>
      <x:c r="C271" s="3"/>
      <x:c r="D271" s="3"/>
      <x:c r="E271" s="3"/>
      <x:c r="F271" s="3"/>
      <x:c r="G271" s="6"/>
      <x:c r="H271" s="6"/>
    </x:row>
    <x:row r="272">
      <x:c r="A272" s="5"/>
      <x:c r="B272" s="3"/>
      <x:c r="C272" s="3"/>
      <x:c r="D272" s="3"/>
      <x:c r="E272" s="3"/>
      <x:c r="F272" s="3"/>
      <x:c r="G272" s="6"/>
      <x:c r="H272" s="6"/>
    </x:row>
    <x:row r="273">
      <x:c r="A273" s="5"/>
      <x:c r="B273" s="3"/>
      <x:c r="C273" s="3"/>
      <x:c r="D273" s="3"/>
      <x:c r="E273" s="3"/>
      <x:c r="F273" s="3"/>
      <x:c r="G273" s="6"/>
      <x:c r="H273" s="6"/>
    </x:row>
    <x:row r="274">
      <x:c r="A274" s="5"/>
      <x:c r="B274" s="3"/>
      <x:c r="C274" s="3"/>
      <x:c r="D274" s="3"/>
      <x:c r="E274" s="3"/>
      <x:c r="F274" s="3"/>
      <x:c r="G274" s="6"/>
      <x:c r="H274" s="6"/>
    </x:row>
    <x:row r="275">
      <x:c r="A275" s="5"/>
      <x:c r="B275" s="3"/>
      <x:c r="C275" s="3"/>
      <x:c r="D275" s="3"/>
      <x:c r="E275" s="3"/>
      <x:c r="F275" s="3"/>
      <x:c r="G275" s="6"/>
      <x:c r="H275" s="6"/>
    </x:row>
    <x:row r="276">
      <x:c r="A276" s="5"/>
      <x:c r="B276" s="3"/>
      <x:c r="C276" s="3"/>
      <x:c r="D276" s="3"/>
      <x:c r="E276" s="3"/>
      <x:c r="F276" s="3"/>
      <x:c r="G276" s="6"/>
      <x:c r="H276" s="6"/>
    </x:row>
    <x:row r="277">
      <x:c r="A277" s="5"/>
      <x:c r="B277" s="3"/>
      <x:c r="C277" s="3"/>
      <x:c r="D277" s="3"/>
      <x:c r="E277" s="3"/>
      <x:c r="F277" s="3"/>
      <x:c r="G277" s="6"/>
      <x:c r="H277" s="6"/>
    </x:row>
    <x:row r="278">
      <x:c r="A278" s="5"/>
      <x:c r="B278" s="3"/>
      <x:c r="C278" s="3"/>
      <x:c r="D278" s="3"/>
      <x:c r="E278" s="3"/>
      <x:c r="F278" s="3"/>
      <x:c r="G278" s="6"/>
      <x:c r="H278" s="6"/>
    </x:row>
    <x:row r="279">
      <x:c r="A279" s="5"/>
      <x:c r="B279" s="3"/>
      <x:c r="C279" s="3"/>
      <x:c r="D279" s="3"/>
      <x:c r="E279" s="3"/>
      <x:c r="F279" s="3"/>
      <x:c r="G279" s="6"/>
      <x:c r="H279" s="6"/>
    </x:row>
    <x:row r="280">
      <x:c r="A280" s="5"/>
      <x:c r="B280" s="3"/>
      <x:c r="C280" s="3"/>
      <x:c r="D280" s="3"/>
      <x:c r="E280" s="3"/>
      <x:c r="F280" s="3"/>
      <x:c r="G280" s="6"/>
      <x:c r="H280" s="6"/>
    </x:row>
    <x:row r="281">
      <x:c r="A281" s="5"/>
      <x:c r="B281" s="3"/>
      <x:c r="C281" s="3"/>
      <x:c r="D281" s="3"/>
      <x:c r="E281" s="3"/>
      <x:c r="F281" s="3"/>
      <x:c r="G281" s="6"/>
      <x:c r="H281" s="6"/>
    </x:row>
    <x:row r="282">
      <x:c r="A282" s="5"/>
      <x:c r="B282" s="3"/>
      <x:c r="C282" s="3"/>
      <x:c r="D282" s="3"/>
      <x:c r="E282" s="3"/>
      <x:c r="F282" s="3"/>
      <x:c r="G282" s="6"/>
      <x:c r="H282" s="6"/>
    </x:row>
    <x:row r="283">
      <x:c r="A283" s="5"/>
      <x:c r="B283" s="3"/>
      <x:c r="C283" s="3"/>
      <x:c r="D283" s="3"/>
      <x:c r="E283" s="3"/>
      <x:c r="F283" s="3"/>
      <x:c r="G283" s="6"/>
      <x:c r="H283" s="6"/>
    </x:row>
    <x:row r="284">
      <x:c r="A284" s="5"/>
      <x:c r="B284" s="3"/>
      <x:c r="C284" s="3"/>
      <x:c r="D284" s="3"/>
      <x:c r="E284" s="3"/>
      <x:c r="F284" s="3"/>
      <x:c r="G284" s="6"/>
      <x:c r="H284" s="6"/>
    </x:row>
    <x:row r="285">
      <x:c r="A285" s="5"/>
      <x:c r="B285" s="3"/>
      <x:c r="C285" s="3"/>
      <x:c r="D285" s="3"/>
      <x:c r="E285" s="3"/>
      <x:c r="F285" s="3"/>
      <x:c r="G285" s="6"/>
      <x:c r="H285" s="6"/>
    </x:row>
    <x:row r="286">
      <x:c r="A286" s="5"/>
      <x:c r="B286" s="3"/>
      <x:c r="C286" s="3"/>
      <x:c r="D286" s="3"/>
      <x:c r="E286" s="3"/>
      <x:c r="F286" s="3"/>
      <x:c r="G286" s="6"/>
      <x:c r="H286" s="6"/>
    </x:row>
    <x:row r="287">
      <x:c r="A287" s="5"/>
      <x:c r="B287" s="3"/>
      <x:c r="C287" s="3"/>
      <x:c r="D287" s="3"/>
      <x:c r="E287" s="3"/>
      <x:c r="F287" s="3"/>
      <x:c r="G287" s="6"/>
      <x:c r="H287" s="6"/>
    </x:row>
    <x:row r="288">
      <x:c r="A288" s="5"/>
      <x:c r="B288" s="3"/>
      <x:c r="C288" s="3"/>
      <x:c r="D288" s="3"/>
      <x:c r="E288" s="3"/>
      <x:c r="F288" s="3"/>
      <x:c r="G288" s="6"/>
      <x:c r="H288" s="6"/>
    </x:row>
    <x:row r="289">
      <x:c r="A289" s="5"/>
      <x:c r="B289" s="3"/>
      <x:c r="C289" s="3"/>
      <x:c r="D289" s="3"/>
      <x:c r="E289" s="3"/>
      <x:c r="F289" s="3"/>
      <x:c r="G289" s="6"/>
      <x:c r="H289" s="6"/>
    </x:row>
    <x:row r="290">
      <x:c r="A290" s="5"/>
      <x:c r="B290" s="3"/>
      <x:c r="C290" s="3"/>
      <x:c r="D290" s="3"/>
      <x:c r="E290" s="3"/>
      <x:c r="F290" s="3"/>
      <x:c r="G290" s="6"/>
      <x:c r="H290" s="6"/>
    </x:row>
    <x:row r="291">
      <x:c r="A291" s="5"/>
      <x:c r="B291" s="3"/>
      <x:c r="C291" s="3"/>
      <x:c r="D291" s="3"/>
      <x:c r="E291" s="3"/>
      <x:c r="F291" s="3"/>
      <x:c r="G291" s="6"/>
      <x:c r="H291" s="6"/>
    </x:row>
    <x:row r="292">
      <x:c r="A292" s="5"/>
      <x:c r="B292" s="3"/>
      <x:c r="C292" s="3"/>
      <x:c r="D292" s="3"/>
      <x:c r="E292" s="3"/>
      <x:c r="F292" s="3"/>
      <x:c r="G292" s="6"/>
      <x:c r="H292" s="6"/>
    </x:row>
    <x:row r="293">
      <x:c r="A293" s="5"/>
      <x:c r="B293" s="3"/>
      <x:c r="C293" s="3"/>
      <x:c r="D293" s="3"/>
      <x:c r="E293" s="3"/>
      <x:c r="F293" s="3"/>
      <x:c r="G293" s="6"/>
      <x:c r="H293" s="6"/>
    </x:row>
    <x:row r="294">
      <x:c r="A294" s="5"/>
      <x:c r="B294" s="3"/>
      <x:c r="C294" s="3"/>
      <x:c r="D294" s="3"/>
      <x:c r="E294" s="3"/>
      <x:c r="F294" s="3"/>
      <x:c r="G294" s="6"/>
      <x:c r="H294" s="6"/>
    </x:row>
    <x:row r="295">
      <x:c r="A295" s="5"/>
      <x:c r="B295" s="3"/>
      <x:c r="C295" s="3"/>
      <x:c r="D295" s="3"/>
      <x:c r="E295" s="3"/>
      <x:c r="F295" s="3"/>
      <x:c r="G295" s="6"/>
      <x:c r="H295" s="6"/>
    </x:row>
    <x:row r="296">
      <x:c r="A296" s="5"/>
      <x:c r="B296" s="3"/>
      <x:c r="C296" s="3"/>
      <x:c r="D296" s="3"/>
      <x:c r="E296" s="3"/>
      <x:c r="F296" s="3"/>
      <x:c r="G296" s="6"/>
      <x:c r="H296" s="6"/>
    </x:row>
    <x:row r="297">
      <x:c r="A297" s="5"/>
      <x:c r="B297" s="3"/>
      <x:c r="C297" s="3"/>
      <x:c r="D297" s="3"/>
      <x:c r="E297" s="3"/>
      <x:c r="F297" s="3"/>
      <x:c r="G297" s="6"/>
      <x:c r="H297" s="6"/>
    </x:row>
    <x:row r="298">
      <x:c r="A298" s="5"/>
      <x:c r="B298" s="3"/>
      <x:c r="C298" s="3"/>
      <x:c r="D298" s="3"/>
      <x:c r="E298" s="3"/>
      <x:c r="F298" s="3"/>
      <x:c r="G298" s="6"/>
      <x:c r="H298" s="6"/>
    </x:row>
    <x:row r="299">
      <x:c r="A299" s="5"/>
      <x:c r="B299" s="3"/>
      <x:c r="C299" s="3"/>
      <x:c r="D299" s="3"/>
      <x:c r="E299" s="3"/>
      <x:c r="F299" s="3"/>
      <x:c r="G299" s="6"/>
      <x:c r="H299" s="6"/>
    </x:row>
    <x:row r="300">
      <x:c r="A300" s="5"/>
      <x:c r="B300" s="3"/>
      <x:c r="C300" s="3"/>
      <x:c r="D300" s="3"/>
      <x:c r="E300" s="3"/>
      <x:c r="F300" s="3"/>
      <x:c r="G300" s="6"/>
      <x:c r="H300" s="6"/>
    </x:row>
    <x:row r="301">
      <x:c r="A301" s="5"/>
      <x:c r="B301" s="3"/>
      <x:c r="C301" s="3"/>
      <x:c r="D301" s="3"/>
      <x:c r="E301" s="3"/>
      <x:c r="F301" s="3"/>
      <x:c r="G301" s="6"/>
      <x:c r="H301" s="6"/>
    </x:row>
    <x:row r="302">
      <x:c r="A302" s="5"/>
      <x:c r="B302" s="3"/>
      <x:c r="C302" s="3"/>
      <x:c r="D302" s="3"/>
      <x:c r="E302" s="3"/>
      <x:c r="F302" s="3"/>
      <x:c r="G302" s="6"/>
      <x:c r="H302" s="6"/>
    </x:row>
    <x:row r="303">
      <x:c r="A303" s="5"/>
      <x:c r="B303" s="3"/>
      <x:c r="C303" s="3"/>
      <x:c r="D303" s="3"/>
      <x:c r="E303" s="3"/>
      <x:c r="F303" s="3"/>
      <x:c r="G303" s="6"/>
      <x:c r="H303" s="6"/>
    </x:row>
    <x:row r="304">
      <x:c r="A304" s="5"/>
      <x:c r="B304" s="3"/>
      <x:c r="C304" s="3"/>
      <x:c r="D304" s="3"/>
      <x:c r="E304" s="3"/>
      <x:c r="F304" s="3"/>
      <x:c r="G304" s="6"/>
      <x:c r="H304" s="6"/>
    </x:row>
    <x:row r="305">
      <x:c r="A305" s="5"/>
      <x:c r="B305" s="3"/>
      <x:c r="C305" s="3"/>
      <x:c r="D305" s="3"/>
      <x:c r="E305" s="3"/>
      <x:c r="F305" s="3"/>
      <x:c r="G305" s="6"/>
      <x:c r="H305" s="6"/>
    </x:row>
    <x:row r="306">
      <x:c r="A306" s="5"/>
      <x:c r="B306" s="3"/>
      <x:c r="C306" s="3"/>
      <x:c r="D306" s="3"/>
      <x:c r="E306" s="3"/>
      <x:c r="F306" s="3"/>
      <x:c r="G306" s="6"/>
      <x:c r="H306" s="6"/>
    </x:row>
    <x:row r="307">
      <x:c r="A307" s="5"/>
      <x:c r="B307" s="3"/>
      <x:c r="C307" s="3"/>
      <x:c r="D307" s="3"/>
      <x:c r="E307" s="3"/>
      <x:c r="F307" s="3"/>
      <x:c r="G307" s="6"/>
      <x:c r="H307" s="6"/>
    </x:row>
    <x:row r="308">
      <x:c r="A308" s="5"/>
      <x:c r="B308" s="3"/>
      <x:c r="C308" s="3"/>
      <x:c r="D308" s="3"/>
      <x:c r="E308" s="3"/>
      <x:c r="F308" s="3"/>
      <x:c r="G308" s="6"/>
      <x:c r="H308" s="6"/>
    </x:row>
    <x:row r="309">
      <x:c r="A309" s="5"/>
      <x:c r="B309" s="3"/>
      <x:c r="C309" s="3"/>
      <x:c r="D309" s="3"/>
      <x:c r="E309" s="3"/>
      <x:c r="F309" s="3"/>
      <x:c r="G309" s="6"/>
      <x:c r="H309" s="6"/>
    </x:row>
    <x:row r="310">
      <x:c r="A310" s="5"/>
      <x:c r="B310" s="3"/>
      <x:c r="C310" s="3"/>
      <x:c r="D310" s="3"/>
      <x:c r="E310" s="3"/>
      <x:c r="F310" s="3"/>
      <x:c r="G310" s="6"/>
      <x:c r="H310" s="6"/>
    </x:row>
    <x:row r="311">
      <x:c r="A311" s="5"/>
      <x:c r="B311" s="3"/>
      <x:c r="C311" s="3"/>
      <x:c r="D311" s="3"/>
      <x:c r="E311" s="3"/>
      <x:c r="F311" s="3"/>
      <x:c r="G311" s="6"/>
      <x:c r="H311" s="6"/>
    </x:row>
    <x:row r="312">
      <x:c r="A312" s="5"/>
      <x:c r="B312" s="3"/>
      <x:c r="C312" s="3"/>
      <x:c r="D312" s="3"/>
      <x:c r="E312" s="3"/>
      <x:c r="F312" s="3"/>
      <x:c r="G312" s="6"/>
      <x:c r="H312" s="6"/>
    </x:row>
    <x:row r="313">
      <x:c r="A313" s="5"/>
      <x:c r="B313" s="3"/>
      <x:c r="C313" s="3"/>
      <x:c r="D313" s="3"/>
      <x:c r="E313" s="3"/>
      <x:c r="F313" s="3"/>
      <x:c r="G313" s="6"/>
      <x:c r="H313" s="6"/>
    </x:row>
    <x:row r="314">
      <x:c r="A314" s="5"/>
      <x:c r="B314" s="3"/>
      <x:c r="C314" s="3"/>
      <x:c r="D314" s="3"/>
      <x:c r="E314" s="3"/>
      <x:c r="F314" s="3"/>
      <x:c r="G314" s="6"/>
      <x:c r="H314" s="6"/>
    </x:row>
    <x:row r="315">
      <x:c r="A315" s="5"/>
      <x:c r="B315" s="3"/>
      <x:c r="C315" s="3"/>
      <x:c r="D315" s="3"/>
      <x:c r="E315" s="3"/>
      <x:c r="F315" s="3"/>
      <x:c r="G315" s="6"/>
      <x:c r="H315" s="6"/>
    </x:row>
    <x:row r="316">
      <x:c r="A316" s="5"/>
      <x:c r="B316" s="3"/>
      <x:c r="C316" s="3"/>
      <x:c r="D316" s="3"/>
      <x:c r="E316" s="3"/>
      <x:c r="F316" s="3"/>
      <x:c r="G316" s="6"/>
      <x:c r="H316" s="6"/>
    </x:row>
    <x:row r="317">
      <x:c r="A317" s="5"/>
      <x:c r="B317" s="3"/>
      <x:c r="C317" s="3"/>
      <x:c r="D317" s="3"/>
      <x:c r="E317" s="3"/>
      <x:c r="F317" s="3"/>
      <x:c r="G317" s="6"/>
      <x:c r="H317" s="6"/>
    </x:row>
    <x:row r="318">
      <x:c r="A318" s="5"/>
      <x:c r="B318" s="3"/>
      <x:c r="C318" s="3"/>
      <x:c r="D318" s="3"/>
      <x:c r="E318" s="3"/>
      <x:c r="F318" s="3"/>
      <x:c r="G318" s="6"/>
      <x:c r="H318" s="6"/>
    </x:row>
    <x:row r="319">
      <x:c r="A319" s="5"/>
      <x:c r="B319" s="3"/>
      <x:c r="C319" s="3"/>
      <x:c r="D319" s="3"/>
      <x:c r="E319" s="3"/>
      <x:c r="F319" s="3"/>
      <x:c r="G319" s="6"/>
      <x:c r="H319" s="6"/>
    </x:row>
    <x:row r="320">
      <x:c r="A320" s="5"/>
      <x:c r="B320" s="3"/>
      <x:c r="C320" s="3"/>
      <x:c r="D320" s="3"/>
      <x:c r="E320" s="3"/>
      <x:c r="F320" s="3"/>
      <x:c r="G320" s="6"/>
      <x:c r="H320" s="6"/>
    </x:row>
    <x:row r="321">
      <x:c r="A321" s="5"/>
      <x:c r="B321" s="3"/>
      <x:c r="C321" s="3"/>
      <x:c r="D321" s="3"/>
      <x:c r="E321" s="3"/>
      <x:c r="F321" s="3"/>
      <x:c r="G321" s="6"/>
      <x:c r="H321" s="6"/>
    </x:row>
    <x:row r="322">
      <x:c r="A322" s="5"/>
      <x:c r="B322" s="3"/>
      <x:c r="C322" s="3"/>
      <x:c r="D322" s="3"/>
      <x:c r="E322" s="3"/>
      <x:c r="F322" s="3"/>
      <x:c r="G322" s="6"/>
      <x:c r="H322" s="6"/>
    </x:row>
    <x:row r="323">
      <x:c r="A323" s="5"/>
      <x:c r="B323" s="3"/>
      <x:c r="C323" s="3"/>
      <x:c r="D323" s="3"/>
      <x:c r="E323" s="3"/>
      <x:c r="F323" s="3"/>
      <x:c r="G323" s="6"/>
      <x:c r="H323" s="6"/>
    </x:row>
    <x:row r="324">
      <x:c r="A324" s="5"/>
      <x:c r="B324" s="3"/>
      <x:c r="C324" s="3"/>
      <x:c r="D324" s="3"/>
      <x:c r="E324" s="3"/>
      <x:c r="F324" s="3"/>
      <x:c r="G324" s="6"/>
      <x:c r="H324" s="6"/>
    </x:row>
    <x:row r="325">
      <x:c r="A325" s="5"/>
      <x:c r="B325" s="3"/>
      <x:c r="C325" s="3"/>
      <x:c r="D325" s="3"/>
      <x:c r="E325" s="3"/>
      <x:c r="F325" s="3"/>
      <x:c r="G325" s="6"/>
      <x:c r="H325" s="6"/>
    </x:row>
    <x:row r="326">
      <x:c r="A326" s="5"/>
      <x:c r="B326" s="3"/>
      <x:c r="C326" s="3"/>
      <x:c r="D326" s="3"/>
      <x:c r="E326" s="3"/>
      <x:c r="F326" s="3"/>
      <x:c r="G326" s="6"/>
      <x:c r="H326" s="6"/>
    </x:row>
    <x:row r="327">
      <x:c r="A327" s="5"/>
      <x:c r="B327" s="3"/>
      <x:c r="C327" s="3"/>
      <x:c r="D327" s="3"/>
      <x:c r="E327" s="3"/>
      <x:c r="F327" s="3"/>
      <x:c r="G327" s="6"/>
      <x:c r="H327" s="6"/>
    </x:row>
    <x:row r="328">
      <x:c r="A328" s="5"/>
      <x:c r="B328" s="3"/>
      <x:c r="C328" s="3"/>
      <x:c r="D328" s="3"/>
      <x:c r="E328" s="3"/>
      <x:c r="F328" s="3"/>
      <x:c r="G328" s="6"/>
      <x:c r="H328" s="6"/>
    </x:row>
    <x:row r="329">
      <x:c r="A329" s="5"/>
      <x:c r="B329" s="3"/>
      <x:c r="C329" s="3"/>
      <x:c r="D329" s="3"/>
      <x:c r="E329" s="3"/>
      <x:c r="F329" s="3"/>
      <x:c r="G329" s="6"/>
      <x:c r="H329" s="6"/>
    </x:row>
    <x:row r="330">
      <x:c r="A330" s="5"/>
      <x:c r="B330" s="3"/>
      <x:c r="C330" s="3"/>
      <x:c r="D330" s="3"/>
      <x:c r="E330" s="3"/>
      <x:c r="F330" s="3"/>
      <x:c r="G330" s="6"/>
      <x:c r="H330" s="6"/>
    </x:row>
    <x:row r="331">
      <x:c r="A331" s="5"/>
      <x:c r="B331" s="3"/>
      <x:c r="C331" s="3"/>
      <x:c r="D331" s="3"/>
      <x:c r="E331" s="3"/>
      <x:c r="F331" s="3"/>
      <x:c r="G331" s="6"/>
      <x:c r="H331" s="6"/>
    </x:row>
    <x:row r="332">
      <x:c r="A332" s="5"/>
      <x:c r="B332" s="3"/>
      <x:c r="C332" s="3"/>
      <x:c r="D332" s="3"/>
      <x:c r="E332" s="3"/>
      <x:c r="F332" s="3"/>
      <x:c r="G332" s="6"/>
      <x:c r="H332" s="6"/>
    </x:row>
    <x:row r="333">
      <x:c r="A333" s="5"/>
      <x:c r="B333" s="3"/>
      <x:c r="C333" s="3"/>
      <x:c r="D333" s="3"/>
      <x:c r="E333" s="3"/>
      <x:c r="F333" s="3"/>
      <x:c r="G333" s="6"/>
      <x:c r="H333" s="6"/>
    </x:row>
    <x:row r="334">
      <x:c r="A334" s="5"/>
      <x:c r="B334" s="3"/>
      <x:c r="C334" s="3"/>
      <x:c r="D334" s="3"/>
      <x:c r="E334" s="3"/>
      <x:c r="F334" s="3"/>
      <x:c r="G334" s="6"/>
      <x:c r="H334" s="6"/>
    </x:row>
    <x:row r="335">
      <x:c r="A335" s="5"/>
      <x:c r="B335" s="3"/>
      <x:c r="C335" s="3"/>
      <x:c r="D335" s="3"/>
      <x:c r="E335" s="3"/>
      <x:c r="F335" s="3"/>
      <x:c r="G335" s="6"/>
      <x:c r="H335" s="6"/>
    </x:row>
    <x:row r="336">
      <x:c r="A336" s="5"/>
      <x:c r="B336" s="3"/>
      <x:c r="C336" s="3"/>
      <x:c r="D336" s="3"/>
      <x:c r="E336" s="3"/>
      <x:c r="F336" s="3"/>
      <x:c r="G336" s="6"/>
      <x:c r="H336" s="6"/>
    </x:row>
    <x:row r="337">
      <x:c r="A337" s="5"/>
      <x:c r="B337" s="3"/>
      <x:c r="C337" s="3"/>
      <x:c r="D337" s="3"/>
      <x:c r="E337" s="3"/>
      <x:c r="F337" s="3"/>
      <x:c r="G337" s="6"/>
      <x:c r="H337" s="6"/>
    </x:row>
    <x:row r="338">
      <x:c r="A338" s="5"/>
      <x:c r="B338" s="3"/>
      <x:c r="C338" s="3"/>
      <x:c r="D338" s="3"/>
      <x:c r="E338" s="3"/>
      <x:c r="F338" s="3"/>
      <x:c r="G338" s="6"/>
      <x:c r="H338" s="6"/>
    </x:row>
    <x:row r="339">
      <x:c r="A339" s="5"/>
      <x:c r="B339" s="3"/>
      <x:c r="C339" s="3"/>
      <x:c r="D339" s="3"/>
      <x:c r="E339" s="3"/>
      <x:c r="F339" s="3"/>
      <x:c r="G339" s="6"/>
      <x:c r="H339" s="6"/>
    </x:row>
    <x:row r="340">
      <x:c r="A340" s="5"/>
      <x:c r="B340" s="3"/>
      <x:c r="C340" s="3"/>
      <x:c r="D340" s="3"/>
      <x:c r="E340" s="3"/>
      <x:c r="F340" s="3"/>
      <x:c r="G340" s="6"/>
      <x:c r="H340" s="6"/>
    </x:row>
    <x:row r="341">
      <x:c r="A341" s="5"/>
      <x:c r="B341" s="3"/>
      <x:c r="C341" s="3"/>
      <x:c r="D341" s="3"/>
      <x:c r="E341" s="3"/>
      <x:c r="F341" s="3"/>
      <x:c r="G341" s="6"/>
      <x:c r="H341" s="6"/>
    </x:row>
    <x:row r="342">
      <x:c r="A342" s="5"/>
      <x:c r="B342" s="3"/>
      <x:c r="C342" s="3"/>
      <x:c r="D342" s="3"/>
      <x:c r="E342" s="3"/>
      <x:c r="F342" s="3"/>
      <x:c r="G342" s="6"/>
      <x:c r="H342" s="6"/>
    </x:row>
    <x:row r="343">
      <x:c r="A343" s="5"/>
      <x:c r="B343" s="3"/>
      <x:c r="C343" s="3"/>
      <x:c r="D343" s="3"/>
      <x:c r="E343" s="3"/>
      <x:c r="F343" s="3"/>
      <x:c r="G343" s="6"/>
      <x:c r="H343" s="6"/>
    </x:row>
    <x:row r="344">
      <x:c r="A344" s="5"/>
      <x:c r="B344" s="3"/>
      <x:c r="C344" s="3"/>
      <x:c r="D344" s="3"/>
      <x:c r="E344" s="3"/>
      <x:c r="F344" s="3"/>
      <x:c r="G344" s="6"/>
      <x:c r="H344" s="6"/>
    </x:row>
    <x:row r="345">
      <x:c r="A345" s="5"/>
      <x:c r="B345" s="3"/>
      <x:c r="C345" s="3"/>
      <x:c r="D345" s="3"/>
      <x:c r="E345" s="3"/>
      <x:c r="F345" s="3"/>
      <x:c r="G345" s="6"/>
      <x:c r="H345" s="6"/>
    </x:row>
    <x:row r="346">
      <x:c r="A346" s="5"/>
      <x:c r="B346" s="3"/>
      <x:c r="C346" s="3"/>
      <x:c r="D346" s="3"/>
      <x:c r="E346" s="3"/>
      <x:c r="F346" s="3"/>
      <x:c r="G346" s="6"/>
      <x:c r="H346" s="6"/>
    </x:row>
    <x:row r="347">
      <x:c r="A347" s="5"/>
      <x:c r="B347" s="3"/>
      <x:c r="C347" s="3"/>
      <x:c r="D347" s="3"/>
      <x:c r="E347" s="3"/>
      <x:c r="F347" s="3"/>
      <x:c r="G347" s="6"/>
      <x:c r="H347" s="6"/>
    </x:row>
    <x:row r="348">
      <x:c r="A348" s="5"/>
      <x:c r="B348" s="3"/>
      <x:c r="C348" s="3"/>
      <x:c r="D348" s="3"/>
      <x:c r="E348" s="3"/>
      <x:c r="F348" s="3"/>
      <x:c r="G348" s="6"/>
      <x:c r="H348" s="6"/>
    </x:row>
    <x:row r="349">
      <x:c r="A349" s="5"/>
      <x:c r="B349" s="3"/>
      <x:c r="C349" s="3"/>
      <x:c r="D349" s="3"/>
      <x:c r="E349" s="3"/>
      <x:c r="F349" s="3"/>
      <x:c r="G349" s="6"/>
      <x:c r="H349" s="6"/>
    </x:row>
    <x:row r="350">
      <x:c r="A350" s="5"/>
      <x:c r="B350" s="3"/>
      <x:c r="C350" s="3"/>
      <x:c r="D350" s="3"/>
      <x:c r="E350" s="3"/>
      <x:c r="F350" s="3"/>
      <x:c r="G350" s="6"/>
      <x:c r="H350" s="6"/>
    </x:row>
    <x:row r="351">
      <x:c r="A351" s="5"/>
      <x:c r="B351" s="3"/>
      <x:c r="C351" s="3"/>
      <x:c r="D351" s="3"/>
      <x:c r="E351" s="3"/>
      <x:c r="F351" s="3"/>
      <x:c r="G351" s="6"/>
      <x:c r="H351" s="6"/>
    </x:row>
    <x:row r="352">
      <x:c r="A352" s="5"/>
      <x:c r="B352" s="3"/>
      <x:c r="C352" s="3"/>
      <x:c r="D352" s="3"/>
      <x:c r="E352" s="3"/>
      <x:c r="F352" s="3"/>
      <x:c r="G352" s="6"/>
      <x:c r="H352" s="6"/>
    </x:row>
    <x:row r="353">
      <x:c r="A353" s="5"/>
      <x:c r="B353" s="3"/>
      <x:c r="C353" s="3"/>
      <x:c r="D353" s="3"/>
      <x:c r="E353" s="3"/>
      <x:c r="F353" s="3"/>
      <x:c r="G353" s="6"/>
      <x:c r="H353" s="6"/>
    </x:row>
    <x:row r="354">
      <x:c r="A354" s="5"/>
      <x:c r="B354" s="3"/>
      <x:c r="C354" s="3"/>
      <x:c r="D354" s="3"/>
      <x:c r="E354" s="3"/>
      <x:c r="F354" s="3"/>
      <x:c r="G354" s="6"/>
      <x:c r="H354" s="6"/>
    </x:row>
    <x:row r="355">
      <x:c r="A355" s="5"/>
      <x:c r="B355" s="3"/>
      <x:c r="C355" s="3"/>
      <x:c r="D355" s="3"/>
      <x:c r="E355" s="3"/>
      <x:c r="F355" s="3"/>
      <x:c r="G355" s="6"/>
      <x:c r="H355" s="6"/>
    </x:row>
    <x:row r="356">
      <x:c r="A356" s="5"/>
      <x:c r="B356" s="3"/>
      <x:c r="C356" s="3"/>
      <x:c r="D356" s="3"/>
      <x:c r="E356" s="3"/>
      <x:c r="F356" s="3"/>
      <x:c r="G356" s="6"/>
      <x:c r="H356" s="6"/>
    </x:row>
    <x:row r="357">
      <x:c r="A357" s="5"/>
      <x:c r="B357" s="3"/>
      <x:c r="C357" s="3"/>
      <x:c r="D357" s="3"/>
      <x:c r="E357" s="3"/>
      <x:c r="F357" s="3"/>
      <x:c r="G357" s="6"/>
      <x:c r="H357" s="6"/>
    </x:row>
    <x:row r="358">
      <x:c r="A358" s="5"/>
      <x:c r="B358" s="3"/>
      <x:c r="C358" s="3"/>
      <x:c r="D358" s="3"/>
      <x:c r="E358" s="3"/>
      <x:c r="F358" s="3"/>
      <x:c r="G358" s="6"/>
      <x:c r="H358" s="6"/>
    </x:row>
    <x:row r="359">
      <x:c r="A359" s="5"/>
      <x:c r="B359" s="3"/>
      <x:c r="C359" s="3"/>
      <x:c r="D359" s="3"/>
      <x:c r="E359" s="3"/>
      <x:c r="F359" s="3"/>
      <x:c r="G359" s="6"/>
      <x:c r="H359" s="6"/>
    </x:row>
    <x:row r="360">
      <x:c r="A360" s="5"/>
      <x:c r="B360" s="3"/>
      <x:c r="C360" s="3"/>
      <x:c r="D360" s="3"/>
      <x:c r="E360" s="3"/>
      <x:c r="F360" s="3"/>
      <x:c r="G360" s="6"/>
      <x:c r="H360" s="6"/>
    </x:row>
    <x:row r="361">
      <x:c r="A361" s="5"/>
      <x:c r="B361" s="3"/>
      <x:c r="C361" s="3"/>
      <x:c r="D361" s="3"/>
      <x:c r="E361" s="3"/>
      <x:c r="F361" s="3"/>
      <x:c r="G361" s="6"/>
      <x:c r="H361" s="6"/>
    </x:row>
    <x:row r="362">
      <x:c r="A362" s="5"/>
      <x:c r="B362" s="3"/>
      <x:c r="C362" s="3"/>
      <x:c r="D362" s="3"/>
      <x:c r="E362" s="3"/>
      <x:c r="F362" s="3"/>
      <x:c r="G362" s="6"/>
      <x:c r="H362" s="6"/>
    </x:row>
    <x:row r="363">
      <x:c r="A363" s="5"/>
      <x:c r="B363" s="3"/>
      <x:c r="C363" s="3"/>
      <x:c r="D363" s="3"/>
      <x:c r="E363" s="3"/>
      <x:c r="F363" s="3"/>
      <x:c r="G363" s="6"/>
      <x:c r="H363" s="6"/>
    </x:row>
    <x:row r="364">
      <x:c r="A364" s="5"/>
      <x:c r="B364" s="3"/>
      <x:c r="C364" s="3"/>
      <x:c r="D364" s="3"/>
      <x:c r="E364" s="3"/>
      <x:c r="F364" s="3"/>
      <x:c r="G364" s="6"/>
      <x:c r="H364" s="6"/>
    </x:row>
    <x:row r="365">
      <x:c r="A365" s="5"/>
      <x:c r="B365" s="3"/>
      <x:c r="C365" s="3"/>
      <x:c r="D365" s="3"/>
      <x:c r="E365" s="3"/>
      <x:c r="F365" s="3"/>
      <x:c r="G365" s="6"/>
      <x:c r="H365" s="6"/>
    </x:row>
    <x:row r="366">
      <x:c r="A366" s="5"/>
      <x:c r="B366" s="3"/>
      <x:c r="C366" s="3"/>
      <x:c r="D366" s="3"/>
      <x:c r="E366" s="3"/>
      <x:c r="F366" s="3"/>
      <x:c r="G366" s="6"/>
      <x:c r="H366" s="6"/>
    </x:row>
    <x:row r="367">
      <x:c r="A367" s="5"/>
      <x:c r="B367" s="3"/>
      <x:c r="C367" s="3"/>
      <x:c r="D367" s="3"/>
      <x:c r="E367" s="3"/>
      <x:c r="F367" s="3"/>
      <x:c r="G367" s="6"/>
      <x:c r="H367" s="6"/>
    </x:row>
    <x:row r="368">
      <x:c r="A368" s="5"/>
      <x:c r="B368" s="3"/>
      <x:c r="C368" s="3"/>
      <x:c r="D368" s="3"/>
      <x:c r="E368" s="3"/>
      <x:c r="F368" s="3"/>
      <x:c r="G368" s="6"/>
      <x:c r="H368" s="6"/>
    </x:row>
    <x:row r="369">
      <x:c r="A369" s="5"/>
      <x:c r="B369" s="3"/>
      <x:c r="C369" s="3"/>
      <x:c r="D369" s="3"/>
      <x:c r="E369" s="3"/>
      <x:c r="F369" s="3"/>
      <x:c r="G369" s="6"/>
      <x:c r="H369" s="6"/>
    </x:row>
    <x:row r="370">
      <x:c r="A370" s="5"/>
      <x:c r="B370" s="3"/>
      <x:c r="C370" s="3"/>
      <x:c r="D370" s="3"/>
      <x:c r="E370" s="3"/>
      <x:c r="F370" s="3"/>
      <x:c r="G370" s="6"/>
      <x:c r="H370" s="6"/>
    </x:row>
    <x:row r="371">
      <x:c r="A371" s="5"/>
      <x:c r="B371" s="3"/>
      <x:c r="C371" s="3"/>
      <x:c r="D371" s="3"/>
      <x:c r="E371" s="3"/>
      <x:c r="F371" s="3"/>
      <x:c r="G371" s="6"/>
      <x:c r="H371" s="6"/>
    </x:row>
    <x:row r="372">
      <x:c r="A372" s="5"/>
      <x:c r="B372" s="3"/>
      <x:c r="C372" s="3"/>
      <x:c r="D372" s="3"/>
      <x:c r="E372" s="3"/>
      <x:c r="F372" s="3"/>
      <x:c r="G372" s="6"/>
      <x:c r="H372" s="6"/>
    </x:row>
    <x:row r="373">
      <x:c r="A373" s="5"/>
      <x:c r="B373" s="3"/>
      <x:c r="C373" s="3"/>
      <x:c r="D373" s="3"/>
      <x:c r="E373" s="3"/>
      <x:c r="F373" s="3"/>
      <x:c r="G373" s="6"/>
      <x:c r="H373" s="6"/>
    </x:row>
    <x:row r="374">
      <x:c r="A374" s="5"/>
      <x:c r="B374" s="3"/>
      <x:c r="C374" s="3"/>
      <x:c r="D374" s="3"/>
      <x:c r="E374" s="3"/>
      <x:c r="F374" s="3"/>
      <x:c r="G374" s="6"/>
      <x:c r="H374" s="6"/>
    </x:row>
    <x:row r="375">
      <x:c r="A375" s="5"/>
      <x:c r="B375" s="3"/>
      <x:c r="C375" s="3"/>
      <x:c r="D375" s="3"/>
      <x:c r="E375" s="3"/>
      <x:c r="F375" s="3"/>
      <x:c r="G375" s="6"/>
      <x:c r="H375" s="6"/>
    </x:row>
    <x:row r="376">
      <x:c r="A376" s="5"/>
      <x:c r="B376" s="3"/>
      <x:c r="C376" s="3"/>
      <x:c r="D376" s="3"/>
      <x:c r="E376" s="3"/>
      <x:c r="F376" s="3"/>
      <x:c r="G376" s="6"/>
      <x:c r="H376" s="6"/>
    </x:row>
    <x:row r="377">
      <x:c r="A377" s="5"/>
      <x:c r="B377" s="3"/>
      <x:c r="C377" s="3"/>
      <x:c r="D377" s="3"/>
      <x:c r="E377" s="3"/>
      <x:c r="F377" s="3"/>
      <x:c r="G377" s="6"/>
      <x:c r="H377" s="6"/>
    </x:row>
    <x:row r="378">
      <x:c r="A378" s="5"/>
      <x:c r="B378" s="3"/>
      <x:c r="C378" s="3"/>
      <x:c r="D378" s="3"/>
      <x:c r="E378" s="3"/>
      <x:c r="F378" s="3"/>
      <x:c r="G378" s="6"/>
      <x:c r="H378" s="6"/>
    </x:row>
    <x:row r="379">
      <x:c r="A379" s="5"/>
      <x:c r="B379" s="3"/>
      <x:c r="C379" s="3"/>
      <x:c r="D379" s="3"/>
      <x:c r="E379" s="3"/>
      <x:c r="F379" s="3"/>
      <x:c r="G379" s="6"/>
      <x:c r="H379" s="6"/>
    </x:row>
    <x:row r="380">
      <x:c r="A380" s="5"/>
      <x:c r="B380" s="3"/>
      <x:c r="C380" s="3"/>
      <x:c r="D380" s="3"/>
      <x:c r="E380" s="3"/>
      <x:c r="F380" s="3"/>
      <x:c r="G380" s="6"/>
      <x:c r="H380" s="6"/>
    </x:row>
    <x:row r="381">
      <x:c r="A381" s="5"/>
      <x:c r="B381" s="3"/>
      <x:c r="C381" s="3"/>
      <x:c r="D381" s="3"/>
      <x:c r="E381" s="3"/>
      <x:c r="F381" s="3"/>
      <x:c r="G381" s="6"/>
      <x:c r="H381" s="6"/>
    </x:row>
    <x:row r="382">
      <x:c r="A382" s="5"/>
      <x:c r="B382" s="3"/>
      <x:c r="C382" s="3"/>
      <x:c r="D382" s="3"/>
      <x:c r="E382" s="3"/>
      <x:c r="F382" s="3"/>
      <x:c r="G382" s="6"/>
      <x:c r="H382" s="6"/>
    </x:row>
    <x:row r="383">
      <x:c r="A383" s="5"/>
      <x:c r="B383" s="3"/>
      <x:c r="C383" s="3"/>
      <x:c r="D383" s="3"/>
      <x:c r="E383" s="3"/>
      <x:c r="F383" s="3"/>
      <x:c r="G383" s="6"/>
      <x:c r="H383" s="6"/>
    </x:row>
    <x:row r="384">
      <x:c r="A384" s="5"/>
      <x:c r="B384" s="3"/>
      <x:c r="C384" s="3"/>
      <x:c r="D384" s="3"/>
      <x:c r="E384" s="3"/>
      <x:c r="F384" s="3"/>
      <x:c r="G384" s="6"/>
      <x:c r="H384" s="6"/>
    </x:row>
    <x:row r="385">
      <x:c r="A385" s="5"/>
      <x:c r="B385" s="3"/>
      <x:c r="C385" s="3"/>
      <x:c r="D385" s="3"/>
      <x:c r="E385" s="3"/>
      <x:c r="F385" s="3"/>
      <x:c r="G385" s="6"/>
      <x:c r="H385" s="6"/>
    </x:row>
    <x:row r="386">
      <x:c r="A386" s="5"/>
      <x:c r="B386" s="3"/>
      <x:c r="C386" s="3"/>
      <x:c r="D386" s="3"/>
      <x:c r="E386" s="3"/>
      <x:c r="F386" s="3"/>
      <x:c r="G386" s="6"/>
      <x:c r="H386" s="6"/>
    </x:row>
    <x:row r="387">
      <x:c r="A387" s="5"/>
      <x:c r="B387" s="3"/>
      <x:c r="C387" s="3"/>
      <x:c r="D387" s="3"/>
      <x:c r="E387" s="3"/>
      <x:c r="F387" s="3"/>
      <x:c r="G387" s="6"/>
      <x:c r="H387" s="6"/>
    </x:row>
    <x:row r="388">
      <x:c r="A388" s="5"/>
      <x:c r="B388" s="3"/>
      <x:c r="C388" s="3"/>
      <x:c r="D388" s="3"/>
      <x:c r="E388" s="3"/>
      <x:c r="F388" s="3"/>
      <x:c r="G388" s="6"/>
      <x:c r="H388" s="6"/>
    </x:row>
    <x:row r="389">
      <x:c r="A389" s="5"/>
      <x:c r="B389" s="3"/>
      <x:c r="C389" s="3"/>
      <x:c r="D389" s="3"/>
      <x:c r="E389" s="3"/>
      <x:c r="F389" s="3"/>
      <x:c r="G389" s="6"/>
      <x:c r="H389" s="6"/>
    </x:row>
    <x:row r="390">
      <x:c r="A390" s="5"/>
      <x:c r="B390" s="3"/>
      <x:c r="C390" s="3"/>
      <x:c r="D390" s="3"/>
      <x:c r="E390" s="3"/>
      <x:c r="F390" s="3"/>
      <x:c r="G390" s="6"/>
      <x:c r="H390" s="6"/>
    </x:row>
    <x:row r="391">
      <x:c r="A391" s="5"/>
      <x:c r="B391" s="3"/>
      <x:c r="C391" s="3"/>
      <x:c r="D391" s="3"/>
      <x:c r="E391" s="3"/>
      <x:c r="F391" s="3"/>
      <x:c r="G391" s="6"/>
      <x:c r="H391" s="6"/>
    </x:row>
    <x:row r="392">
      <x:c r="A392" s="5"/>
      <x:c r="B392" s="3"/>
      <x:c r="C392" s="3"/>
      <x:c r="D392" s="3"/>
      <x:c r="E392" s="3"/>
      <x:c r="F392" s="3"/>
      <x:c r="G392" s="6"/>
      <x:c r="H392" s="6"/>
    </x:row>
    <x:row r="393">
      <x:c r="A393" s="5"/>
      <x:c r="B393" s="3"/>
      <x:c r="C393" s="3"/>
      <x:c r="D393" s="3"/>
      <x:c r="E393" s="3"/>
      <x:c r="F393" s="3"/>
      <x:c r="G393" s="6"/>
      <x:c r="H393" s="6"/>
    </x:row>
    <x:row r="394">
      <x:c r="A394" s="5"/>
      <x:c r="B394" s="3"/>
      <x:c r="C394" s="3"/>
      <x:c r="D394" s="3"/>
      <x:c r="E394" s="3"/>
      <x:c r="F394" s="3"/>
      <x:c r="G394" s="6"/>
      <x:c r="H394" s="6"/>
    </x:row>
    <x:row r="395">
      <x:c r="A395" s="5"/>
      <x:c r="B395" s="3"/>
      <x:c r="C395" s="3"/>
      <x:c r="D395" s="3"/>
      <x:c r="E395" s="3"/>
      <x:c r="F395" s="3"/>
      <x:c r="G395" s="6"/>
      <x:c r="H395" s="6"/>
    </x:row>
    <x:row r="396">
      <x:c r="A396" s="5"/>
      <x:c r="B396" s="3"/>
      <x:c r="C396" s="3"/>
      <x:c r="D396" s="3"/>
      <x:c r="E396" s="3"/>
      <x:c r="F396" s="3"/>
      <x:c r="G396" s="6"/>
      <x:c r="H396" s="6"/>
    </x:row>
    <x:row r="397">
      <x:c r="A397" s="5"/>
      <x:c r="B397" s="3"/>
      <x:c r="C397" s="3"/>
      <x:c r="D397" s="3"/>
      <x:c r="E397" s="3"/>
      <x:c r="F397" s="3"/>
      <x:c r="G397" s="6"/>
      <x:c r="H397" s="6"/>
    </x:row>
    <x:row r="398">
      <x:c r="A398" s="5"/>
      <x:c r="B398" s="3"/>
      <x:c r="C398" s="3"/>
      <x:c r="D398" s="3"/>
      <x:c r="E398" s="3"/>
      <x:c r="F398" s="3"/>
      <x:c r="G398" s="6"/>
      <x:c r="H398" s="6"/>
    </x:row>
    <x:row r="399">
      <x:c r="A399" s="5"/>
      <x:c r="B399" s="3"/>
      <x:c r="C399" s="3"/>
      <x:c r="D399" s="3"/>
      <x:c r="E399" s="3"/>
      <x:c r="F399" s="3"/>
      <x:c r="G399" s="6"/>
      <x:c r="H399" s="6"/>
    </x:row>
    <x:row r="400">
      <x:c r="A400" s="5"/>
      <x:c r="B400" s="3"/>
      <x:c r="C400" s="3"/>
      <x:c r="D400" s="3"/>
      <x:c r="E400" s="3"/>
      <x:c r="F400" s="3"/>
      <x:c r="G400" s="6"/>
      <x:c r="H400" s="6"/>
    </x:row>
    <x:row r="401">
      <x:c r="A401" s="5"/>
      <x:c r="B401" s="3"/>
      <x:c r="C401" s="3"/>
      <x:c r="D401" s="3"/>
      <x:c r="E401" s="3"/>
      <x:c r="F401" s="3"/>
      <x:c r="G401" s="6"/>
      <x:c r="H401" s="6"/>
    </x:row>
    <x:row r="402">
      <x:c r="A402" s="5"/>
      <x:c r="B402" s="3"/>
      <x:c r="C402" s="3"/>
      <x:c r="D402" s="3"/>
      <x:c r="E402" s="3"/>
      <x:c r="F402" s="3"/>
      <x:c r="G402" s="6"/>
      <x:c r="H402" s="6"/>
    </x:row>
    <x:row r="403">
      <x:c r="A403" s="5"/>
      <x:c r="B403" s="3"/>
      <x:c r="C403" s="3"/>
      <x:c r="D403" s="3"/>
      <x:c r="E403" s="3"/>
      <x:c r="F403" s="3"/>
      <x:c r="G403" s="6"/>
      <x:c r="H403" s="6"/>
    </x:row>
    <x:row r="404">
      <x:c r="A404" s="5"/>
      <x:c r="B404" s="3"/>
      <x:c r="C404" s="3"/>
      <x:c r="D404" s="3"/>
      <x:c r="E404" s="3"/>
      <x:c r="F404" s="3"/>
      <x:c r="G404" s="6"/>
      <x:c r="H404" s="6"/>
    </x:row>
    <x:row r="405">
      <x:c r="A405" s="5"/>
      <x:c r="B405" s="3"/>
      <x:c r="C405" s="3"/>
      <x:c r="D405" s="3"/>
      <x:c r="E405" s="3"/>
      <x:c r="F405" s="3"/>
      <x:c r="G405" s="6"/>
      <x:c r="H405" s="6"/>
    </x:row>
    <x:row r="406">
      <x:c r="A406" s="5"/>
      <x:c r="B406" s="3"/>
      <x:c r="C406" s="3"/>
      <x:c r="D406" s="3"/>
      <x:c r="E406" s="3"/>
      <x:c r="F406" s="3"/>
      <x:c r="G406" s="6"/>
      <x:c r="H406" s="6"/>
    </x:row>
    <x:row r="407">
      <x:c r="A407" s="5"/>
      <x:c r="B407" s="3"/>
      <x:c r="C407" s="3"/>
      <x:c r="D407" s="3"/>
      <x:c r="E407" s="3"/>
      <x:c r="F407" s="3"/>
      <x:c r="G407" s="6"/>
      <x:c r="H407" s="6"/>
    </x:row>
    <x:row r="408">
      <x:c r="A408" s="5"/>
      <x:c r="B408" s="3"/>
      <x:c r="C408" s="3"/>
      <x:c r="D408" s="3"/>
      <x:c r="E408" s="3"/>
      <x:c r="F408" s="3"/>
      <x:c r="G408" s="6"/>
      <x:c r="H408" s="6"/>
    </x:row>
    <x:row r="409">
      <x:c r="A409" s="5"/>
      <x:c r="B409" s="3"/>
      <x:c r="C409" s="3"/>
      <x:c r="D409" s="3"/>
      <x:c r="E409" s="3"/>
      <x:c r="F409" s="3"/>
      <x:c r="G409" s="6"/>
      <x:c r="H409" s="6"/>
    </x:row>
    <x:row r="410">
      <x:c r="A410" s="5"/>
      <x:c r="B410" s="3"/>
      <x:c r="C410" s="3"/>
      <x:c r="D410" s="3"/>
      <x:c r="E410" s="3"/>
      <x:c r="F410" s="3"/>
      <x:c r="G410" s="6"/>
      <x:c r="H410" s="6"/>
    </x:row>
    <x:row r="411">
      <x:c r="A411" s="5"/>
      <x:c r="B411" s="3"/>
      <x:c r="C411" s="3"/>
      <x:c r="D411" s="3"/>
      <x:c r="E411" s="3"/>
      <x:c r="F411" s="3"/>
      <x:c r="G411" s="6"/>
      <x:c r="H411" s="6"/>
    </x:row>
    <x:row r="412">
      <x:c r="A412" s="5"/>
      <x:c r="B412" s="3"/>
      <x:c r="C412" s="3"/>
      <x:c r="D412" s="3"/>
      <x:c r="E412" s="3"/>
      <x:c r="F412" s="3"/>
      <x:c r="G412" s="6"/>
      <x:c r="H412" s="6"/>
    </x:row>
    <x:row r="413">
      <x:c r="A413" s="5"/>
      <x:c r="B413" s="3"/>
      <x:c r="C413" s="3"/>
      <x:c r="D413" s="3"/>
      <x:c r="E413" s="3"/>
      <x:c r="F413" s="3"/>
      <x:c r="G413" s="6"/>
      <x:c r="H413" s="6"/>
    </x:row>
    <x:row r="414">
      <x:c r="A414" s="5"/>
      <x:c r="B414" s="3"/>
      <x:c r="C414" s="3"/>
      <x:c r="D414" s="3"/>
      <x:c r="E414" s="3"/>
      <x:c r="F414" s="3"/>
      <x:c r="G414" s="6"/>
      <x:c r="H414" s="6"/>
    </x:row>
    <x:row r="415">
      <x:c r="A415" s="5"/>
      <x:c r="B415" s="3"/>
      <x:c r="C415" s="3"/>
      <x:c r="D415" s="3"/>
      <x:c r="E415" s="3"/>
      <x:c r="F415" s="3"/>
      <x:c r="G415" s="6"/>
      <x:c r="H415" s="6"/>
    </x:row>
    <x:row r="416">
      <x:c r="A416" s="5"/>
      <x:c r="B416" s="3"/>
      <x:c r="C416" s="3"/>
      <x:c r="D416" s="3"/>
      <x:c r="E416" s="3"/>
      <x:c r="F416" s="3"/>
      <x:c r="G416" s="6"/>
      <x:c r="H416" s="6"/>
    </x:row>
    <x:row r="417">
      <x:c r="A417" s="5"/>
      <x:c r="B417" s="3"/>
      <x:c r="C417" s="3"/>
      <x:c r="D417" s="3"/>
      <x:c r="E417" s="3"/>
      <x:c r="F417" s="3"/>
      <x:c r="G417" s="6"/>
      <x:c r="H417" s="6"/>
    </x:row>
    <x:row r="418">
      <x:c r="A418" s="5"/>
      <x:c r="B418" s="3"/>
      <x:c r="C418" s="3"/>
      <x:c r="D418" s="3"/>
      <x:c r="E418" s="3"/>
      <x:c r="F418" s="3"/>
      <x:c r="G418" s="6"/>
      <x:c r="H418" s="6"/>
    </x:row>
    <x:row r="419">
      <x:c r="A419" s="5"/>
      <x:c r="B419" s="3"/>
      <x:c r="C419" s="3"/>
      <x:c r="D419" s="3"/>
      <x:c r="E419" s="3"/>
      <x:c r="F419" s="3"/>
      <x:c r="G419" s="6"/>
      <x:c r="H419" s="6"/>
    </x:row>
    <x:row r="420">
      <x:c r="A420" s="5"/>
      <x:c r="B420" s="3"/>
      <x:c r="C420" s="3"/>
      <x:c r="D420" s="3"/>
      <x:c r="E420" s="3"/>
      <x:c r="F420" s="3"/>
      <x:c r="G420" s="6"/>
      <x:c r="H420" s="6"/>
    </x:row>
    <x:row r="421">
      <x:c r="A421" s="5"/>
      <x:c r="B421" s="3"/>
      <x:c r="C421" s="3"/>
      <x:c r="D421" s="3"/>
      <x:c r="E421" s="3"/>
      <x:c r="F421" s="3"/>
      <x:c r="G421" s="6"/>
      <x:c r="H421" s="6"/>
    </x:row>
    <x:row r="422">
      <x:c r="A422" s="5"/>
      <x:c r="B422" s="3"/>
      <x:c r="C422" s="3"/>
      <x:c r="D422" s="3"/>
      <x:c r="E422" s="3"/>
      <x:c r="F422" s="3"/>
      <x:c r="G422" s="6"/>
      <x:c r="H422" s="6"/>
    </x:row>
    <x:row r="423">
      <x:c r="A423" s="5"/>
      <x:c r="B423" s="3"/>
      <x:c r="C423" s="3"/>
      <x:c r="D423" s="3"/>
      <x:c r="E423" s="3"/>
      <x:c r="F423" s="3"/>
      <x:c r="G423" s="6"/>
      <x:c r="H423" s="6"/>
    </x:row>
    <x:row r="424">
      <x:c r="A424" s="5"/>
      <x:c r="B424" s="3"/>
      <x:c r="C424" s="3"/>
      <x:c r="D424" s="3"/>
      <x:c r="E424" s="3"/>
      <x:c r="F424" s="3"/>
      <x:c r="G424" s="6"/>
      <x:c r="H424" s="6"/>
    </x:row>
    <x:row r="425">
      <x:c r="A425" s="5"/>
      <x:c r="B425" s="3"/>
      <x:c r="C425" s="3"/>
      <x:c r="D425" s="3"/>
      <x:c r="E425" s="3"/>
      <x:c r="F425" s="3"/>
      <x:c r="G425" s="6"/>
      <x:c r="H425" s="6"/>
    </x:row>
    <x:row r="426">
      <x:c r="A426" s="5"/>
      <x:c r="B426" s="3"/>
      <x:c r="C426" s="3"/>
      <x:c r="D426" s="3"/>
      <x:c r="E426" s="3"/>
      <x:c r="F426" s="3"/>
      <x:c r="G426" s="6"/>
      <x:c r="H426" s="6"/>
    </x:row>
    <x:row r="427">
      <x:c r="A427" s="5"/>
      <x:c r="B427" s="3"/>
      <x:c r="C427" s="3"/>
      <x:c r="D427" s="3"/>
      <x:c r="E427" s="3"/>
      <x:c r="F427" s="3"/>
      <x:c r="G427" s="6"/>
      <x:c r="H427" s="6"/>
    </x:row>
    <x:row r="428">
      <x:c r="A428" s="5"/>
      <x:c r="B428" s="3"/>
      <x:c r="C428" s="3"/>
      <x:c r="D428" s="3"/>
      <x:c r="E428" s="3"/>
      <x:c r="F428" s="3"/>
      <x:c r="G428" s="6"/>
      <x:c r="H428" s="6"/>
    </x:row>
    <x:row r="429">
      <x:c r="A429" s="5"/>
      <x:c r="B429" s="3"/>
      <x:c r="C429" s="3"/>
      <x:c r="D429" s="3"/>
      <x:c r="E429" s="3"/>
      <x:c r="F429" s="3"/>
      <x:c r="G429" s="6"/>
      <x:c r="H429" s="6"/>
    </x:row>
    <x:row r="430">
      <x:c r="A430" s="5"/>
      <x:c r="B430" s="3"/>
      <x:c r="C430" s="3"/>
      <x:c r="D430" s="3"/>
      <x:c r="E430" s="3"/>
      <x:c r="F430" s="3"/>
      <x:c r="G430" s="6"/>
      <x:c r="H430" s="6"/>
    </x:row>
    <x:row r="431">
      <x:c r="A431" s="5"/>
      <x:c r="B431" s="3"/>
      <x:c r="C431" s="3"/>
      <x:c r="D431" s="3"/>
      <x:c r="E431" s="3"/>
      <x:c r="F431" s="3"/>
      <x:c r="G431" s="6"/>
      <x:c r="H431" s="6"/>
    </x:row>
    <x:row r="432">
      <x:c r="A432" s="5"/>
      <x:c r="B432" s="3"/>
      <x:c r="C432" s="3"/>
      <x:c r="D432" s="3"/>
      <x:c r="E432" s="3"/>
      <x:c r="F432" s="3"/>
      <x:c r="G432" s="6"/>
      <x:c r="H432" s="6"/>
    </x:row>
    <x:row r="433">
      <x:c r="A433" s="5"/>
      <x:c r="B433" s="3"/>
      <x:c r="C433" s="3"/>
      <x:c r="D433" s="3"/>
      <x:c r="E433" s="3"/>
      <x:c r="F433" s="3"/>
      <x:c r="G433" s="6"/>
      <x:c r="H433" s="6"/>
    </x:row>
    <x:row r="434">
      <x:c r="A434" s="5"/>
      <x:c r="B434" s="3"/>
      <x:c r="C434" s="3"/>
      <x:c r="D434" s="3"/>
      <x:c r="E434" s="3"/>
      <x:c r="F434" s="3"/>
      <x:c r="G434" s="6"/>
      <x:c r="H434" s="6"/>
    </x:row>
    <x:row r="435">
      <x:c r="A435" s="5"/>
      <x:c r="B435" s="3"/>
      <x:c r="C435" s="3"/>
      <x:c r="D435" s="3"/>
      <x:c r="E435" s="3"/>
      <x:c r="F435" s="3"/>
      <x:c r="G435" s="6"/>
      <x:c r="H435" s="6"/>
    </x:row>
    <x:row r="436">
      <x:c r="A436" s="5"/>
      <x:c r="B436" s="3"/>
      <x:c r="C436" s="3"/>
      <x:c r="D436" s="3"/>
      <x:c r="E436" s="3"/>
      <x:c r="F436" s="3"/>
      <x:c r="G436" s="6"/>
      <x:c r="H436" s="6"/>
    </x:row>
    <x:row r="437">
      <x:c r="A437" s="5"/>
      <x:c r="B437" s="3"/>
      <x:c r="C437" s="3"/>
      <x:c r="D437" s="3"/>
      <x:c r="E437" s="3"/>
      <x:c r="F437" s="3"/>
      <x:c r="G437" s="6"/>
      <x:c r="H437" s="6"/>
    </x:row>
    <x:row r="438">
      <x:c r="A438" s="5"/>
      <x:c r="B438" s="3"/>
      <x:c r="C438" s="3"/>
      <x:c r="D438" s="3"/>
      <x:c r="E438" s="3"/>
      <x:c r="F438" s="3"/>
      <x:c r="G438" s="6"/>
      <x:c r="H438" s="6"/>
    </x:row>
    <x:row r="439">
      <x:c r="A439" s="5"/>
      <x:c r="B439" s="3"/>
      <x:c r="C439" s="3"/>
      <x:c r="D439" s="3"/>
      <x:c r="E439" s="3"/>
      <x:c r="F439" s="3"/>
      <x:c r="G439" s="6"/>
      <x:c r="H439" s="6"/>
    </x:row>
    <x:row r="440">
      <x:c r="A440" s="5"/>
      <x:c r="B440" s="3"/>
      <x:c r="C440" s="3"/>
      <x:c r="D440" s="3"/>
      <x:c r="E440" s="3"/>
      <x:c r="F440" s="3"/>
      <x:c r="G440" s="6"/>
      <x:c r="H440" s="6"/>
    </x:row>
    <x:row r="441">
      <x:c r="A441" s="5"/>
      <x:c r="B441" s="3"/>
      <x:c r="C441" s="3"/>
      <x:c r="D441" s="3"/>
      <x:c r="E441" s="3"/>
      <x:c r="F441" s="3"/>
      <x:c r="G441" s="6"/>
      <x:c r="H441" s="6"/>
    </x:row>
    <x:row r="442">
      <x:c r="A442" s="5"/>
      <x:c r="B442" s="3"/>
      <x:c r="C442" s="3"/>
      <x:c r="D442" s="3"/>
      <x:c r="E442" s="3"/>
      <x:c r="F442" s="3"/>
      <x:c r="G442" s="6"/>
      <x:c r="H442" s="6"/>
    </x:row>
    <x:row r="443">
      <x:c r="A443" s="5"/>
      <x:c r="B443" s="3"/>
      <x:c r="C443" s="3"/>
      <x:c r="D443" s="3"/>
      <x:c r="E443" s="3"/>
      <x:c r="F443" s="3"/>
      <x:c r="G443" s="6"/>
      <x:c r="H443" s="6"/>
    </x:row>
    <x:row r="444">
      <x:c r="A444" s="5"/>
      <x:c r="B444" s="3"/>
      <x:c r="C444" s="3"/>
      <x:c r="D444" s="3"/>
      <x:c r="E444" s="3"/>
      <x:c r="F444" s="3"/>
      <x:c r="G444" s="6"/>
      <x:c r="H444" s="6"/>
    </x:row>
    <x:row r="445">
      <x:c r="A445" s="5"/>
      <x:c r="B445" s="3"/>
      <x:c r="C445" s="3"/>
      <x:c r="D445" s="3"/>
      <x:c r="E445" s="3"/>
      <x:c r="F445" s="3"/>
      <x:c r="G445" s="6"/>
      <x:c r="H445" s="6"/>
    </x:row>
    <x:row r="446">
      <x:c r="A446" s="5"/>
      <x:c r="B446" s="3"/>
      <x:c r="C446" s="3"/>
      <x:c r="D446" s="3"/>
      <x:c r="E446" s="3"/>
      <x:c r="F446" s="3"/>
      <x:c r="G446" s="6"/>
      <x:c r="H446" s="6"/>
    </x:row>
    <x:row r="447">
      <x:c r="A447" s="5"/>
      <x:c r="B447" s="3"/>
      <x:c r="C447" s="3"/>
      <x:c r="D447" s="3"/>
      <x:c r="E447" s="3"/>
      <x:c r="F447" s="3"/>
      <x:c r="G447" s="6"/>
      <x:c r="H447" s="6"/>
    </x:row>
    <x:row r="448">
      <x:c r="A448" s="5"/>
      <x:c r="B448" s="3"/>
      <x:c r="C448" s="3"/>
      <x:c r="D448" s="3"/>
      <x:c r="E448" s="3"/>
      <x:c r="F448" s="3"/>
      <x:c r="G448" s="6"/>
      <x:c r="H448" s="6"/>
    </x:row>
    <x:row r="449">
      <x:c r="A449" s="5"/>
      <x:c r="B449" s="3"/>
      <x:c r="C449" s="3"/>
      <x:c r="D449" s="3"/>
      <x:c r="E449" s="3"/>
      <x:c r="F449" s="3"/>
      <x:c r="G449" s="6"/>
      <x:c r="H449" s="6"/>
    </x:row>
    <x:row r="450">
      <x:c r="A450" s="5"/>
      <x:c r="B450" s="3"/>
      <x:c r="C450" s="3"/>
      <x:c r="D450" s="3"/>
      <x:c r="E450" s="3"/>
      <x:c r="F450" s="3"/>
      <x:c r="G450" s="6"/>
      <x:c r="H450" s="6"/>
    </x:row>
    <x:row r="451">
      <x:c r="A451" s="5"/>
      <x:c r="B451" s="3"/>
      <x:c r="C451" s="3"/>
      <x:c r="D451" s="3"/>
      <x:c r="E451" s="3"/>
      <x:c r="F451" s="3"/>
      <x:c r="G451" s="6"/>
      <x:c r="H451" s="6"/>
    </x:row>
    <x:row r="452">
      <x:c r="A452" s="5"/>
      <x:c r="B452" s="3"/>
      <x:c r="C452" s="3"/>
      <x:c r="D452" s="3"/>
      <x:c r="E452" s="3"/>
      <x:c r="F452" s="3"/>
      <x:c r="G452" s="6"/>
      <x:c r="H452" s="6"/>
    </x:row>
    <x:row r="453">
      <x:c r="A453" s="5"/>
      <x:c r="B453" s="3"/>
      <x:c r="C453" s="3"/>
      <x:c r="D453" s="3"/>
      <x:c r="E453" s="3"/>
      <x:c r="F453" s="3"/>
      <x:c r="G453" s="6"/>
      <x:c r="H453" s="6"/>
    </x:row>
    <x:row r="454">
      <x:c r="A454" s="5"/>
      <x:c r="B454" s="3"/>
      <x:c r="C454" s="3"/>
      <x:c r="D454" s="3"/>
      <x:c r="E454" s="3"/>
      <x:c r="F454" s="3"/>
      <x:c r="G454" s="6"/>
      <x:c r="H454" s="6"/>
    </x:row>
    <x:row r="455">
      <x:c r="A455" s="5"/>
      <x:c r="B455" s="3"/>
      <x:c r="C455" s="3"/>
      <x:c r="D455" s="3"/>
      <x:c r="E455" s="3"/>
      <x:c r="F455" s="3"/>
      <x:c r="G455" s="6"/>
      <x:c r="H455" s="6"/>
    </x:row>
    <x:row r="456">
      <x:c r="A456" s="5"/>
      <x:c r="B456" s="3"/>
      <x:c r="C456" s="3"/>
      <x:c r="D456" s="3"/>
      <x:c r="E456" s="3"/>
      <x:c r="F456" s="3"/>
      <x:c r="G456" s="6"/>
      <x:c r="H456" s="6"/>
    </x:row>
    <x:row r="457">
      <x:c r="A457" s="5"/>
      <x:c r="B457" s="3"/>
      <x:c r="C457" s="3"/>
      <x:c r="D457" s="3"/>
      <x:c r="E457" s="3"/>
      <x:c r="F457" s="3"/>
      <x:c r="G457" s="6"/>
      <x:c r="H457" s="6"/>
    </x:row>
    <x:row r="458">
      <x:c r="A458" s="5"/>
      <x:c r="B458" s="3"/>
      <x:c r="C458" s="3"/>
      <x:c r="D458" s="3"/>
      <x:c r="E458" s="3"/>
      <x:c r="F458" s="3"/>
      <x:c r="G458" s="6"/>
      <x:c r="H458" s="6"/>
    </x:row>
    <x:row r="459">
      <x:c r="A459" s="5"/>
      <x:c r="B459" s="3"/>
      <x:c r="C459" s="3"/>
      <x:c r="D459" s="3"/>
      <x:c r="E459" s="3"/>
      <x:c r="F459" s="3"/>
      <x:c r="G459" s="6"/>
      <x:c r="H459" s="6"/>
    </x:row>
    <x:row r="460">
      <x:c r="A460" s="5"/>
      <x:c r="B460" s="3"/>
      <x:c r="C460" s="3"/>
      <x:c r="D460" s="3"/>
      <x:c r="E460" s="3"/>
      <x:c r="F460" s="3"/>
      <x:c r="G460" s="6"/>
      <x:c r="H460" s="6"/>
    </x:row>
    <x:row r="461">
      <x:c r="A461" s="5"/>
      <x:c r="B461" s="3"/>
      <x:c r="C461" s="3"/>
      <x:c r="D461" s="3"/>
      <x:c r="E461" s="3"/>
      <x:c r="F461" s="3"/>
      <x:c r="G461" s="6"/>
      <x:c r="H461" s="6"/>
    </x:row>
    <x:row r="462">
      <x:c r="A462" s="5"/>
      <x:c r="B462" s="3"/>
      <x:c r="C462" s="3"/>
      <x:c r="D462" s="3"/>
      <x:c r="E462" s="3"/>
      <x:c r="F462" s="3"/>
      <x:c r="G462" s="6"/>
      <x:c r="H462" s="6"/>
    </x:row>
    <x:row r="463">
      <x:c r="A463" s="5"/>
      <x:c r="B463" s="3"/>
      <x:c r="C463" s="3"/>
      <x:c r="D463" s="3"/>
      <x:c r="E463" s="3"/>
      <x:c r="F463" s="3"/>
      <x:c r="G463" s="6"/>
      <x:c r="H463" s="6"/>
    </x:row>
    <x:row r="464">
      <x:c r="A464" s="5"/>
      <x:c r="B464" s="3"/>
      <x:c r="C464" s="3"/>
      <x:c r="D464" s="3"/>
      <x:c r="E464" s="3"/>
      <x:c r="F464" s="3"/>
      <x:c r="G464" s="6"/>
      <x:c r="H464" s="6"/>
    </x:row>
    <x:row r="465">
      <x:c r="A465" s="5"/>
      <x:c r="B465" s="3"/>
      <x:c r="C465" s="3"/>
      <x:c r="D465" s="3"/>
      <x:c r="E465" s="3"/>
      <x:c r="F465" s="3"/>
      <x:c r="G465" s="6"/>
      <x:c r="H465" s="6"/>
    </x:row>
    <x:row r="466">
      <x:c r="A466" s="5"/>
      <x:c r="B466" s="3"/>
      <x:c r="C466" s="3"/>
      <x:c r="D466" s="3"/>
      <x:c r="E466" s="3"/>
      <x:c r="F466" s="3"/>
      <x:c r="G466" s="6"/>
      <x:c r="H466" s="6"/>
    </x:row>
    <x:row r="467">
      <x:c r="A467" s="5"/>
      <x:c r="B467" s="3"/>
      <x:c r="C467" s="3"/>
      <x:c r="D467" s="3"/>
      <x:c r="E467" s="3"/>
      <x:c r="F467" s="3"/>
      <x:c r="G467" s="6"/>
      <x:c r="H467" s="6"/>
    </x:row>
    <x:row r="468">
      <x:c r="A468" s="5"/>
      <x:c r="B468" s="3"/>
      <x:c r="C468" s="3"/>
      <x:c r="D468" s="3"/>
      <x:c r="E468" s="3"/>
      <x:c r="F468" s="3"/>
      <x:c r="G468" s="6"/>
      <x:c r="H468" s="6"/>
    </x:row>
    <x:row r="469">
      <x:c r="A469" s="5"/>
      <x:c r="B469" s="3"/>
      <x:c r="C469" s="3"/>
      <x:c r="D469" s="3"/>
      <x:c r="E469" s="3"/>
      <x:c r="F469" s="3"/>
      <x:c r="G469" s="6"/>
      <x:c r="H469" s="6"/>
    </x:row>
    <x:row r="470">
      <x:c r="A470" s="5"/>
      <x:c r="B470" s="3"/>
      <x:c r="C470" s="3"/>
      <x:c r="D470" s="3"/>
      <x:c r="E470" s="3"/>
      <x:c r="F470" s="3"/>
      <x:c r="G470" s="6"/>
      <x:c r="H470" s="6"/>
    </x:row>
    <x:row r="471">
      <x:c r="A471" s="5"/>
      <x:c r="B471" s="3"/>
      <x:c r="C471" s="3"/>
      <x:c r="D471" s="3"/>
      <x:c r="E471" s="3"/>
      <x:c r="F471" s="3"/>
      <x:c r="G471" s="6"/>
      <x:c r="H471" s="6"/>
    </x:row>
    <x:row r="472">
      <x:c r="A472" s="5"/>
      <x:c r="B472" s="3"/>
      <x:c r="C472" s="3"/>
      <x:c r="D472" s="3"/>
      <x:c r="E472" s="3"/>
      <x:c r="F472" s="3"/>
      <x:c r="G472" s="6"/>
      <x:c r="H472" s="6"/>
    </x:row>
    <x:row r="473">
      <x:c r="A473" s="5"/>
      <x:c r="B473" s="3"/>
      <x:c r="C473" s="3"/>
      <x:c r="D473" s="3"/>
      <x:c r="E473" s="3"/>
      <x:c r="F473" s="3"/>
      <x:c r="G473" s="6"/>
      <x:c r="H473" s="6"/>
    </x:row>
    <x:row r="474">
      <x:c r="A474" s="5"/>
      <x:c r="B474" s="3"/>
      <x:c r="C474" s="3"/>
      <x:c r="D474" s="3"/>
      <x:c r="E474" s="3"/>
      <x:c r="F474" s="3"/>
      <x:c r="G474" s="6"/>
      <x:c r="H474" s="6"/>
    </x:row>
    <x:row r="475">
      <x:c r="A475" s="5"/>
      <x:c r="B475" s="3"/>
      <x:c r="C475" s="3"/>
      <x:c r="D475" s="3"/>
      <x:c r="E475" s="3"/>
      <x:c r="F475" s="3"/>
      <x:c r="G475" s="6"/>
      <x:c r="H475" s="6"/>
    </x:row>
    <x:row r="476">
      <x:c r="A476" s="5"/>
      <x:c r="B476" s="3"/>
      <x:c r="C476" s="3"/>
      <x:c r="D476" s="3"/>
      <x:c r="E476" s="3"/>
      <x:c r="F476" s="3"/>
      <x:c r="G476" s="6"/>
      <x:c r="H476" s="6"/>
    </x:row>
    <x:row r="477">
      <x:c r="A477" s="5"/>
      <x:c r="B477" s="3"/>
      <x:c r="C477" s="3"/>
      <x:c r="D477" s="3"/>
      <x:c r="E477" s="3"/>
      <x:c r="F477" s="3"/>
      <x:c r="G477" s="6"/>
      <x:c r="H477" s="6"/>
    </x:row>
    <x:row r="478">
      <x:c r="A478" s="5"/>
      <x:c r="B478" s="3"/>
      <x:c r="C478" s="3"/>
      <x:c r="D478" s="3"/>
      <x:c r="E478" s="3"/>
      <x:c r="F478" s="3"/>
      <x:c r="G478" s="6"/>
      <x:c r="H478" s="6"/>
    </x:row>
    <x:row r="479">
      <x:c r="A479" s="5"/>
      <x:c r="B479" s="3"/>
      <x:c r="C479" s="3"/>
      <x:c r="D479" s="3"/>
      <x:c r="E479" s="3"/>
      <x:c r="F479" s="3"/>
      <x:c r="G479" s="6"/>
      <x:c r="H479" s="6"/>
    </x:row>
    <x:row r="480">
      <x:c r="A480" s="5"/>
      <x:c r="B480" s="3"/>
      <x:c r="C480" s="3"/>
      <x:c r="D480" s="3"/>
      <x:c r="E480" s="3"/>
      <x:c r="F480" s="3"/>
      <x:c r="G480" s="6"/>
      <x:c r="H480" s="6"/>
    </x:row>
    <x:row r="481">
      <x:c r="A481" s="5"/>
      <x:c r="B481" s="3"/>
      <x:c r="C481" s="3"/>
      <x:c r="D481" s="3"/>
      <x:c r="E481" s="3"/>
      <x:c r="F481" s="3"/>
      <x:c r="G481" s="6"/>
      <x:c r="H481" s="6"/>
    </x:row>
    <x:row r="482">
      <x:c r="A482" s="5"/>
      <x:c r="B482" s="3"/>
      <x:c r="C482" s="3"/>
      <x:c r="D482" s="3"/>
      <x:c r="E482" s="3"/>
      <x:c r="F482" s="3"/>
      <x:c r="G482" s="6"/>
      <x:c r="H482" s="6"/>
    </x:row>
    <x:row r="483">
      <x:c r="A483" s="5"/>
      <x:c r="B483" s="3"/>
      <x:c r="C483" s="3"/>
      <x:c r="D483" s="3"/>
      <x:c r="E483" s="3"/>
      <x:c r="F483" s="3"/>
      <x:c r="G483" s="6"/>
      <x:c r="H483" s="6"/>
    </x:row>
    <x:row r="484">
      <x:c r="A484" s="5"/>
      <x:c r="B484" s="3"/>
      <x:c r="C484" s="3"/>
      <x:c r="D484" s="3"/>
      <x:c r="E484" s="3"/>
      <x:c r="F484" s="3"/>
      <x:c r="G484" s="6"/>
      <x:c r="H484" s="6"/>
    </x:row>
    <x:row r="485">
      <x:c r="A485" s="5"/>
      <x:c r="B485" s="3"/>
      <x:c r="C485" s="3"/>
      <x:c r="D485" s="3"/>
      <x:c r="E485" s="3"/>
      <x:c r="F485" s="3"/>
      <x:c r="G485" s="6"/>
      <x:c r="H485" s="6"/>
    </x:row>
    <x:row r="486">
      <x:c r="A486" s="5"/>
      <x:c r="B486" s="3"/>
      <x:c r="C486" s="3"/>
      <x:c r="D486" s="3"/>
      <x:c r="E486" s="3"/>
      <x:c r="F486" s="3"/>
      <x:c r="G486" s="6"/>
      <x:c r="H486" s="6"/>
    </x:row>
    <x:row r="487">
      <x:c r="A487" s="5"/>
      <x:c r="B487" s="3"/>
      <x:c r="C487" s="3"/>
      <x:c r="D487" s="3"/>
      <x:c r="E487" s="3"/>
      <x:c r="F487" s="3"/>
      <x:c r="G487" s="6"/>
      <x:c r="H487" s="6"/>
    </x:row>
    <x:row r="488">
      <x:c r="A488" s="5"/>
      <x:c r="B488" s="3"/>
      <x:c r="C488" s="3"/>
      <x:c r="D488" s="3"/>
      <x:c r="E488" s="3"/>
      <x:c r="F488" s="3"/>
      <x:c r="G488" s="6"/>
      <x:c r="H488" s="6"/>
    </x:row>
    <x:row r="489">
      <x:c r="A489" s="5"/>
      <x:c r="B489" s="3"/>
      <x:c r="C489" s="3"/>
      <x:c r="D489" s="3"/>
      <x:c r="E489" s="3"/>
      <x:c r="F489" s="3"/>
      <x:c r="G489" s="6"/>
      <x:c r="H489" s="6"/>
    </x:row>
    <x:row r="490">
      <x:c r="A490" s="5"/>
      <x:c r="B490" s="3"/>
      <x:c r="C490" s="3"/>
      <x:c r="D490" s="3"/>
      <x:c r="E490" s="3"/>
      <x:c r="F490" s="3"/>
      <x:c r="G490" s="6"/>
      <x:c r="H490" s="6"/>
    </x:row>
    <x:row r="491">
      <x:c r="A491" s="5"/>
      <x:c r="B491" s="3"/>
      <x:c r="C491" s="3"/>
      <x:c r="D491" s="3"/>
      <x:c r="E491" s="3"/>
      <x:c r="F491" s="3"/>
      <x:c r="G491" s="6"/>
      <x:c r="H491" s="6"/>
    </x:row>
    <x:row r="492">
      <x:c r="A492" s="5"/>
      <x:c r="B492" s="3"/>
      <x:c r="C492" s="3"/>
      <x:c r="D492" s="3"/>
      <x:c r="E492" s="3"/>
      <x:c r="F492" s="3"/>
      <x:c r="G492" s="6"/>
      <x:c r="H492" s="6"/>
    </x:row>
    <x:row r="493">
      <x:c r="A493" s="5"/>
      <x:c r="B493" s="3"/>
      <x:c r="C493" s="3"/>
      <x:c r="D493" s="3"/>
      <x:c r="E493" s="3"/>
      <x:c r="F493" s="3"/>
      <x:c r="G493" s="6"/>
      <x:c r="H493" s="6"/>
    </x:row>
    <x:row r="494">
      <x:c r="A494" s="5"/>
      <x:c r="B494" s="3"/>
      <x:c r="C494" s="3"/>
      <x:c r="D494" s="3"/>
      <x:c r="E494" s="3"/>
      <x:c r="F494" s="3"/>
      <x:c r="G494" s="6"/>
      <x:c r="H494" s="6"/>
    </x:row>
    <x:row r="495">
      <x:c r="A495" s="5"/>
      <x:c r="B495" s="3"/>
      <x:c r="C495" s="3"/>
      <x:c r="D495" s="3"/>
      <x:c r="E495" s="3"/>
      <x:c r="F495" s="3"/>
      <x:c r="G495" s="6"/>
      <x:c r="H495" s="6"/>
    </x:row>
    <x:row r="496">
      <x:c r="A496" s="5"/>
      <x:c r="B496" s="3"/>
      <x:c r="C496" s="3"/>
      <x:c r="D496" s="3"/>
      <x:c r="E496" s="3"/>
      <x:c r="F496" s="3"/>
      <x:c r="G496" s="6"/>
      <x:c r="H496" s="6"/>
    </x:row>
    <x:row r="497">
      <x:c r="A497" s="5"/>
      <x:c r="B497" s="3"/>
      <x:c r="C497" s="3"/>
      <x:c r="D497" s="3"/>
      <x:c r="E497" s="3"/>
      <x:c r="F497" s="3"/>
      <x:c r="G497" s="6"/>
      <x:c r="H497" s="6"/>
    </x:row>
    <x:row r="498">
      <x:c r="A498" s="5"/>
      <x:c r="B498" s="3"/>
      <x:c r="C498" s="3"/>
      <x:c r="D498" s="3"/>
      <x:c r="E498" s="3"/>
      <x:c r="F498" s="3"/>
      <x:c r="G498" s="6"/>
      <x:c r="H498" s="6"/>
    </x:row>
    <x:row r="499">
      <x:c r="A499" s="5"/>
      <x:c r="B499" s="3"/>
      <x:c r="C499" s="3"/>
      <x:c r="D499" s="3"/>
      <x:c r="E499" s="3"/>
      <x:c r="F499" s="3"/>
      <x:c r="G499" s="6"/>
      <x:c r="H499" s="6"/>
    </x:row>
    <x:row r="500">
      <x:c r="A500" s="5"/>
      <x:c r="B500" s="3"/>
      <x:c r="C500" s="3"/>
      <x:c r="D500" s="3"/>
      <x:c r="E500" s="3"/>
      <x:c r="F500" s="3"/>
      <x:c r="G500" s="6"/>
      <x:c r="H500" s="6"/>
    </x:row>
    <x:row r="501">
      <x:c r="A501" s="5"/>
      <x:c r="B501" s="3"/>
      <x:c r="C501" s="3"/>
      <x:c r="D501" s="3"/>
      <x:c r="E501" s="3"/>
      <x:c r="F501" s="3"/>
      <x:c r="G501" s="6"/>
      <x:c r="H501" s="6"/>
    </x:row>
    <x:row r="502">
      <x:c r="A502" s="5"/>
      <x:c r="B502" s="3"/>
      <x:c r="C502" s="3"/>
      <x:c r="D502" s="3"/>
      <x:c r="E502" s="3"/>
      <x:c r="F502" s="3"/>
      <x:c r="G502" s="6"/>
      <x:c r="H502" s="6"/>
    </x:row>
    <x:row r="503">
      <x:c r="A503" s="5"/>
      <x:c r="B503" s="3"/>
      <x:c r="C503" s="3"/>
      <x:c r="D503" s="3"/>
      <x:c r="E503" s="3"/>
      <x:c r="F503" s="3"/>
      <x:c r="G503" s="6"/>
      <x:c r="H503" s="6"/>
    </x:row>
    <x:row r="504">
      <x:c r="A504" s="5"/>
      <x:c r="B504" s="3"/>
      <x:c r="C504" s="3"/>
      <x:c r="D504" s="3"/>
      <x:c r="E504" s="3"/>
      <x:c r="F504" s="3"/>
      <x:c r="G504" s="6"/>
      <x:c r="H504" s="6"/>
    </x:row>
    <x:row r="505">
      <x:c r="A505" s="5"/>
      <x:c r="B505" s="3"/>
      <x:c r="C505" s="3"/>
      <x:c r="D505" s="3"/>
      <x:c r="E505" s="3"/>
      <x:c r="F505" s="3"/>
      <x:c r="G505" s="6"/>
      <x:c r="H505" s="6"/>
    </x:row>
    <x:row r="506">
      <x:c r="A506" s="5"/>
      <x:c r="B506" s="3"/>
      <x:c r="C506" s="3"/>
      <x:c r="D506" s="3"/>
      <x:c r="E506" s="3"/>
      <x:c r="F506" s="3"/>
      <x:c r="G506" s="6"/>
      <x:c r="H506" s="6"/>
    </x:row>
    <x:row r="507">
      <x:c r="A507" s="5"/>
      <x:c r="B507" s="3"/>
      <x:c r="C507" s="3"/>
      <x:c r="D507" s="3"/>
      <x:c r="E507" s="3"/>
      <x:c r="F507" s="3"/>
      <x:c r="G507" s="6"/>
      <x:c r="H507" s="6"/>
    </x:row>
    <x:row r="508">
      <x:c r="A508" s="5"/>
      <x:c r="B508" s="3"/>
      <x:c r="C508" s="3"/>
      <x:c r="D508" s="3"/>
      <x:c r="E508" s="3"/>
      <x:c r="F508" s="7" t="s">
        <x:v>251</x:v>
      </x:c>
      <x:c r="G508" s="8" t="n">
        <x:f>SUM(G7:G506)</x:f>
        <x:v>50082.19517591636</x:v>
      </x:c>
      <x:c r="H508" s="8" t="n">
        <x:f>SUM(H7:H506)</x:f>
        <x:v>50082.19517591636</x:v>
      </x:c>
    </x:row>
    <x:row r="510" ht="30" customHeight="1">
      <x:c r="A510" s="70" t="s">
        <x:v>252</x:v>
      </x:c>
      <x:c r="B510" s="70"/>
      <x:c r="C510" s="70"/>
      <x:c r="D510" s="70"/>
      <x:c r="E510" s="70"/>
      <x:c r="F510" s="70"/>
      <x:c r="G510" s="70"/>
      <x:c r="H510" s="70"/>
    </x:row>
  </x:sheetData>
  <x:mergeCells>
    <x:mergeCell ref="A1:H1"/>
    <x:mergeCell ref="A4:H4"/>
    <x:mergeCell ref="A510:H5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4" width="36" customWidth="1"/>
  </x:cols>
  <x:sheetData>
    <x:row r="1">
      <x:c r="A1" s="9" t="s">
        <x:v>253</x:v>
      </x:c>
      <x:c r="B1" s="9" t="s">
        <x:v>254</x:v>
      </x:c>
      <x:c r="C1" s="9" t="s">
        <x:v>255</x:v>
      </x:c>
      <x:c r="D1" s="9" t="s">
        <x:v>14</x:v>
      </x:c>
    </x:row>
    <x:row r="2">
      <x:c r="A2" s="10" t="str">
        <x:v>المستودع الرئيسي للصيدليات</x:v>
      </x:c>
      <x:c r="B2" s="10" t="s">
        <x:v>256</x:v>
      </x:c>
      <x:c r="C2" s="10" t="str">
        <x:v>اجهزة ومعدات طبية</x:v>
      </x:c>
      <x:c r="D2" s="10" t="str">
        <x:v>Active</x:v>
      </x:c>
    </x:row>
    <x:row r="3">
      <x:c r="A3" s="10" t="str">
        <x:v>صيدلية النهضة 2</x:v>
      </x:c>
      <x:c r="B3" s="10" t="s">
        <x:v>257</x:v>
      </x:c>
      <x:c r="C3" s="10" t="str">
        <x:v>السيارات</x:v>
      </x:c>
      <x:c r="D3" s="10" t="str">
        <x:v>Inactive</x:v>
      </x:c>
    </x:row>
    <x:row r="4">
      <x:c r="A4" s="10" t="str">
        <x:v>صيدلية لنا الرئيسية</x:v>
      </x:c>
      <x:c r="B4" s="10" t="s">
        <x:v>258</x:v>
      </x:c>
      <x:c r="C4" s="10" t="str">
        <x:v>أثاث و مفروشات</x:v>
      </x:c>
      <x:c r="D4" s="10"/>
    </x:row>
    <x:row r="5">
      <x:c r="A5" s="10" t="str">
        <x:v>صيدلية لنا السدحان 15</x:v>
      </x:c>
      <x:c r="B5" s="10" t="s">
        <x:v>259</x:v>
      </x:c>
      <x:c r="C5" s="10" t="str">
        <x:v>أثاث و مفروشات السكن</x:v>
      </x:c>
      <x:c r="D5" s="10"/>
    </x:row>
    <x:row r="6">
      <x:c r="A6" s="10" t="str">
        <x:v>صيدلية لنا النهضه12</x:v>
      </x:c>
      <x:c r="B6" s="10" t="s">
        <x:v>260</x:v>
      </x:c>
      <x:c r="C6" s="10" t="str">
        <x:v>الاجهزة الالكترونية والحاسب الالي وملحقاته</x:v>
      </x:c>
      <x:c r="D6" s="10"/>
    </x:row>
    <x:row r="7">
      <x:c r="A7" s="10" t="str">
        <x:v>صيدلية لنا جابر الصباح 13</x:v>
      </x:c>
      <x:c r="B7" s="10" t="s">
        <x:v>261</x:v>
      </x:c>
      <x:c r="C7" s="10" t="str">
        <x:v>الاجهزة الكهربائية</x:v>
      </x:c>
      <x:c r="D7" s="10"/>
    </x:row>
    <x:row r="8">
      <x:c r="A8" s="10" t="str">
        <x:v>صيدلية لنا طويق - نمار فرع رقم 34</x:v>
      </x:c>
      <x:c r="B8" s="10" t="s">
        <x:v>262</x:v>
      </x:c>
      <x:c r="C8" s="10" t="str">
        <x:v>تحسينات على مباني</x:v>
      </x:c>
      <x:c r="D8" s="10"/>
    </x:row>
    <x:row r="9">
      <x:c r="A9" s="10" t="str">
        <x:v>صيدلية لنا ظهرة لبن فرع رقم 36</x:v>
      </x:c>
      <x:c r="B9" s="10" t="s">
        <x:v>263</x:v>
      </x:c>
      <x:c r="C9" s="10" t="str">
        <x:v>اجهزة التكييف</x:v>
      </x:c>
      <x:c r="D9" s="10"/>
    </x:row>
    <x:row r="10">
      <x:c r="A10" s="10" t="str">
        <x:v>صيدلية لنا ظهرة لبن لولو فرع رقم 35</x:v>
      </x:c>
      <x:c r="B10" s="10" t="s">
        <x:v>264</x:v>
      </x:c>
      <x:c r="C10" s="10" t="str">
        <x:v>ديكورات</x:v>
      </x:c>
      <x:c r="D10" s="10"/>
    </x:row>
    <x:row r="11">
      <x:c r="A11" s="10" t="str">
        <x:v>صيدلية لنا فرع المهدية 31</x:v>
      </x:c>
      <x:c r="B11" s="10" t="s">
        <x:v>265</x:v>
      </x:c>
      <x:c r="C11" s="10" t="str">
        <x:v>البرامج والأنظمة</x:v>
      </x:c>
      <x:c r="D11" s="10"/>
    </x:row>
    <x:row r="12">
      <x:c r="A12" s="10" t="str">
        <x:v>صيدلية لنا فرع طويق رقم 32</x:v>
      </x:c>
      <x:c r="B12" s="10" t="s">
        <x:v>266</x:v>
      </x:c>
      <x:c r="C12" s="10"/>
      <x:c r="D12" s="10"/>
    </x:row>
    <x:row r="13">
      <x:c r="A13" s="10" t="str">
        <x:v>صيدلية لنا فرع وادى لبن رقم 33</x:v>
      </x:c>
      <x:c r="B13" s="10"/>
      <x:c r="C13" s="10"/>
      <x:c r="D13" s="10"/>
    </x:row>
    <x:row r="14">
      <x:c r="A14" s="10" t="str">
        <x:v>مركز التكلفة العام الصيدلية</x:v>
      </x:c>
      <x:c r="B14" s="10"/>
      <x:c r="C14" s="10"/>
      <x:c r="D14" s="10"/>
    </x:row>
    <x:row r="15">
      <x:c r="A15" s="10" t="str">
        <x:v>مستودع الصيانه و نظم المعلومات</x:v>
      </x:c>
      <x:c r="B15" s="10"/>
      <x:c r="C15" s="10"/>
      <x:c r="D15" s="10"/>
    </x:row>
    <x:row r="16">
      <x:c r="A16" s="10"/>
      <x:c r="B16" s="10"/>
      <x:c r="C16" s="10"/>
      <x:c r="D16" s="10"/>
    </x:row>
    <x:row r="17">
      <x:c r="A17" s="10"/>
      <x:c r="B17" s="10"/>
      <x:c r="C17" s="10"/>
      <x:c r="D17" s="10"/>
    </x:row>
    <x:row r="18">
      <x:c r="A18"/>
      <x:c r="C18"/>
    </x:row>
    <x:row r="19">
      <x:c r="A19"/>
      <x:c r="C19"/>
    </x:row>
    <x:row r="20">
      <x:c r="A20"/>
      <x:c r="C20"/>
    </x:row>
    <x:row r="21">
      <x:c r="A21"/>
    </x:row>
    <x:row r="22">
      <x:c r="A22"/>
    </x:row>
    <x:row r="23">
      <x:c r="A23"/>
    </x:row>
    <x:row r="24">
      <x:c r="A24"/>
    </x:row>
    <x:row r="25">
      <x:c r="A25"/>
    </x:row>
    <x:row r="26">
      <x:c r="A26"/>
    </x:row>
    <x:row r="27">
      <x:c r="A27"/>
    </x:row>
    <x:row r="28">
      <x:c r="A28"/>
    </x:row>
    <x:row r="29">
      <x:c r="A29"/>
    </x:row>
    <x:row r="30">
      <x:c r="A30"/>
    </x:row>
    <x:row r="31">
      <x:c r="A3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customWidth="1"/>
    <x:col min="2" max="2" width="8.7109375" customWidth="1"/>
    <x:col min="3" max="3" width="18.7109375" customWidth="1"/>
    <x:col min="4" max="4" width="10.140625" customWidth="1"/>
    <x:col min="5" max="5" width="18.7109375" customWidth="1"/>
    <x:col min="6" max="6" width="9.140625" customWidth="1"/>
    <x:col min="7" max="7" width="14.5703125" customWidth="1"/>
    <x:col min="8" max="8" width="14" customWidth="1"/>
    <x:col min="9" max="9" width="8.42578125" customWidth="1"/>
    <x:col min="10" max="10" width="15.28515625" customWidth="1"/>
    <x:col min="11" max="11" width="11.85546875" customWidth="1"/>
    <x:col min="12" max="12" width="14" customWidth="1"/>
  </x:cols>
  <x:sheetData>
    <x:row r="1" ht="27.200000762939453" customHeight="1">
      <x:c r="A1" s="71" t="s">
        <x:v>267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9" t="s">
        <x:v>3</x:v>
      </x:c>
      <x:c r="B3" s="9" t="s">
        <x:v>268</x:v>
      </x:c>
      <x:c r="C3" s="12"/>
      <x:c r="D3" s="12"/>
      <x:c r="E3" s="12"/>
      <x:c r="F3" s="12"/>
      <x:c r="G3" s="12"/>
      <x:c r="H3" s="12"/>
      <x:c r="I3" s="12"/>
      <x:c r="J3" s="9" t="s">
        <x:v>269</x:v>
      </x:c>
      <x:c r="K3" s="9"/>
      <x:c r="L3" s="9"/>
    </x:row>
    <x:row r="4">
      <x:c r="A4" s="14" t="s">
        <x:v>270</x:v>
      </x:c>
      <x:c r="B4" s="14" t="s">
        <x:v>270</x:v>
      </x:c>
      <x:c r="C4" s="12"/>
      <x:c r="D4" s="12"/>
      <x:c r="E4" s="12"/>
      <x:c r="F4" s="12"/>
      <x:c r="G4" s="12"/>
      <x:c r="H4" s="12"/>
      <x:c r="I4" s="12"/>
      <x:c r="J4" s="31">
        <x:v>46231.805229027777</x:v>
      </x:c>
      <x:c r="K4" s="31"/>
      <x:c r="L4" s="31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16" t="s">
        <x:v>271</x:v>
      </x:c>
      <x:c r="B6" s="16"/>
      <x:c r="C6" s="16" t="s">
        <x:v>272</x:v>
      </x:c>
      <x:c r="D6" s="16"/>
      <x:c r="E6" s="16" t="s">
        <x:v>273</x:v>
      </x:c>
      <x:c r="F6" s="16"/>
      <x:c r="G6" s="16" t="s">
        <x:v>274</x:v>
      </x:c>
      <x:c r="H6" s="16"/>
      <x:c r="I6" s="16" t="s">
        <x:v>275</x:v>
      </x:c>
      <x:c r="J6" s="16"/>
      <x:c r="K6" s="16" t="s">
        <x:v>276</x:v>
      </x:c>
      <x:c r="L6" s="16"/>
    </x:row>
    <x:row r="7" ht="21">
      <x:c r="A7" s="17" t="n">
        <x:f>SUMIFS('جدول الاصول الثابته الجديد'!$G$6:$G$2004,'جدول الاصول الثابته الجديد'!$B$6:$B$2004,IF($A$4="الكل","*",$A$4),'جدول الاصول الثابته الجديد'!$C$6:$C$2004,IF($B$4="الكل","*",$B$4))</x:f>
        <x:v>10773856.286099993</x:v>
      </x:c>
      <x:c r="B7" s="17"/>
      <x:c r="C7" s="17" t="n">
        <x:f>SUMIFS('جدول الاصول الثابته الجديد'!$J$6:$J$2004,'جدول الاصول الثابته الجديد'!$B$6:$B$2004,IF($A$4="الكل","*",$A$4),'جدول الاصول الثابته الجديد'!$C$6:$C$2004,IF($B$4="الكل","*",$B$4))</x:f>
        <x:v>3958500.6350164316</x:v>
      </x:c>
      <x:c r="D7" s="17"/>
      <x:c r="E7" s="17" t="n">
        <x:f>SUMIFS('جدول الاصول الثابته الجديد'!$K$6:$K$2004,'جدول الاصول الثابته الجديد'!$B$6:$B$2004,IF($A$4="الكل","*",$A$4),'جدول الاصول الثابته الجديد'!$C$6:$C$2004,IF($B$4="الكل","*",$B$4))</x:f>
        <x:v>6815355.6510835765</x:v>
      </x:c>
      <x:c r="F7" s="17"/>
      <x:c r="G7" s="17" t="n">
        <x:f>SUMIFS('جدول الاصول الثابته الجديد'!$L$6:$L$2004,'جدول الاصول الثابته الجديد'!$B$6:$B$2004,IF($A$4="الكل","*",$A$4),'جدول الاصول الثابته الجديد'!$C$6:$C$2004,IF($B$4="الكل","*",$B$4))</x:f>
        <x:v>100164.39035183268</x:v>
      </x:c>
      <x:c r="H7" s="17"/>
      <x:c r="I7" s="18" t="n">
        <x:f>COUNTIFS('جدول الاصول الثابته الجديد'!$E$6:$E$2004,"&lt;&gt;",'جدول الاصول الثابته الجديد'!$B$6:$B$2004,IF($A$4="الكل","*",$A$4),'جدول الاصول الثابته الجديد'!$C$6:$C$2004,IF($B$4="الكل","*",$B$4))</x:f>
        <x:v>501</x:v>
      </x:c>
      <x:c r="J7" s="18"/>
      <x:c r="K7" s="18" t="n">
        <x:f>COUNTA('القوائم المرجعية'!$A$2:$A$31)</x:f>
        <x:v>14</x:v>
      </x:c>
      <x:c r="L7" s="18"/>
    </x:row>
    <x:row r="8" ht="21">
      <x:c r="A8" s="17"/>
      <x:c r="B8" s="17"/>
      <x:c r="C8" s="17"/>
      <x:c r="D8" s="17"/>
      <x:c r="E8" s="17"/>
      <x:c r="F8" s="17"/>
      <x:c r="G8" s="17"/>
      <x:c r="H8" s="17"/>
      <x:c r="I8" s="18"/>
      <x:c r="J8" s="18"/>
      <x:c r="K8" s="18"/>
      <x:c r="L8" s="18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30">
      <x:c r="A11" s="9" t="s">
        <x:v>3</x:v>
      </x:c>
      <x:c r="B11" s="9" t="s">
        <x:v>275</x:v>
      </x:c>
      <x:c r="C11" s="9" t="s">
        <x:v>277</x:v>
      </x:c>
      <x:c r="D11" s="9" t="s">
        <x:v>272</x:v>
      </x:c>
      <x:c r="E11" s="9" t="s">
        <x:v>278</x:v>
      </x:c>
      <x:c r="F11" s="9" t="s">
        <x:v>279</x:v>
      </x:c>
      <x:c r="G11" s="12"/>
      <x:c r="H11" s="12"/>
      <x:c r="I11" s="12"/>
      <x:c r="J11" s="12"/>
      <x:c r="K11" s="12"/>
      <x:c r="L11" s="12"/>
    </x:row>
    <x:row r="12">
      <x:c r="A12" s="19" t="str">
        <x:v>المستودع الرئيسي للصيدليات</x:v>
      </x:c>
      <x:c r="B12" s="20" t="n">
        <x:f>IF($A12="","",COUNTIFS('جدول الاصول الثابته الجديد'!$B$6:$B$2004,$A12,'جدول الاصول الثابته الجديد'!$E$6:$E$2004,"&lt;&gt;"))</x:f>
        <x:v>1</x:v>
      </x:c>
      <x:c r="C12" s="20" t="n">
        <x:f>IF($A12="","",SUMIFS('جدول الاصول الثابته الجديد'!$G$6:$G$2004,'جدول الاصول الثابته الجديد'!$B$6:$B$2004,$A12))</x:f>
        <x:v>2425.28</x:v>
      </x:c>
      <x:c r="D12" s="20" t="n">
        <x:f>IF($A12="","",SUMIFS('جدول الاصول الثابته الجديد'!$J$6:$J$2004,'جدول الاصول الثابته الجديد'!$B$6:$B$2004,$A12))</x:f>
        <x:v>837.2199452054795</x:v>
      </x:c>
      <x:c r="E12" s="20" t="n">
        <x:f>IF($A12="","",SUMIFS('جدول الاصول الثابته الجديد'!$K$6:$K$2004,'جدول الاصول الثابته الجديد'!$B$6:$B$2004,$A12))</x:f>
        <x:v>1588.0600547945207</x:v>
      </x:c>
      <x:c r="F12" s="20" t="n">
        <x:f>IF($A12="","",SUMIFS('جدول الاصول الثابته الجديد'!$L$6:$L$2004,'جدول الاصول الثابته الجديد'!$B$6:$B$2004,$A12))</x:f>
        <x:v>40.42133333333334</x:v>
      </x:c>
      <x:c r="G12" s="12"/>
      <x:c r="H12" s="12"/>
      <x:c r="I12" s="12"/>
      <x:c r="J12" s="12"/>
      <x:c r="K12" s="12"/>
      <x:c r="L12" s="12"/>
    </x:row>
    <x:row r="13">
      <x:c r="A13" s="19" t="str">
        <x:v>صيدلية النهضة 2</x:v>
      </x:c>
      <x:c r="B13" s="20" t="n">
        <x:f>IF($A13="","",COUNTIFS('جدول الاصول الثابته الجديد'!$B$6:$B$2004,$A13,'جدول الاصول الثابته الجديد'!$E$6:$E$2004,"&lt;&gt;"))</x:f>
        <x:v>10</x:v>
      </x:c>
      <x:c r="C13" s="20" t="n">
        <x:f>IF($A13="","",SUMIFS('جدول الاصول الثابته الجديد'!$G$6:$G$2004,'جدول الاصول الثابته الجديد'!$B$6:$B$2004,$A13))</x:f>
        <x:v>28845.209999999995</x:v>
      </x:c>
      <x:c r="D13" s="20" t="n">
        <x:f>IF($A13="","",SUMIFS('جدول الاصول الثابته الجديد'!$J$6:$J$2004,'جدول الاصول الثابته الجديد'!$B$6:$B$2004,$A13))</x:f>
        <x:v>4330.732898630137</x:v>
      </x:c>
      <x:c r="E13" s="20" t="n">
        <x:f>IF($A13="","",SUMIFS('جدول الاصول الثابته الجديد'!$K$6:$K$2004,'جدول الاصول الثابته الجديد'!$B$6:$B$2004,$A13))</x:f>
        <x:v>24514.47710136986</x:v>
      </x:c>
      <x:c r="F13" s="20" t="n">
        <x:f>IF($A13="","",SUMIFS('جدول الاصول الثابته الجديد'!$L$6:$L$2004,'جدول الاصول الثابته الجديد'!$B$6:$B$2004,$A13))</x:f>
        <x:v>480.75350000000003</x:v>
      </x:c>
      <x:c r="G13" s="12"/>
      <x:c r="H13" s="12"/>
      <x:c r="I13" s="12"/>
      <x:c r="J13" s="12"/>
      <x:c r="K13" s="12"/>
      <x:c r="L13" s="12"/>
    </x:row>
    <x:row r="14">
      <x:c r="A14" s="19" t="str">
        <x:v>صيدلية لنا الرئيسية</x:v>
      </x:c>
      <x:c r="B14" s="20" t="n">
        <x:f>IF($A14="","",COUNTIFS('جدول الاصول الثابته الجديد'!$B$6:$B$2004,$A14,'جدول الاصول الثابته الجديد'!$E$6:$E$2004,"&lt;&gt;"))</x:f>
        <x:v>18</x:v>
      </x:c>
      <x:c r="C14" s="20" t="n">
        <x:f>IF($A14="","",SUMIFS('جدول الاصول الثابته الجديد'!$G$6:$G$2004,'جدول الاصول الثابته الجديد'!$B$6:$B$2004,$A14))</x:f>
        <x:v>489405</x:v>
      </x:c>
      <x:c r="D14" s="20" t="n">
        <x:f>IF($A14="","",SUMIFS('جدول الاصول الثابته الجديد'!$J$6:$J$2004,'جدول الاصول الثابته الجديد'!$B$6:$B$2004,$A14))</x:f>
        <x:v>488149.35459863016</x:v>
      </x:c>
      <x:c r="E14" s="20" t="n">
        <x:f>IF($A14="","",SUMIFS('جدول الاصول الثابته الجديد'!$K$6:$K$2004,'جدول الاصول الثابته الجديد'!$B$6:$B$2004,$A14))</x:f>
        <x:v>1255.645401369863</x:v>
      </x:c>
      <x:c r="F14" s="20" t="n">
        <x:f>IF($A14="","",SUMIFS('جدول الاصول الثابته الجديد'!$L$6:$L$2004,'جدول الاصول الثابته الجديد'!$B$6:$B$2004,$A14))</x:f>
        <x:v>76.79787499999999</x:v>
      </x:c>
      <x:c r="G14" s="12"/>
      <x:c r="H14" s="12"/>
      <x:c r="I14" s="12"/>
      <x:c r="J14" s="12"/>
      <x:c r="K14" s="12"/>
      <x:c r="L14" s="12"/>
    </x:row>
    <x:row r="15">
      <x:c r="A15" s="19" t="str">
        <x:v>صيدلية لنا السدحان 15</x:v>
      </x:c>
      <x:c r="B15" s="20" t="n">
        <x:f>IF($A15="","",COUNTIFS('جدول الاصول الثابته الجديد'!$B$6:$B$2004,$A15,'جدول الاصول الثابته الجديد'!$E$6:$E$2004,"&lt;&gt;"))</x:f>
        <x:v>56</x:v>
      </x:c>
      <x:c r="C15" s="20" t="n">
        <x:f>IF($A15="","",SUMIFS('جدول الاصول الثابته الجديد'!$G$6:$G$2004,'جدول الاصول الثابته الجديد'!$B$6:$B$2004,$A15))</x:f>
        <x:v>861719.6600000003</x:v>
      </x:c>
      <x:c r="D15" s="20" t="n">
        <x:f>IF($A15="","",SUMIFS('جدول الاصول الثابته الجديد'!$J$6:$J$2004,'جدول الاصول الثابته الجديد'!$B$6:$B$2004,$A15))</x:f>
        <x:v>361733.47097024135</x:v>
      </x:c>
      <x:c r="E15" s="20" t="n">
        <x:f>IF($A15="","",SUMIFS('جدول الاصول الثابته الجديد'!$K$6:$K$2004,'جدول الاصول الثابته الجديد'!$B$6:$B$2004,$A15))</x:f>
        <x:v>499986.1890297596</x:v>
      </x:c>
      <x:c r="F15" s="20" t="n">
        <x:f>IF($A15="","",SUMIFS('جدول الاصول الثابته الجديد'!$L$6:$L$2004,'جدول الاصول الثابته الجديد'!$B$6:$B$2004,$A15))</x:f>
        <x:v>12200.206786833332</x:v>
      </x:c>
      <x:c r="G15" s="12"/>
      <x:c r="H15" s="12"/>
      <x:c r="I15" s="12"/>
      <x:c r="J15" s="12"/>
      <x:c r="K15" s="12"/>
      <x:c r="L15" s="12"/>
    </x:row>
    <x:row r="16">
      <x:c r="A16" s="19" t="str">
        <x:v>صيدلية لنا النهضه12</x:v>
      </x:c>
      <x:c r="B16" s="20" t="n">
        <x:f>IF($A16="","",COUNTIFS('جدول الاصول الثابته الجديد'!$B$6:$B$2004,$A16,'جدول الاصول الثابته الجديد'!$E$6:$E$2004,"&lt;&gt;"))</x:f>
        <x:v>24</x:v>
      </x:c>
      <x:c r="C16" s="20" t="n">
        <x:f>IF($A16="","",SUMIFS('جدول الاصول الثابته الجديد'!$G$6:$G$2004,'جدول الاصول الثابته الجديد'!$B$6:$B$2004,$A16))</x:f>
        <x:v>141231.04900000006</x:v>
      </x:c>
      <x:c r="D16" s="20" t="n">
        <x:f>IF($A16="","",SUMIFS('جدول الاصول الثابته الجديد'!$J$6:$J$2004,'جدول الاصول الثابته الجديد'!$B$6:$B$2004,$A16))</x:f>
        <x:v>87409.15400547953</x:v>
      </x:c>
      <x:c r="E16" s="20" t="n">
        <x:f>IF($A16="","",SUMIFS('جدول الاصول الثابته الجديد'!$K$6:$K$2004,'جدول الاصول الثابته الجديد'!$B$6:$B$2004,$A16))</x:f>
        <x:v>53821.89499452055</x:v>
      </x:c>
      <x:c r="F16" s="20" t="n">
        <x:f>IF($A16="","",SUMIFS('جدول الاصول الثابته الجديد'!$L$6:$L$2004,'جدول الاصول الثابته الجديد'!$B$6:$B$2004,$A16))</x:f>
        <x:v>1616.8697083333334</x:v>
      </x:c>
      <x:c r="G16" s="12"/>
      <x:c r="H16" s="12"/>
      <x:c r="I16" s="12"/>
      <x:c r="J16" s="12"/>
      <x:c r="K16" s="12"/>
      <x:c r="L16" s="12"/>
    </x:row>
    <x:row r="17">
      <x:c r="A17" s="19" t="str">
        <x:v>صيدلية لنا جابر الصباح 13</x:v>
      </x:c>
      <x:c r="B17" s="20" t="n">
        <x:f>IF($A17="","",COUNTIFS('جدول الاصول الثابته الجديد'!$B$6:$B$2004,$A17,'جدول الاصول الثابته الجديد'!$E$6:$E$2004,"&lt;&gt;"))</x:f>
        <x:v>20</x:v>
      </x:c>
      <x:c r="C17" s="20" t="n">
        <x:f>IF($A17="","",SUMIFS('جدول الاصول الثابته الجديد'!$G$6:$G$2004,'جدول الاصول الثابته الجديد'!$B$6:$B$2004,$A17))</x:f>
        <x:v>190803.27000000002</x:v>
      </x:c>
      <x:c r="D17" s="20" t="n">
        <x:f>IF($A17="","",SUMIFS('جدول الاصول الثابته الجديد'!$J$6:$J$2004,'جدول الاصول الثابته الجديد'!$B$6:$B$2004,$A17))</x:f>
        <x:v>115424.1299630137</x:v>
      </x:c>
      <x:c r="E17" s="20" t="n">
        <x:f>IF($A17="","",SUMIFS('جدول الاصول الثابته الجديد'!$K$6:$K$2004,'جدول الاصول الثابته الجديد'!$B$6:$B$2004,$A17))</x:f>
        <x:v>75379.14003698634</x:v>
      </x:c>
      <x:c r="F17" s="20" t="n">
        <x:f>IF($A17="","",SUMIFS('جدول الاصول الثابته الجديد'!$L$6:$L$2004,'جدول الاصول الثابته الجديد'!$B$6:$B$2004,$A17))</x:f>
        <x:v>2989.9404583333335</x:v>
      </x:c>
      <x:c r="G17" s="12"/>
      <x:c r="H17" s="12"/>
      <x:c r="I17" s="12"/>
      <x:c r="J17" s="12"/>
      <x:c r="K17" s="12"/>
      <x:c r="L17" s="12"/>
    </x:row>
    <x:row r="18">
      <x:c r="A18" s="19" t="str">
        <x:v>صيدلية لنا طويق - نمار فرع رقم 34</x:v>
      </x:c>
      <x:c r="B18" s="20" t="n">
        <x:f>IF($A18="","",COUNTIFS('جدول الاصول الثابته الجديد'!$B$6:$B$2004,$A18,'جدول الاصول الثابته الجديد'!$E$6:$E$2004,"&lt;&gt;"))</x:f>
        <x:v>37</x:v>
      </x:c>
      <x:c r="C18" s="20" t="n">
        <x:f>IF($A18="","",SUMIFS('جدول الاصول الثابته الجديد'!$G$6:$G$2004,'جدول الاصول الثابته الجديد'!$B$6:$B$2004,$A18))</x:f>
        <x:v>29878.93</x:v>
      </x:c>
      <x:c r="D18" s="20" t="n">
        <x:f>IF($A18="","",SUMIFS('جدول الاصول الثابته الجديد'!$J$6:$J$2004,'جدول الاصول الثابته الجديد'!$B$6:$B$2004,$A18))</x:f>
        <x:v>15346.374793808212</x:v>
      </x:c>
      <x:c r="E18" s="20" t="n">
        <x:f>IF($A18="","",SUMIFS('جدول الاصول الثابته الجديد'!$K$6:$K$2004,'جدول الاصول الثابته الجديد'!$B$6:$B$2004,$A18))</x:f>
        <x:v>14532.555206191788</x:v>
      </x:c>
      <x:c r="F18" s="20" t="n">
        <x:f>IF($A18="","",SUMIFS('جدول الاصول الثابته الجديد'!$L$6:$L$2004,'جدول الاصول الثابته الجديد'!$B$6:$B$2004,$A18))</x:f>
        <x:v>822.2605212500002</x:v>
      </x:c>
      <x:c r="G18" s="12"/>
      <x:c r="H18" s="12"/>
      <x:c r="I18" s="12"/>
      <x:c r="J18" s="12"/>
      <x:c r="K18" s="12"/>
      <x:c r="L18" s="12"/>
    </x:row>
    <x:row r="19">
      <x:c r="A19" s="19" t="str">
        <x:v>صيدلية لنا ظهرة لبن فرع رقم 36</x:v>
      </x:c>
      <x:c r="B19" s="20" t="n">
        <x:f>IF($A19="","",COUNTIFS('جدول الاصول الثابته الجديد'!$B$6:$B$2004,$A19,'جدول الاصول الثابته الجديد'!$E$6:$E$2004,"&lt;&gt;"))</x:f>
        <x:v>21</x:v>
      </x:c>
      <x:c r="C19" s="20" t="n">
        <x:f>IF($A19="","",SUMIFS('جدول الاصول الثابته الجديد'!$G$6:$G$2004,'جدول الاصول الثابته الجديد'!$B$6:$B$2004,$A19))</x:f>
        <x:v>14396.58</x:v>
      </x:c>
      <x:c r="D19" s="20" t="n">
        <x:f>IF($A19="","",SUMIFS('جدول الاصول الثابته الجديد'!$J$6:$J$2004,'جدول الاصول الثابته الجديد'!$B$6:$B$2004,$A19))</x:f>
        <x:v>7598.905052054789</x:v>
      </x:c>
      <x:c r="E19" s="20" t="n">
        <x:f>IF($A19="","",SUMIFS('جدول الاصول الثابته الجديد'!$K$6:$K$2004,'جدول الاصول الثابته الجديد'!$B$6:$B$2004,$A19))</x:f>
        <x:v>6797.674947945211</x:v>
      </x:c>
      <x:c r="F19" s="20" t="n">
        <x:f>IF($A19="","",SUMIFS('جدول الاصول الثابته الجديد'!$L$6:$L$2004,'جدول الاصول الثابته الجديد'!$B$6:$B$2004,$A19))</x:f>
        <x:v>392.2382500000002</x:v>
      </x:c>
      <x:c r="G19" s="12"/>
      <x:c r="H19" s="12"/>
      <x:c r="I19" s="12"/>
      <x:c r="J19" s="12"/>
      <x:c r="K19" s="12"/>
      <x:c r="L19" s="12"/>
    </x:row>
    <x:row r="20">
      <x:c r="A20" s="19" t="str">
        <x:v>صيدلية لنا ظهرة لبن لولو فرع رقم 35</x:v>
      </x:c>
      <x:c r="B20" s="20" t="n">
        <x:f>IF($A20="","",COUNTIFS('جدول الاصول الثابته الجديد'!$B$6:$B$2004,$A20,'جدول الاصول الثابته الجديد'!$E$6:$E$2004,"&lt;&gt;"))</x:f>
        <x:v>28</x:v>
      </x:c>
      <x:c r="C20" s="20" t="n">
        <x:f>IF($A20="","",SUMIFS('جدول الاصول الثابته الجديد'!$G$6:$G$2004,'جدول الاصول الثابته الجديد'!$B$6:$B$2004,$A20))</x:f>
        <x:v>27480.93</x:v>
      </x:c>
      <x:c r="D20" s="20" t="n">
        <x:f>IF($A20="","",SUMIFS('جدول الاصول الثابته الجديد'!$J$6:$J$2004,'جدول الاصول الثابته الجديد'!$B$6:$B$2004,$A20))</x:f>
        <x:v>14146.39982613698</x:v>
      </x:c>
      <x:c r="E20" s="20" t="n">
        <x:f>IF($A20="","",SUMIFS('جدول الاصول الثابته الجديد'!$K$6:$K$2004,'جدول الاصول الثابته الجديد'!$B$6:$B$2004,$A20))</x:f>
        <x:v>13334.53017386302</x:v>
      </x:c>
      <x:c r="F20" s="20" t="n">
        <x:f>IF($A20="","",SUMIFS('جدول الاصول الثابته الجديد'!$L$6:$L$2004,'جدول الاصول الثابته الجديد'!$B$6:$B$2004,$A20))</x:f>
        <x:v>755.6560712500002</x:v>
      </x:c>
      <x:c r="G20" s="12"/>
      <x:c r="H20" s="12"/>
      <x:c r="I20" s="12"/>
      <x:c r="J20" s="12"/>
      <x:c r="K20" s="12"/>
      <x:c r="L20" s="12"/>
    </x:row>
    <x:row r="21">
      <x:c r="A21" s="19" t="str">
        <x:v>صيدلية لنا فرع المهدية 31</x:v>
      </x:c>
      <x:c r="B21" s="20" t="n">
        <x:f>IF($A21="","",COUNTIFS('جدول الاصول الثابته الجديد'!$B$6:$B$2004,$A21,'جدول الاصول الثابته الجديد'!$E$6:$E$2004,"&lt;&gt;"))</x:f>
        <x:v>53</x:v>
      </x:c>
      <x:c r="C21" s="20" t="n">
        <x:f>IF($A21="","",SUMIFS('جدول الاصول الثابته الجديد'!$G$6:$G$2004,'جدول الاصول الثابته الجديد'!$B$6:$B$2004,$A21))</x:f>
        <x:v>66102.79499999998</x:v>
      </x:c>
      <x:c r="D21" s="20" t="n">
        <x:f>IF($A21="","",SUMIFS('جدول الاصول الثابته الجديد'!$J$6:$J$2004,'جدول الاصول الثابته الجديد'!$B$6:$B$2004,$A21))</x:f>
        <x:v>44950.22934520546</x:v>
      </x:c>
      <x:c r="E21" s="20" t="n">
        <x:f>IF($A21="","",SUMIFS('جدول الاصول الثابته الجديد'!$K$6:$K$2004,'جدول الاصول الثابته الجديد'!$B$6:$B$2004,$A21))</x:f>
        <x:v>21152.565654794525</x:v>
      </x:c>
      <x:c r="F21" s="20" t="n">
        <x:f>IF($A21="","",SUMIFS('جدول الاصول الثابته الجديد'!$L$6:$L$2004,'جدول الاصول الثابته الجديد'!$B$6:$B$2004,$A21))</x:f>
        <x:v>900.7132499999998</x:v>
      </x:c>
      <x:c r="G21" s="12"/>
      <x:c r="H21" s="12"/>
      <x:c r="I21" s="12"/>
      <x:c r="J21" s="12"/>
      <x:c r="K21" s="12"/>
      <x:c r="L21" s="12"/>
    </x:row>
    <x:row r="22">
      <x:c r="A22" s="19" t="str">
        <x:v>صيدلية لنا فرع طويق رقم 32</x:v>
      </x:c>
      <x:c r="B22" s="20" t="n">
        <x:f>IF($A22="","",COUNTIFS('جدول الاصول الثابته الجديد'!$B$6:$B$2004,$A22,'جدول الاصول الثابته الجديد'!$E$6:$E$2004,"&lt;&gt;"))</x:f>
        <x:v>30</x:v>
      </x:c>
      <x:c r="C22" s="20" t="n">
        <x:f>IF($A22="","",SUMIFS('جدول الاصول الثابته الجديد'!$G$6:$G$2004,'جدول الاصول الثابته الجديد'!$B$6:$B$2004,$A22))</x:f>
        <x:v>32582.6497</x:v>
      </x:c>
      <x:c r="D22" s="20" t="n">
        <x:f>IF($A22="","",SUMIFS('جدول الاصول الثابته الجديد'!$J$6:$J$2004,'جدول الاصول الثابته الجديد'!$B$6:$B$2004,$A22))</x:f>
        <x:v>23123.507274542684</x:v>
      </x:c>
      <x:c r="E22" s="20" t="n">
        <x:f>IF($A22="","",SUMIFS('جدول الاصول الثابته الجديد'!$K$6:$K$2004,'جدول الاصول الثابته الجديد'!$B$6:$B$2004,$A22))</x:f>
        <x:v>9459.142425457314</x:v>
      </x:c>
      <x:c r="F22" s="20" t="n">
        <x:f>IF($A22="","",SUMIFS('جدول الاصول الثابته الجديد'!$L$6:$L$2004,'جدول الاصول الثابته الجديد'!$B$6:$B$2004,$A22))</x:f>
        <x:v>886.1805750008338</x:v>
      </x:c>
      <x:c r="G22" s="12"/>
      <x:c r="H22" s="12"/>
      <x:c r="I22" s="12"/>
      <x:c r="J22" s="12"/>
      <x:c r="K22" s="12"/>
      <x:c r="L22" s="12"/>
    </x:row>
    <x:row r="23">
      <x:c r="A23" s="19" t="str">
        <x:v>صيدلية لنا فرع وادى لبن رقم 33</x:v>
      </x:c>
      <x:c r="B23" s="20" t="n">
        <x:f>IF($A23="","",COUNTIFS('جدول الاصول الثابته الجديد'!$B$6:$B$2004,$A23,'جدول الاصول الثابته الجديد'!$E$6:$E$2004,"&lt;&gt;"))</x:f>
        <x:v>18</x:v>
      </x:c>
      <x:c r="C23" s="20" t="n">
        <x:f>IF($A23="","",SUMIFS('جدول الاصول الثابته الجديد'!$G$6:$G$2004,'جدول الاصول الثابته الجديد'!$B$6:$B$2004,$A23))</x:f>
        <x:v>36676.185</x:v>
      </x:c>
      <x:c r="D23" s="20" t="n">
        <x:f>IF($A23="","",SUMIFS('جدول الاصول الثابته الجديد'!$J$6:$J$2004,'جدول الاصول الثابته الجديد'!$B$6:$B$2004,$A23))</x:f>
        <x:v>22922.46334520548</x:v>
      </x:c>
      <x:c r="E23" s="20" t="n">
        <x:f>IF($A23="","",SUMIFS('جدول الاصول الثابته الجديد'!$K$6:$K$2004,'جدول الاصول الثابته الجديد'!$B$6:$B$2004,$A23))</x:f>
        <x:v>13753.721654794523</x:v>
      </x:c>
      <x:c r="F23" s="20" t="n">
        <x:f>IF($A23="","",SUMIFS('جدول الاصول الثابته الجديد'!$L$6:$L$2004,'جدول الاصول الثابته الجديد'!$B$6:$B$2004,$A23))</x:f>
        <x:v>839.5460000000002</x:v>
      </x:c>
      <x:c r="G23" s="12"/>
      <x:c r="H23" s="12"/>
      <x:c r="I23" s="12"/>
      <x:c r="J23" s="12"/>
      <x:c r="K23" s="12"/>
      <x:c r="L23" s="12"/>
    </x:row>
    <x:row r="24">
      <x:c r="A24" s="19" t="str">
        <x:v>مركز التكلفة العام الصيدلية</x:v>
      </x:c>
      <x:c r="B24" s="20" t="n">
        <x:f>IF($A24="","",COUNTIFS('جدول الاصول الثابته الجديد'!$B$6:$B$2004,$A24,'جدول الاصول الثابته الجديد'!$E$6:$E$2004,"&lt;&gt;"))</x:f>
        <x:v>184</x:v>
      </x:c>
      <x:c r="C24" s="20" t="n">
        <x:f>IF($A24="","",SUMIFS('جدول الاصول الثابته الجديد'!$G$6:$G$2004,'جدول الاصول الثابته الجديد'!$B$6:$B$2004,$A24))</x:f>
        <x:v>1665390.929999999</x:v>
      </x:c>
      <x:c r="D24" s="20" t="n">
        <x:f>IF($A24="","",SUMIFS('جدول الاصول الثابته الجديد'!$J$6:$J$2004,'جدول الاصول الثابته الجديد'!$B$6:$B$2004,$A24))</x:f>
        <x:v>788932.4154900576</x:v>
      </x:c>
      <x:c r="E24" s="20" t="n">
        <x:f>IF($A24="","",SUMIFS('جدول الاصول الثابته الجديد'!$K$6:$K$2004,'جدول الاصول الثابته الجديد'!$B$6:$B$2004,$A24))</x:f>
        <x:v>876458.5145099426</x:v>
      </x:c>
      <x:c r="F24" s="20" t="n">
        <x:f>IF($A24="","",SUMIFS('جدول الاصول الثابته الجديد'!$L$6:$L$2004,'جدول الاصول الثابته الجديد'!$B$6:$B$2004,$A24))</x:f>
        <x:v>28080.610846582185</x:v>
      </x:c>
      <x:c r="G24" s="12"/>
      <x:c r="H24" s="12"/>
      <x:c r="I24" s="12"/>
      <x:c r="J24" s="12"/>
      <x:c r="K24" s="12"/>
      <x:c r="L24" s="12"/>
    </x:row>
    <x:row r="25">
      <x:c r="A25" s="19" t="str">
        <x:v>مستودع الصيانه و نظم المعلومات</x:v>
      </x:c>
      <x:c r="B25" s="20" t="n">
        <x:f>IF($A25="","",COUNTIFS('جدول الاصول الثابته الجديد'!$B$6:$B$2004,$A25,'جدول الاصول الثابته الجديد'!$E$6:$E$2004,"&lt;&gt;"))</x:f>
        <x:v>1</x:v>
      </x:c>
      <x:c r="C25" s="20" t="n">
        <x:f>IF($A25="","",SUMIFS('جدول الاصول الثابته الجديد'!$G$6:$G$2004,'جدول الاصول الثابته الجديد'!$B$6:$B$2004,$A25))</x:f>
        <x:v>4346.96</x:v>
      </x:c>
      <x:c r="D25" s="20" t="n">
        <x:f>IF($A25="","",SUMIFS('جدول الاصول الثابته الجديد'!$J$6:$J$2004,'جدول الاصول الثابته الجديد'!$B$6:$B$2004,$A25))</x:f>
        <x:v>4345.96</x:v>
      </x:c>
      <x:c r="E25" s="20" t="n">
        <x:f>IF($A25="","",SUMIFS('جدول الاصول الثابته الجديد'!$K$6:$K$2004,'جدول الاصول الثابته الجديد'!$B$6:$B$2004,$A25))</x:f>
        <x:v>1</x:v>
      </x:c>
      <x:c r="F25" s="20" t="n">
        <x:f>IF($A25="","",SUMIFS('جدول الاصول الثابته الجديد'!$L$6:$L$2004,'جدول الاصول الثابته الجديد'!$B$6:$B$2004,$A25))</x:f>
        <x:v>0</x:v>
      </x:c>
      <x:c r="G25" s="12"/>
      <x:c r="H25" s="12"/>
      <x:c r="I25" s="12"/>
      <x:c r="J25" s="12"/>
      <x:c r="K25" s="12"/>
      <x:c r="L25" s="12"/>
    </x:row>
    <x:row r="26">
      <x:c r="A26" s="19"/>
      <x:c r="B26" s="20" t="str">
        <x:f>IF($A26="","",COUNTIFS('جدول الاصول الثابته الجديد'!$B$6:$B$2004,$A26,'جدول الاصول الثابته الجديد'!$E$6:$E$2004,"&lt;&gt;"))</x:f>
      </x:c>
      <x:c r="C26" s="20" t="str">
        <x:f>IF($A26="","",SUMIFS('جدول الاصول الثابته الجديد'!$G$6:$G$2004,'جدول الاصول الثابته الجديد'!$B$6:$B$2004,$A26))</x:f>
      </x:c>
      <x:c r="D26" s="20" t="str">
        <x:f>IF($A26="","",SUMIFS('جدول الاصول الثابته الجديد'!$J$6:$J$2004,'جدول الاصول الثابته الجديد'!$B$6:$B$2004,$A26))</x:f>
      </x:c>
      <x:c r="E26" s="20" t="str">
        <x:f>IF($A26="","",SUMIFS('جدول الاصول الثابته الجديد'!$K$6:$K$2004,'جدول الاصول الثابته الجديد'!$B$6:$B$2004,$A26))</x:f>
      </x:c>
      <x:c r="F26" s="20" t="str">
        <x:f>IF($A26="","",SUMIFS('جدول الاصول الثابته الجديد'!$L$6:$L$2004,'جدول الاصول الثابته الجديد'!$B$6:$B$2004,$A26))</x:f>
      </x:c>
      <x:c r="G26" s="12"/>
      <x:c r="H26" s="12"/>
      <x:c r="I26" s="12"/>
      <x:c r="J26" s="12"/>
      <x:c r="K26" s="12"/>
      <x:c r="L26" s="12"/>
    </x:row>
    <x:row r="27">
      <x:c r="A27" s="19"/>
      <x:c r="B27" s="20" t="str">
        <x:f>IF($A27="","",COUNTIFS('جدول الاصول الثابته الجديد'!$B$6:$B$2004,$A27,'جدول الاصول الثابته الجديد'!$E$6:$E$2004,"&lt;&gt;"))</x:f>
      </x:c>
      <x:c r="C27" s="20" t="str">
        <x:f>IF($A27="","",SUMIFS('جدول الاصول الثابته الجديد'!$G$6:$G$2004,'جدول الاصول الثابته الجديد'!$B$6:$B$2004,$A27))</x:f>
      </x:c>
      <x:c r="D27" s="20" t="str">
        <x:f>IF($A27="","",SUMIFS('جدول الاصول الثابته الجديد'!$J$6:$J$2004,'جدول الاصول الثابته الجديد'!$B$6:$B$2004,$A27))</x:f>
      </x:c>
      <x:c r="E27" s="20" t="str">
        <x:f>IF($A27="","",SUMIFS('جدول الاصول الثابته الجديد'!$K$6:$K$2004,'جدول الاصول الثابته الجديد'!$B$6:$B$2004,$A27))</x:f>
      </x:c>
      <x:c r="F27" s="20" t="str">
        <x:f>IF($A27="","",SUMIFS('جدول الاصول الثابته الجديد'!$L$6:$L$2004,'جدول الاصول الثابته الجديد'!$B$6:$B$2004,$A27))</x:f>
      </x:c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</x:sheetData>
  <x:mergeCells>
    <x:mergeCell ref="A1:L1"/>
  </x:mergeCells>
  <x:conditionalFormatting sqref="C12:C27">
    <x:cfRule type="dataBar" priority="1">
      <x:dataBar>
        <x:cfvo type="min"/>
        <x:cfvo type="max"/>
        <x:color rgb="FF0F6E4F"/>
      </x:dataBar>
    </x:cfRule>
    <x:cfRule type="dataBar" priority="2">
      <x:dataBar>
        <x:cfvo type="min"/>
        <x:cfvo type="max"/>
        <x:color rgb="FF0F6E4F"/>
      </x:dataBar>
    </x:cfRule>
    <x:cfRule type="dataBar" priority="3">
      <x:dataBar>
        <x:cfvo type="min"/>
        <x:cfvo type="max"/>
        <x:color rgb="FF0F6E4F"/>
      </x:dataBar>
    </x:cfRule>
    <x:cfRule type="dataBar" priority="4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{985F5016-6A4D-968F-6BBC-639B0C8DA72B}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985F5016-6A4D-968F-6BBC-639B0C8DA72B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C12:C27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8" customWidth="1"/>
    <x:col min="2" max="2" width="19.85546875" customWidth="1"/>
    <x:col min="3" max="6" width="16" customWidth="1"/>
    <x:col min="7" max="7" width="18" customWidth="1"/>
    <x:col min="8" max="12" width="16" customWidth="1"/>
  </x:cols>
  <x:sheetData>
    <x:row r="1" ht="24">
      <x:c r="A1" s="13" t="s">
        <x:v>280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9" t="s">
        <x:v>281</x:v>
      </x:c>
      <x:c r="B3" s="11" t="str">
        <x:v>المستودع الرئيسي للصيدليات</x:v>
      </x:c>
      <x:c r="C3" s="14"/>
      <x:c r="D3" s="14"/>
      <x:c r="E3" s="12"/>
      <x:c r="F3" s="12"/>
      <x:c r="G3" s="12"/>
      <x:c r="H3" s="12"/>
      <x:c r="I3" s="12"/>
      <x:c r="J3" s="12"/>
      <x:c r="K3" s="12"/>
      <x:c r="L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5" t="s">
        <x:v>277</x:v>
      </x:c>
      <x:c r="B5" s="15"/>
      <x:c r="C5" s="15" t="s">
        <x:v>272</x:v>
      </x:c>
      <x:c r="D5" s="15"/>
      <x:c r="E5" s="15" t="s">
        <x:v>278</x:v>
      </x:c>
      <x:c r="F5" s="15"/>
      <x:c r="G5" s="15" t="s">
        <x:v>274</x:v>
      </x:c>
      <x:c r="H5" s="15"/>
      <x:c r="I5" s="15" t="s">
        <x:v>275</x:v>
      </x:c>
      <x:c r="J5" s="15"/>
      <x:c r="K5" s="12"/>
      <x:c r="L5" s="12"/>
    </x:row>
    <x:row r="6" ht="19.5">
      <x:c r="A6" s="21" t="n">
        <x:f>SUMIFS('جدول الاصول الثابته الجديد'!$G$6:$G$2004,'جدول الاصول الثابته الجديد'!$B$6:$B$2004,$B$3)</x:f>
        <x:v>2425.28</x:v>
      </x:c>
      <x:c r="B6" s="21"/>
      <x:c r="C6" s="21" t="n">
        <x:f>SUMIFS('جدول الاصول الثابته الجديد'!$J$6:$J$2004,'جدول الاصول الثابته الجديد'!$B$6:$B$2004,$B$3)</x:f>
        <x:v>837.2199452054795</x:v>
      </x:c>
      <x:c r="D6" s="21"/>
      <x:c r="E6" s="21" t="n">
        <x:f>SUMIFS('جدول الاصول الثابته الجديد'!$K$6:$K$2004,'جدول الاصول الثابته الجديد'!$B$6:$B$2004,$B$3)</x:f>
        <x:v>1588.0600547945207</x:v>
      </x:c>
      <x:c r="F6" s="21"/>
      <x:c r="G6" s="21" t="n">
        <x:f>SUMIFS('جدول الاصول الثابته الجديد'!$L$6:$L$2004,'جدول الاصول الثابته الجديد'!$B$6:$B$2004,$B$3)</x:f>
        <x:v>40.42133333333334</x:v>
      </x:c>
      <x:c r="H6" s="21"/>
      <x:c r="I6" s="22" t="n">
        <x:f>COUNTIFS('جدول الاصول الثابته الجديد'!$B$6:$B$2004,$B$3,'جدول الاصول الثابته الجديد'!$E$6:$E$2004,"&lt;&gt;")</x:f>
        <x:v>1</x:v>
      </x:c>
      <x:c r="J6" s="22"/>
      <x:c r="K6" s="12"/>
      <x:c r="L6" s="12"/>
    </x:row>
    <x:row r="7" ht="19.5">
      <x:c r="A7" s="21"/>
      <x:c r="B7" s="21"/>
      <x:c r="C7" s="21"/>
      <x:c r="D7" s="21"/>
      <x:c r="E7" s="21"/>
      <x:c r="F7" s="21"/>
      <x:c r="G7" s="21"/>
      <x:c r="H7" s="21"/>
      <x:c r="I7" s="22"/>
      <x:c r="J7" s="22"/>
      <x:c r="K7" s="12"/>
      <x:c r="L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 ht="27">
      <x:c r="A10" s="23" t="str">
        <x:v>اجهزة ومعدات طبية</x:v>
      </x:c>
      <x:c r="B10" s="23"/>
      <x:c r="C10" s="23"/>
      <x:c r="D10" s="23"/>
      <x:c r="E10" s="23"/>
      <x:c r="F10" s="23"/>
      <x:c r="G10" s="23" t="str">
        <x:v>السيارات</x:v>
      </x:c>
      <x:c r="H10" s="23"/>
      <x:c r="I10" s="23"/>
      <x:c r="J10" s="23"/>
      <x:c r="K10" s="23"/>
      <x:c r="L10" s="23"/>
    </x:row>
    <x:row r="11">
      <x:c r="A11" s="24" t="s">
        <x:v>275</x:v>
      </x:c>
      <x:c r="B11" s="24" t="s">
        <x:v>277</x:v>
      </x:c>
      <x:c r="C11" s="24" t="s">
        <x:v>272</x:v>
      </x:c>
      <x:c r="D11" s="24" t="s">
        <x:v>278</x:v>
      </x:c>
      <x:c r="E11" s="24" t="s">
        <x:v>279</x:v>
      </x:c>
      <x:c r="F11" s="24" t="s">
        <x:v>282</x:v>
      </x:c>
      <x:c r="G11" s="24" t="s">
        <x:v>275</x:v>
      </x:c>
      <x:c r="H11" s="24" t="s">
        <x:v>277</x:v>
      </x:c>
      <x:c r="I11" s="24" t="s">
        <x:v>272</x:v>
      </x:c>
      <x:c r="J11" s="24" t="s">
        <x:v>278</x:v>
      </x:c>
      <x:c r="K11" s="24" t="s">
        <x:v>279</x:v>
      </x:c>
      <x:c r="L11" s="24" t="s">
        <x:v>282</x:v>
      </x:c>
    </x:row>
    <x:row r="12" ht="15.75">
      <x:c r="A12" s="25" t="n">
        <x:f>COUNTIFS('جدول الاصول الثابته الجديد'!$B$6:$B$2004,$B$3,'جدول الاصول الثابته الجديد'!$C$6:$C$2004,"اجهزة ومعدات طبية",'جدول الاصول الثابته الجديد'!$E$6:$E$2004,"&lt;&gt;")</x:f>
        <x:v>0</x:v>
      </x:c>
      <x:c r="B12" s="26" t="n">
        <x:f>SUMIFS('جدول الاصول الثابته الجديد'!$G$6:$G$2004,'جدول الاصول الثابته الجديد'!$B$6:$B$2004,$B$3,'جدول الاصول الثابته الجديد'!$C$6:$C$2004,"اجهزة ومعدات طبية")</x:f>
        <x:v>0</x:v>
      </x:c>
      <x:c r="C12" s="26" t="n">
        <x:f>SUMIFS('جدول الاصول الثابته الجديد'!$J$6:$J$2004,'جدول الاصول الثابته الجديد'!$B$6:$B$2004,$B$3,'جدول الاصول الثابته الجديد'!$C$6:$C$2004,"اجهزة ومعدات طبية")</x:f>
        <x:v>0</x:v>
      </x:c>
      <x:c r="D12" s="26" t="n">
        <x:f>SUMIFS('جدول الاصول الثابته الجديد'!$K$6:$K$2004,'جدول الاصول الثابته الجديد'!$B$6:$B$2004,$B$3,'جدول الاصول الثابته الجديد'!$C$6:$C$2004,"اجهزة ومعدات طبية")</x:f>
        <x:v>0</x:v>
      </x:c>
      <x:c r="E12" s="26" t="n">
        <x:f>SUMIFS('جدول الاصول الثابته الجديد'!$L$6:$L$2004,'جدول الاصول الثابته الجديد'!$B$6:$B$2004,$B$3,'جدول الاصول الثابته الجديد'!$C$6:$C$2004,"اجهزة ومعدات طبية")</x:f>
        <x:v>0</x:v>
      </x:c>
      <x:c r="F12" s="27" t="n">
        <x:f>IFERROR(C12/B12,0)</x:f>
        <x:v>0</x:v>
      </x:c>
      <x:c r="G12" s="25" t="n">
        <x:f>COUNTIFS('جدول الاصول الثابته الجديد'!$B$6:$B$2004,$B$3,'جدول الاصول الثابته الجديد'!$C$6:$C$2004,"السيارات",'جدول الاصول الثابته الجديد'!$E$6:$E$2004,"&lt;&gt;")</x:f>
        <x:v>0</x:v>
      </x:c>
      <x:c r="H12" s="26" t="n">
        <x:f>SUMIFS('جدول الاصول الثابته الجديد'!$G$6:$G$2004,'جدول الاصول الثابته الجديد'!$B$6:$B$2004,$B$3,'جدول الاصول الثابته الجديد'!$C$6:$C$2004,"السيارات")</x:f>
        <x:v>0</x:v>
      </x:c>
      <x:c r="I12" s="26" t="n">
        <x:f>SUMIFS('جدول الاصول الثابته الجديد'!$J$6:$J$2004,'جدول الاصول الثابته الجديد'!$B$6:$B$2004,$B$3,'جدول الاصول الثابته الجديد'!$C$6:$C$2004,"السيارات")</x:f>
        <x:v>0</x:v>
      </x:c>
      <x:c r="J12" s="26" t="n">
        <x:f>SUMIFS('جدول الاصول الثابته الجديد'!$K$6:$K$2004,'جدول الاصول الثابته الجديد'!$B$6:$B$2004,$B$3,'جدول الاصول الثابته الجديد'!$C$6:$C$2004,"السيارات")</x:f>
        <x:v>0</x:v>
      </x:c>
      <x:c r="K12" s="26" t="n">
        <x:f>SUMIFS('جدول الاصول الثابته الجديد'!$L$6:$L$2004,'جدول الاصول الثابته الجديد'!$B$6:$B$2004,$B$3,'جدول الاصول الثابته الجديد'!$C$6:$C$2004,"السيارات")</x:f>
        <x:v>0</x:v>
      </x:c>
      <x:c r="L12" s="27" t="n">
        <x:f>IFERROR(I12/H12,0)</x:f>
        <x:v>0</x:v>
      </x:c>
    </x:row>
    <x:row r="13" ht="15.75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 ht="27">
      <x:c r="A18" s="23" t="str">
        <x:v>أثاث و مفروشات</x:v>
      </x:c>
      <x:c r="B18" s="23"/>
      <x:c r="C18" s="23"/>
      <x:c r="D18" s="23"/>
      <x:c r="E18" s="23"/>
      <x:c r="F18" s="23"/>
      <x:c r="G18" s="23" t="str">
        <x:v>أثاث و مفروشات السكن</x:v>
      </x:c>
      <x:c r="H18" s="23"/>
      <x:c r="I18" s="23"/>
      <x:c r="J18" s="23"/>
      <x:c r="K18" s="23"/>
      <x:c r="L18" s="23"/>
    </x:row>
    <x:row r="19">
      <x:c r="A19" s="24" t="s">
        <x:v>275</x:v>
      </x:c>
      <x:c r="B19" s="24" t="s">
        <x:v>277</x:v>
      </x:c>
      <x:c r="C19" s="24" t="s">
        <x:v>272</x:v>
      </x:c>
      <x:c r="D19" s="24" t="s">
        <x:v>278</x:v>
      </x:c>
      <x:c r="E19" s="24" t="s">
        <x:v>279</x:v>
      </x:c>
      <x:c r="F19" s="24" t="s">
        <x:v>282</x:v>
      </x:c>
      <x:c r="G19" s="24" t="s">
        <x:v>275</x:v>
      </x:c>
      <x:c r="H19" s="24" t="s">
        <x:v>277</x:v>
      </x:c>
      <x:c r="I19" s="24" t="s">
        <x:v>272</x:v>
      </x:c>
      <x:c r="J19" s="24" t="s">
        <x:v>278</x:v>
      </x:c>
      <x:c r="K19" s="24" t="s">
        <x:v>279</x:v>
      </x:c>
      <x:c r="L19" s="24" t="s">
        <x:v>282</x:v>
      </x:c>
    </x:row>
    <x:row r="20" ht="15.75">
      <x:c r="A20" s="25" t="n">
        <x:f>COUNTIFS('جدول الاصول الثابته الجديد'!$B$6:$B$2004,$B$3,'جدول الاصول الثابته الجديد'!$C$6:$C$2004,"أثاث و مفروشات",'جدول الاصول الثابته الجديد'!$E$6:$E$2004,"&lt;&gt;")</x:f>
        <x:v>0</x:v>
      </x:c>
      <x:c r="B20" s="26" t="n">
        <x:f>SUMIFS('جدول الاصول الثابته الجديد'!$G$6:$G$2004,'جدول الاصول الثابته الجديد'!$B$6:$B$2004,$B$3,'جدول الاصول الثابته الجديد'!$C$6:$C$2004,"أثاث و مفروشات")</x:f>
        <x:v>0</x:v>
      </x:c>
      <x:c r="C20" s="26" t="n">
        <x:f>SUMIFS('جدول الاصول الثابته الجديد'!$J$6:$J$2004,'جدول الاصول الثابته الجديد'!$B$6:$B$2004,$B$3,'جدول الاصول الثابته الجديد'!$C$6:$C$2004,"أثاث و مفروشات")</x:f>
        <x:v>0</x:v>
      </x:c>
      <x:c r="D20" s="26" t="n">
        <x:f>SUMIFS('جدول الاصول الثابته الجديد'!$K$6:$K$2004,'جدول الاصول الثابته الجديد'!$B$6:$B$2004,$B$3,'جدول الاصول الثابته الجديد'!$C$6:$C$2004,"أثاث و مفروشات")</x:f>
        <x:v>0</x:v>
      </x:c>
      <x:c r="E20" s="26" t="n">
        <x:f>SUMIFS('جدول الاصول الثابته الجديد'!$L$6:$L$2004,'جدول الاصول الثابته الجديد'!$B$6:$B$2004,$B$3,'جدول الاصول الثابته الجديد'!$C$6:$C$2004,"أثاث و مفروشات")</x:f>
        <x:v>0</x:v>
      </x:c>
      <x:c r="F20" s="27" t="n">
        <x:f>IFERROR(C20/B20,0)</x:f>
        <x:v>0</x:v>
      </x:c>
      <x:c r="G20" s="25" t="n">
        <x:f>COUNTIFS('جدول الاصول الثابته الجديد'!$B$6:$B$2004,$B$3,'جدول الاصول الثابته الجديد'!$C$6:$C$2004,"أثاث و مفروشات السكن",'جدول الاصول الثابته الجديد'!$E$6:$E$2004,"&lt;&gt;")</x:f>
        <x:v>0</x:v>
      </x:c>
      <x:c r="H20" s="26" t="n">
        <x:f>SUMIFS('جدول الاصول الثابته الجديد'!$G$6:$G$2004,'جدول الاصول الثابته الجديد'!$B$6:$B$2004,$B$3,'جدول الاصول الثابته الجديد'!$C$6:$C$2004,"أثاث و مفروشات السكن")</x:f>
        <x:v>0</x:v>
      </x:c>
      <x:c r="I20" s="26" t="n">
        <x:f>SUMIFS('جدول الاصول الثابته الجديد'!$J$6:$J$2004,'جدول الاصول الثابته الجديد'!$B$6:$B$2004,$B$3,'جدول الاصول الثابته الجديد'!$C$6:$C$2004,"أثاث و مفروشات السكن")</x:f>
        <x:v>0</x:v>
      </x:c>
      <x:c r="J20" s="26" t="n">
        <x:f>SUMIFS('جدول الاصول الثابته الجديد'!$K$6:$K$2004,'جدول الاصول الثابته الجديد'!$B$6:$B$2004,$B$3,'جدول الاصول الثابته الجديد'!$C$6:$C$2004,"أثاث و مفروشات السكن")</x:f>
        <x:v>0</x:v>
      </x:c>
      <x:c r="K20" s="26" t="n">
        <x:f>SUMIFS('جدول الاصول الثابته الجديد'!$L$6:$L$2004,'جدول الاصول الثابته الجديد'!$B$6:$B$2004,$B$3,'جدول الاصول الثابته الجديد'!$C$6:$C$2004,"أثاث و مفروشات السكن")</x:f>
        <x:v>0</x:v>
      </x:c>
      <x:c r="L20" s="27" t="n">
        <x:f>IFERROR(I20/H20,0)</x:f>
        <x:v>0</x:v>
      </x:c>
    </x:row>
    <x:row r="21" ht="15.75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 ht="40.5">
      <x:c r="A26" s="23" t="str">
        <x:v>الاجهزة الالكترونية والحاسب الالي وملحقاته</x:v>
      </x:c>
      <x:c r="B26" s="23"/>
      <x:c r="C26" s="23"/>
      <x:c r="D26" s="23"/>
      <x:c r="E26" s="23"/>
      <x:c r="F26" s="23"/>
      <x:c r="G26" s="23" t="str">
        <x:v>الاجهزة الكهربائية</x:v>
      </x:c>
      <x:c r="H26" s="23"/>
      <x:c r="I26" s="23"/>
      <x:c r="J26" s="23"/>
      <x:c r="K26" s="23"/>
      <x:c r="L26" s="23"/>
    </x:row>
    <x:row r="27">
      <x:c r="A27" s="24" t="s">
        <x:v>275</x:v>
      </x:c>
      <x:c r="B27" s="24" t="s">
        <x:v>277</x:v>
      </x:c>
      <x:c r="C27" s="24" t="s">
        <x:v>272</x:v>
      </x:c>
      <x:c r="D27" s="24" t="s">
        <x:v>278</x:v>
      </x:c>
      <x:c r="E27" s="24" t="s">
        <x:v>279</x:v>
      </x:c>
      <x:c r="F27" s="24" t="s">
        <x:v>282</x:v>
      </x:c>
      <x:c r="G27" s="24" t="s">
        <x:v>275</x:v>
      </x:c>
      <x:c r="H27" s="24" t="s">
        <x:v>277</x:v>
      </x:c>
      <x:c r="I27" s="24" t="s">
        <x:v>272</x:v>
      </x:c>
      <x:c r="J27" s="24" t="s">
        <x:v>278</x:v>
      </x:c>
      <x:c r="K27" s="24" t="s">
        <x:v>279</x:v>
      </x:c>
      <x:c r="L27" s="24" t="s">
        <x:v>282</x:v>
      </x:c>
    </x:row>
    <x:row r="28" ht="15.75">
      <x:c r="A28" s="25" t="n">
        <x:f>COUNTIFS('جدول الاصول الثابته الجديد'!$B$6:$B$2004,$B$3,'جدول الاصول الثابته الجديد'!$C$6:$C$2004,"الاجهزة الالكترونية والحاسب الالي وملحقاته",'جدول الاصول الثابته الجديد'!$E$6:$E$2004,"&lt;&gt;")</x:f>
        <x:v>0</x:v>
      </x:c>
      <x:c r="B28" s="26" t="n">
        <x:f>SUMIFS('جدول الاصول الثابته الجديد'!$G$6:$G$2004,'جدول الاصول الثابته الجديد'!$B$6:$B$2004,$B$3,'جدول الاصول الثابته الجديد'!$C$6:$C$2004,"الاجهزة الالكترونية والحاسب الالي وملحقاته")</x:f>
        <x:v>0</x:v>
      </x:c>
      <x:c r="C28" s="26" t="n">
        <x:f>SUMIFS('جدول الاصول الثابته الجديد'!$J$6:$J$2004,'جدول الاصول الثابته الجديد'!$B$6:$B$2004,$B$3,'جدول الاصول الثابته الجديد'!$C$6:$C$2004,"الاجهزة الالكترونية والحاسب الالي وملحقاته")</x:f>
        <x:v>0</x:v>
      </x:c>
      <x:c r="D28" s="26" t="n">
        <x:f>SUMIFS('جدول الاصول الثابته الجديد'!$K$6:$K$2004,'جدول الاصول الثابته الجديد'!$B$6:$B$2004,$B$3,'جدول الاصول الثابته الجديد'!$C$6:$C$2004,"الاجهزة الالكترونية والحاسب الالي وملحقاته")</x:f>
        <x:v>0</x:v>
      </x:c>
      <x:c r="E28" s="26" t="n">
        <x:f>SUMIFS('جدول الاصول الثابته الجديد'!$L$6:$L$2004,'جدول الاصول الثابته الجديد'!$B$6:$B$2004,$B$3,'جدول الاصول الثابته الجديد'!$C$6:$C$2004,"الاجهزة الالكترونية والحاسب الالي وملحقاته")</x:f>
        <x:v>0</x:v>
      </x:c>
      <x:c r="F28" s="27" t="n">
        <x:f>IFERROR(C28/B28,0)</x:f>
        <x:v>0</x:v>
      </x:c>
      <x:c r="G28" s="25" t="n">
        <x:f>COUNTIFS('جدول الاصول الثابته الجديد'!$B$6:$B$2004,$B$3,'جدول الاصول الثابته الجديد'!$C$6:$C$2004,"الاجهزة الكهربائية",'جدول الاصول الثابته الجديد'!$E$6:$E$2004,"&lt;&gt;")</x:f>
        <x:v>1</x:v>
      </x:c>
      <x:c r="H28" s="26" t="n">
        <x:f>SUMIFS('جدول الاصول الثابته الجديد'!$G$6:$G$2004,'جدول الاصول الثابته الجديد'!$B$6:$B$2004,$B$3,'جدول الاصول الثابته الجديد'!$C$6:$C$2004,"الاجهزة الكهربائية")</x:f>
        <x:v>2425.28</x:v>
      </x:c>
      <x:c r="I28" s="26" t="n">
        <x:f>SUMIFS('جدول الاصول الثابته الجديد'!$J$6:$J$2004,'جدول الاصول الثابته الجديد'!$B$6:$B$2004,$B$3,'جدول الاصول الثابته الجديد'!$C$6:$C$2004,"الاجهزة الكهربائية")</x:f>
        <x:v>837.2199452054795</x:v>
      </x:c>
      <x:c r="J28" s="26" t="n">
        <x:f>SUMIFS('جدول الاصول الثابته الجديد'!$K$6:$K$2004,'جدول الاصول الثابته الجديد'!$B$6:$B$2004,$B$3,'جدول الاصول الثابته الجديد'!$C$6:$C$2004,"الاجهزة الكهربائية")</x:f>
        <x:v>1588.0600547945207</x:v>
      </x:c>
      <x:c r="K28" s="26" t="n">
        <x:f>SUMIFS('جدول الاصول الثابته الجديد'!$L$6:$L$2004,'جدول الاصول الثابته الجديد'!$B$6:$B$2004,$B$3,'جدول الاصول الثابته الجديد'!$C$6:$C$2004,"الاجهزة الكهربائية")</x:f>
        <x:v>40.42133333333334</x:v>
      </x:c>
      <x:c r="L28" s="27" t="n">
        <x:f>IFERROR(I28/H28,0)</x:f>
        <x:v>0.34520547945205476</x:v>
      </x:c>
    </x:row>
    <x:row r="29" ht="15.75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 ht="27">
      <x:c r="A34" s="23" t="str">
        <x:v>تحسينات على مباني</x:v>
      </x:c>
      <x:c r="B34" s="23"/>
      <x:c r="C34" s="23"/>
      <x:c r="D34" s="23"/>
      <x:c r="E34" s="23"/>
      <x:c r="F34" s="23"/>
      <x:c r="G34" s="23" t="str">
        <x:v>اجهزة التكييف</x:v>
      </x:c>
      <x:c r="H34" s="23"/>
      <x:c r="I34" s="23"/>
      <x:c r="J34" s="23"/>
      <x:c r="K34" s="23"/>
      <x:c r="L34" s="23"/>
    </x:row>
    <x:row r="35">
      <x:c r="A35" s="24" t="s">
        <x:v>275</x:v>
      </x:c>
      <x:c r="B35" s="24" t="s">
        <x:v>277</x:v>
      </x:c>
      <x:c r="C35" s="24" t="s">
        <x:v>272</x:v>
      </x:c>
      <x:c r="D35" s="24" t="s">
        <x:v>278</x:v>
      </x:c>
      <x:c r="E35" s="24" t="s">
        <x:v>279</x:v>
      </x:c>
      <x:c r="F35" s="24" t="s">
        <x:v>282</x:v>
      </x:c>
      <x:c r="G35" s="24" t="s">
        <x:v>275</x:v>
      </x:c>
      <x:c r="H35" s="24" t="s">
        <x:v>277</x:v>
      </x:c>
      <x:c r="I35" s="24" t="s">
        <x:v>272</x:v>
      </x:c>
      <x:c r="J35" s="24" t="s">
        <x:v>278</x:v>
      </x:c>
      <x:c r="K35" s="24" t="s">
        <x:v>279</x:v>
      </x:c>
      <x:c r="L35" s="24" t="s">
        <x:v>282</x:v>
      </x:c>
    </x:row>
    <x:row r="36" ht="15.75">
      <x:c r="A36" s="25" t="n">
        <x:f>COUNTIFS('جدول الاصول الثابته الجديد'!$B$6:$B$2004,$B$3,'جدول الاصول الثابته الجديد'!$C$6:$C$2004,"تحسينات على مباني",'جدول الاصول الثابته الجديد'!$E$6:$E$2004,"&lt;&gt;")</x:f>
        <x:v>0</x:v>
      </x:c>
      <x:c r="B36" s="26" t="n">
        <x:f>SUMIFS('جدول الاصول الثابته الجديد'!$G$6:$G$2004,'جدول الاصول الثابته الجديد'!$B$6:$B$2004,$B$3,'جدول الاصول الثابته الجديد'!$C$6:$C$2004,"تحسينات على مباني")</x:f>
        <x:v>0</x:v>
      </x:c>
      <x:c r="C36" s="26" t="n">
        <x:f>SUMIFS('جدول الاصول الثابته الجديد'!$J$6:$J$2004,'جدول الاصول الثابته الجديد'!$B$6:$B$2004,$B$3,'جدول الاصول الثابته الجديد'!$C$6:$C$2004,"تحسينات على مباني")</x:f>
        <x:v>0</x:v>
      </x:c>
      <x:c r="D36" s="26" t="n">
        <x:f>SUMIFS('جدول الاصول الثابته الجديد'!$K$6:$K$2004,'جدول الاصول الثابته الجديد'!$B$6:$B$2004,$B$3,'جدول الاصول الثابته الجديد'!$C$6:$C$2004,"تحسينات على مباني")</x:f>
        <x:v>0</x:v>
      </x:c>
      <x:c r="E36" s="26" t="n">
        <x:f>SUMIFS('جدول الاصول الثابته الجديد'!$L$6:$L$2004,'جدول الاصول الثابته الجديد'!$B$6:$B$2004,$B$3,'جدول الاصول الثابته الجديد'!$C$6:$C$2004,"تحسينات على مباني")</x:f>
        <x:v>0</x:v>
      </x:c>
      <x:c r="F36" s="27" t="n">
        <x:f>IFERROR(C36/B36,0)</x:f>
        <x:v>0</x:v>
      </x:c>
      <x:c r="G36" s="25" t="n">
        <x:f>COUNTIFS('جدول الاصول الثابته الجديد'!$B$6:$B$2004,$B$3,'جدول الاصول الثابته الجديد'!$C$6:$C$2004,"اجهزة التكييف",'جدول الاصول الثابته الجديد'!$E$6:$E$2004,"&lt;&gt;")</x:f>
        <x:v>0</x:v>
      </x:c>
      <x:c r="H36" s="26" t="n">
        <x:f>SUMIFS('جدول الاصول الثابته الجديد'!$G$6:$G$2004,'جدول الاصول الثابته الجديد'!$B$6:$B$2004,$B$3,'جدول الاصول الثابته الجديد'!$C$6:$C$2004,"اجهزة التكييف")</x:f>
        <x:v>0</x:v>
      </x:c>
      <x:c r="I36" s="26" t="n">
        <x:f>SUMIFS('جدول الاصول الثابته الجديد'!$J$6:$J$2004,'جدول الاصول الثابته الجديد'!$B$6:$B$2004,$B$3,'جدول الاصول الثابته الجديد'!$C$6:$C$2004,"اجهزة التكييف")</x:f>
        <x:v>0</x:v>
      </x:c>
      <x:c r="J36" s="26" t="n">
        <x:f>SUMIFS('جدول الاصول الثابته الجديد'!$K$6:$K$2004,'جدول الاصول الثابته الجديد'!$B$6:$B$2004,$B$3,'جدول الاصول الثابته الجديد'!$C$6:$C$2004,"اجهزة التكييف")</x:f>
        <x:v>0</x:v>
      </x:c>
      <x:c r="K36" s="26" t="n">
        <x:f>SUMIFS('جدول الاصول الثابته الجديد'!$L$6:$L$2004,'جدول الاصول الثابته الجديد'!$B$6:$B$2004,$B$3,'جدول الاصول الثابته الجديد'!$C$6:$C$2004,"اجهزة التكييف")</x:f>
        <x:v>0</x:v>
      </x:c>
      <x:c r="L36" s="27" t="n">
        <x:f>IFERROR(I36/H36,0)</x:f>
        <x:v>0</x:v>
      </x:c>
    </x:row>
    <x:row r="37" ht="15.75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 ht="27">
      <x:c r="A42" s="23" t="str">
        <x:v>ديكورات</x:v>
      </x:c>
      <x:c r="B42" s="23"/>
      <x:c r="C42" s="23"/>
      <x:c r="D42" s="23"/>
      <x:c r="E42" s="23"/>
      <x:c r="F42" s="23"/>
      <x:c r="G42" s="23" t="str">
        <x:v>البرامج والأنظمة</x:v>
      </x:c>
      <x:c r="H42" s="23"/>
      <x:c r="I42" s="23"/>
      <x:c r="J42" s="23"/>
      <x:c r="K42" s="23"/>
      <x:c r="L42" s="23"/>
    </x:row>
    <x:row r="43">
      <x:c r="A43" s="24" t="s">
        <x:v>275</x:v>
      </x:c>
      <x:c r="B43" s="24" t="s">
        <x:v>277</x:v>
      </x:c>
      <x:c r="C43" s="24" t="s">
        <x:v>272</x:v>
      </x:c>
      <x:c r="D43" s="24" t="s">
        <x:v>278</x:v>
      </x:c>
      <x:c r="E43" s="24" t="s">
        <x:v>279</x:v>
      </x:c>
      <x:c r="F43" s="24" t="s">
        <x:v>282</x:v>
      </x:c>
      <x:c r="G43" s="24" t="s">
        <x:v>275</x:v>
      </x:c>
      <x:c r="H43" s="24" t="s">
        <x:v>277</x:v>
      </x:c>
      <x:c r="I43" s="24" t="s">
        <x:v>272</x:v>
      </x:c>
      <x:c r="J43" s="24" t="s">
        <x:v>278</x:v>
      </x:c>
      <x:c r="K43" s="24" t="s">
        <x:v>279</x:v>
      </x:c>
      <x:c r="L43" s="24" t="s">
        <x:v>282</x:v>
      </x:c>
    </x:row>
    <x:row r="44" ht="15.75">
      <x:c r="A44" s="25" t="n">
        <x:f>COUNTIFS('جدول الاصول الثابته الجديد'!$B$6:$B$2004,$B$3,'جدول الاصول الثابته الجديد'!$C$6:$C$2004,"ديكورات",'جدول الاصول الثابته الجديد'!$E$6:$E$2004,"&lt;&gt;")</x:f>
        <x:v>0</x:v>
      </x:c>
      <x:c r="B44" s="26" t="n">
        <x:f>SUMIFS('جدول الاصول الثابته الجديد'!$G$6:$G$2004,'جدول الاصول الثابته الجديد'!$B$6:$B$2004,$B$3,'جدول الاصول الثابته الجديد'!$C$6:$C$2004,"ديكورات")</x:f>
        <x:v>0</x:v>
      </x:c>
      <x:c r="C44" s="26" t="n">
        <x:f>SUMIFS('جدول الاصول الثابته الجديد'!$J$6:$J$2004,'جدول الاصول الثابته الجديد'!$B$6:$B$2004,$B$3,'جدول الاصول الثابته الجديد'!$C$6:$C$2004,"ديكورات")</x:f>
        <x:v>0</x:v>
      </x:c>
      <x:c r="D44" s="26" t="n">
        <x:f>SUMIFS('جدول الاصول الثابته الجديد'!$K$6:$K$2004,'جدول الاصول الثابته الجديد'!$B$6:$B$2004,$B$3,'جدول الاصول الثابته الجديد'!$C$6:$C$2004,"ديكورات")</x:f>
        <x:v>0</x:v>
      </x:c>
      <x:c r="E44" s="26" t="n">
        <x:f>SUMIFS('جدول الاصول الثابته الجديد'!$L$6:$L$2004,'جدول الاصول الثابته الجديد'!$B$6:$B$2004,$B$3,'جدول الاصول الثابته الجديد'!$C$6:$C$2004,"ديكورات")</x:f>
        <x:v>0</x:v>
      </x:c>
      <x:c r="F44" s="27" t="n">
        <x:f>IFERROR(C44/B44,0)</x:f>
        <x:v>0</x:v>
      </x:c>
      <x:c r="G44" s="25" t="n">
        <x:f>COUNTIFS('جدول الاصول الثابته الجديد'!$B$6:$B$2004,$B$3,'جدول الاصول الثابته الجديد'!$C$6:$C$2004,"البرامج والأنظمة",'جدول الاصول الثابته الجديد'!$E$6:$E$2004,"&lt;&gt;")</x:f>
        <x:v>0</x:v>
      </x:c>
      <x:c r="H44" s="26" t="n">
        <x:f>SUMIFS('جدول الاصول الثابته الجديد'!$G$6:$G$2004,'جدول الاصول الثابته الجديد'!$B$6:$B$2004,$B$3,'جدول الاصول الثابته الجديد'!$C$6:$C$2004,"البرامج والأنظمة")</x:f>
        <x:v>0</x:v>
      </x:c>
      <x:c r="I44" s="26" t="n">
        <x:f>SUMIFS('جدول الاصول الثابته الجديد'!$J$6:$J$2004,'جدول الاصول الثابته الجديد'!$B$6:$B$2004,$B$3,'جدول الاصول الثابته الجديد'!$C$6:$C$2004,"البرامج والأنظمة")</x:f>
        <x:v>0</x:v>
      </x:c>
      <x:c r="J44" s="26" t="n">
        <x:f>SUMIFS('جدول الاصول الثابته الجديد'!$K$6:$K$2004,'جدول الاصول الثابته الجديد'!$B$6:$B$2004,$B$3,'جدول الاصول الثابته الجديد'!$C$6:$C$2004,"البرامج والأنظمة")</x:f>
        <x:v>0</x:v>
      </x:c>
      <x:c r="K44" s="26" t="n">
        <x:f>SUMIFS('جدول الاصول الثابته الجديد'!$L$6:$L$2004,'جدول الاصول الثابته الجديد'!$B$6:$B$2004,$B$3,'جدول الاصول الثابته الجديد'!$C$6:$C$2004,"البرامج والأنظمة")</x:f>
        <x:v>0</x:v>
      </x:c>
      <x:c r="L44" s="27" t="n">
        <x:f>IFERROR(I44/H44,0)</x:f>
        <x:v>0</x:v>
      </x:c>
    </x:row>
    <x:row r="45" ht="15.7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 ht="40.5">
      <x:c r="A50" s="23"/>
      <x:c r="B50" s="23"/>
      <x:c r="C50" s="23"/>
      <x:c r="D50" s="23"/>
      <x:c r="E50" s="23"/>
      <x:c r="F50" s="23"/>
      <x:c r="G50" s="12"/>
      <x:c r="H50" s="12"/>
      <x:c r="I50" s="12"/>
      <x:c r="J50" s="12"/>
      <x:c r="K50" s="12"/>
      <x:c r="L50" s="12"/>
    </x:row>
    <x:row r="51">
      <x:c r="A51" s="24"/>
      <x:c r="B51" s="24"/>
      <x:c r="C51" s="24"/>
      <x:c r="D51" s="24"/>
      <x:c r="E51" s="24"/>
      <x:c r="F51" s="24"/>
      <x:c r="G51" s="12"/>
      <x:c r="H51" s="12"/>
      <x:c r="I51" s="12"/>
      <x:c r="J51" s="12"/>
      <x:c r="K51" s="12"/>
      <x:c r="L51" s="12"/>
    </x:row>
    <x:row r="52" ht="15.75">
      <x:c r="A52" s="25"/>
      <x:c r="B52" s="26"/>
      <x:c r="C52" s="26"/>
      <x:c r="D52" s="26"/>
      <x:c r="E52" s="26"/>
      <x:c r="F52" s="27"/>
      <x:c r="G52" s="12"/>
      <x:c r="H52" s="12"/>
      <x:c r="I52" s="12"/>
      <x:c r="J52" s="12"/>
      <x:c r="K52" s="12"/>
      <x:c r="L52" s="12"/>
    </x:row>
    <x:row r="53" ht="15.75">
      <x:c r="A53" s="25"/>
      <x:c r="B53" s="25"/>
      <x:c r="C53" s="25"/>
      <x:c r="D53" s="25"/>
      <x:c r="E53" s="25"/>
      <x:c r="F53" s="25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</x:sheetData>
  <x:conditionalFormatting sqref="B12:B12">
    <x:cfRule type="dataBar" priority="1">
      <x:dataBar>
        <x:cfvo type="min"/>
        <x:cfvo type="max"/>
        <x:color rgb="FF0F6E4F"/>
      </x:dataBar>
    </x:cfRule>
    <x:cfRule type="dataBar" priority="67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{690DCC5E-B99F-A15B-94F4-94A1AA432FF0}</x14:id>
        </x:ext>
      </x:extLst>
    </x:cfRule>
    <x:cfRule type="dataBar" priority="45">
      <x:dataBar>
        <x:cfvo type="min"/>
        <x:cfvo type="max"/>
        <x:color rgb="FF0F6E4F"/>
      </x:dataBar>
    </x:cfRule>
    <x:cfRule type="dataBar" priority="23">
      <x:dataBar>
        <x:cfvo type="min"/>
        <x:cfvo type="max"/>
        <x:color rgb="FF0F6E4F"/>
      </x:dataBar>
    </x:cfRule>
  </x:conditionalFormatting>
  <x:conditionalFormatting sqref="B20:B20">
    <x:cfRule type="dataBar" priority="27">
      <x:dataBar>
        <x:cfvo type="min"/>
        <x:cfvo type="max"/>
        <x:color rgb="FF0F6E4F"/>
      </x:dataBar>
    </x:cfRule>
    <x:cfRule type="dataBar" priority="5">
      <x:dataBar>
        <x:cfvo type="min"/>
        <x:cfvo type="max"/>
        <x:color rgb="FF0F6E4F"/>
      </x:dataBar>
    </x:cfRule>
    <x:cfRule type="dataBar" priority="46">
      <x:dataBar>
        <x:cfvo type="min"/>
        <x:cfvo type="max"/>
        <x:color rgb="FF0F6E4F"/>
      </x:dataBar>
    </x:cfRule>
    <x:cfRule type="dataBar" priority="68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{D428CCB2-CE6A-9D48-61A9-0654F3C49839}</x14:id>
        </x:ext>
      </x:extLst>
    </x:cfRule>
  </x:conditionalFormatting>
  <x:conditionalFormatting sqref="B28:B28">
    <x:cfRule type="dataBar" priority="31">
      <x:dataBar>
        <x:cfvo type="min"/>
        <x:cfvo type="max"/>
        <x:color rgb="FF0F6E4F"/>
      </x:dataBar>
    </x:cfRule>
    <x:cfRule type="dataBar" priority="9">
      <x:dataBar>
        <x:cfvo type="min"/>
        <x:cfvo type="max"/>
        <x:color rgb="FF0F6E4F"/>
      </x:dataBar>
    </x:cfRule>
    <x:cfRule type="dataBar" priority="47">
      <x:dataBar>
        <x:cfvo type="min"/>
        <x:cfvo type="max"/>
        <x:color rgb="FF0F6E4F"/>
      </x:dataBar>
    </x:cfRule>
    <x:cfRule type="dataBar" priority="69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{646CB4C3-DC13-6CE6-29D9-99FCB14CE656}</x14:id>
        </x:ext>
      </x:extLst>
    </x:cfRule>
  </x:conditionalFormatting>
  <x:conditionalFormatting sqref="B36:B36">
    <x:cfRule type="dataBar" priority="35">
      <x:dataBar>
        <x:cfvo type="min"/>
        <x:cfvo type="max"/>
        <x:color rgb="FF0F6E4F"/>
      </x:dataBar>
    </x:cfRule>
    <x:cfRule type="dataBar" priority="70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{C3793D2D-86FD-7411-232F-79392DF73E53}</x14:id>
        </x:ext>
      </x:extLst>
    </x:cfRule>
    <x:cfRule type="dataBar" priority="13">
      <x:dataBar>
        <x:cfvo type="min"/>
        <x:cfvo type="max"/>
        <x:color rgb="FF0F6E4F"/>
      </x:dataBar>
    </x:cfRule>
    <x:cfRule type="dataBar" priority="48">
      <x:dataBar>
        <x:cfvo type="min"/>
        <x:cfvo type="max"/>
        <x:color rgb="FF0F6E4F"/>
      </x:dataBar>
    </x:cfRule>
  </x:conditionalFormatting>
  <x:conditionalFormatting sqref="B44:B44">
    <x:cfRule type="dataBar" priority="71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{DCFEFBE4-D2B1-0F62-6DAE-4B164C396FF1}</x14:id>
        </x:ext>
      </x:extLst>
    </x:cfRule>
    <x:cfRule type="dataBar" priority="17">
      <x:dataBar>
        <x:cfvo type="min"/>
        <x:cfvo type="max"/>
        <x:color rgb="FF0F6E4F"/>
      </x:dataBar>
    </x:cfRule>
    <x:cfRule type="dataBar" priority="39">
      <x:dataBar>
        <x:cfvo type="min"/>
        <x:cfvo type="max"/>
        <x:color rgb="FF0F6E4F"/>
      </x:dataBar>
    </x:cfRule>
    <x:cfRule type="dataBar" priority="49">
      <x:dataBar>
        <x:cfvo type="min"/>
        <x:cfvo type="max"/>
        <x:color rgb="FF0F6E4F"/>
      </x:dataBar>
    </x:cfRule>
  </x:conditionalFormatting>
  <x:conditionalFormatting sqref="B52:B52">
    <x:cfRule type="dataBar" priority="72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{40D8EA19-0F1A-9FD1-72CC-9D84CD68BEA1}</x14:id>
        </x:ext>
      </x:extLst>
    </x:cfRule>
    <x:cfRule type="dataBar" priority="43">
      <x:dataBar>
        <x:cfvo type="min"/>
        <x:cfvo type="max"/>
        <x:color rgb="FF0F6E4F"/>
      </x:dataBar>
    </x:cfRule>
    <x:cfRule type="dataBar" priority="21">
      <x:dataBar>
        <x:cfvo type="min"/>
        <x:cfvo type="max"/>
        <x:color rgb="FF0F6E4F"/>
      </x:dataBar>
    </x:cfRule>
    <x:cfRule type="dataBar" priority="50">
      <x:dataBar>
        <x:cfvo type="min"/>
        <x:cfvo type="max"/>
        <x:color rgb="FF0F6E4F"/>
      </x:dataBar>
    </x:cfRule>
  </x:conditionalFormatting>
  <x:conditionalFormatting sqref="D12:D12">
    <x:cfRule type="dataBar" priority="2">
      <x:dataBar>
        <x:cfvo type="min"/>
        <x:cfvo type="max"/>
        <x:color rgb="FFC8A951"/>
      </x:dataBar>
    </x:cfRule>
    <x:cfRule type="dataBar" priority="73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{4C662342-CAFD-6FE9-8EE1-D989A7F36C7B}</x14:id>
        </x:ext>
      </x:extLst>
    </x:cfRule>
    <x:cfRule type="dataBar" priority="51">
      <x:dataBar>
        <x:cfvo type="min"/>
        <x:cfvo type="max"/>
        <x:color rgb="FFC8A951"/>
      </x:dataBar>
    </x:cfRule>
    <x:cfRule type="dataBar" priority="24">
      <x:dataBar>
        <x:cfvo type="min"/>
        <x:cfvo type="max"/>
        <x:color rgb="FFC8A951"/>
      </x:dataBar>
    </x:cfRule>
  </x:conditionalFormatting>
  <x:conditionalFormatting sqref="D20:D20">
    <x:cfRule type="dataBar" priority="74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{11366895-8AAA-6042-4CA2-1CCDD4C842F9}</x14:id>
        </x:ext>
      </x:extLst>
    </x:cfRule>
    <x:cfRule type="dataBar" priority="52">
      <x:dataBar>
        <x:cfvo type="min"/>
        <x:cfvo type="max"/>
        <x:color rgb="FFC8A951"/>
      </x:dataBar>
    </x:cfRule>
    <x:cfRule type="dataBar" priority="28">
      <x:dataBar>
        <x:cfvo type="min"/>
        <x:cfvo type="max"/>
        <x:color rgb="FFC8A951"/>
      </x:dataBar>
    </x:cfRule>
    <x:cfRule type="dataBar" priority="6">
      <x:dataBar>
        <x:cfvo type="min"/>
        <x:cfvo type="max"/>
        <x:color rgb="FFC8A951"/>
      </x:dataBar>
    </x:cfRule>
  </x:conditionalFormatting>
  <x:conditionalFormatting sqref="D28:D28">
    <x:cfRule type="dataBar" priority="53">
      <x:dataBar>
        <x:cfvo type="min"/>
        <x:cfvo type="max"/>
        <x:color rgb="FFC8A951"/>
      </x:dataBar>
    </x:cfRule>
    <x:cfRule type="dataBar" priority="32">
      <x:dataBar>
        <x:cfvo type="min"/>
        <x:cfvo type="max"/>
        <x:color rgb="FFC8A951"/>
      </x:dataBar>
    </x:cfRule>
    <x:cfRule type="dataBar" priority="10">
      <x:dataBar>
        <x:cfvo type="min"/>
        <x:cfvo type="max"/>
        <x:color rgb="FFC8A951"/>
      </x:dataBar>
    </x:cfRule>
    <x:cfRule type="dataBar" priority="75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{A6A3980E-68FB-09C9-8A65-F9C05562DF3D}</x14:id>
        </x:ext>
      </x:extLst>
    </x:cfRule>
  </x:conditionalFormatting>
  <x:conditionalFormatting sqref="D36:D36">
    <x:cfRule type="dataBar" priority="54">
      <x:dataBar>
        <x:cfvo type="min"/>
        <x:cfvo type="max"/>
        <x:color rgb="FFC8A951"/>
      </x:dataBar>
    </x:cfRule>
    <x:cfRule type="dataBar" priority="36">
      <x:dataBar>
        <x:cfvo type="min"/>
        <x:cfvo type="max"/>
        <x:color rgb="FFC8A951"/>
      </x:dataBar>
    </x:cfRule>
    <x:cfRule type="dataBar" priority="14">
      <x:dataBar>
        <x:cfvo type="min"/>
        <x:cfvo type="max"/>
        <x:color rgb="FFC8A951"/>
      </x:dataBar>
    </x:cfRule>
    <x:cfRule type="dataBar" priority="76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{1F39F0E5-AE0F-3609-5381-3D24DE8B5427}</x14:id>
        </x:ext>
      </x:extLst>
    </x:cfRule>
  </x:conditionalFormatting>
  <x:conditionalFormatting sqref="D44:D44">
    <x:cfRule type="dataBar" priority="55">
      <x:dataBar>
        <x:cfvo type="min"/>
        <x:cfvo type="max"/>
        <x:color rgb="FFC8A951"/>
      </x:dataBar>
    </x:cfRule>
    <x:cfRule type="dataBar" priority="77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{6F86B3B5-094B-F651-08B8-93FF720A4A43}</x14:id>
        </x:ext>
      </x:extLst>
    </x:cfRule>
    <x:cfRule type="dataBar" priority="18">
      <x:dataBar>
        <x:cfvo type="min"/>
        <x:cfvo type="max"/>
        <x:color rgb="FFC8A951"/>
      </x:dataBar>
    </x:cfRule>
    <x:cfRule type="dataBar" priority="40">
      <x:dataBar>
        <x:cfvo type="min"/>
        <x:cfvo type="max"/>
        <x:color rgb="FFC8A951"/>
      </x:dataBar>
    </x:cfRule>
  </x:conditionalFormatting>
  <x:conditionalFormatting sqref="D52:D52">
    <x:cfRule type="dataBar" priority="56">
      <x:dataBar>
        <x:cfvo type="min"/>
        <x:cfvo type="max"/>
        <x:color rgb="FFC8A951"/>
      </x:dataBar>
    </x:cfRule>
    <x:cfRule type="dataBar" priority="22">
      <x:dataBar>
        <x:cfvo type="min"/>
        <x:cfvo type="max"/>
        <x:color rgb="FFC8A951"/>
      </x:dataBar>
    </x:cfRule>
    <x:cfRule type="dataBar" priority="44">
      <x:dataBar>
        <x:cfvo type="min"/>
        <x:cfvo type="max"/>
        <x:color rgb="FFC8A951"/>
      </x:dataBar>
    </x:cfRule>
    <x:cfRule type="dataBar" priority="78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{0DB756E3-0B5A-FC3E-6FAD-A11037A30B21}</x14:id>
        </x:ext>
      </x:extLst>
    </x:cfRule>
  </x:conditionalFormatting>
  <x:conditionalFormatting sqref="H12:H12">
    <x:cfRule type="dataBar" priority="25">
      <x:dataBar>
        <x:cfvo type="min"/>
        <x:cfvo type="max"/>
        <x:color rgb="FF0F6E4F"/>
      </x:dataBar>
    </x:cfRule>
    <x:cfRule type="dataBar" priority="79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{ABBB08E3-AE01-23BF-8BA6-F1C96867A30C}</x14:id>
        </x:ext>
      </x:extLst>
    </x:cfRule>
    <x:cfRule type="dataBar" priority="57">
      <x:dataBar>
        <x:cfvo type="min"/>
        <x:cfvo type="max"/>
        <x:color rgb="FF0F6E4F"/>
      </x:dataBar>
    </x:cfRule>
    <x:cfRule type="dataBar" priority="3">
      <x:dataBar>
        <x:cfvo type="min"/>
        <x:cfvo type="max"/>
        <x:color rgb="FF0F6E4F"/>
      </x:dataBar>
    </x:cfRule>
  </x:conditionalFormatting>
  <x:conditionalFormatting sqref="H20:H20">
    <x:cfRule type="dataBar" priority="7">
      <x:dataBar>
        <x:cfvo type="min"/>
        <x:cfvo type="max"/>
        <x:color rgb="FF0F6E4F"/>
      </x:dataBar>
    </x:cfRule>
    <x:cfRule type="dataBar" priority="29">
      <x:dataBar>
        <x:cfvo type="min"/>
        <x:cfvo type="max"/>
        <x:color rgb="FF0F6E4F"/>
      </x:dataBar>
    </x:cfRule>
    <x:cfRule type="dataBar" priority="80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{910955DD-557B-6AA2-4D23-5BE7E34C9239}</x14:id>
        </x:ext>
      </x:extLst>
    </x:cfRule>
    <x:cfRule type="dataBar" priority="58">
      <x:dataBar>
        <x:cfvo type="min"/>
        <x:cfvo type="max"/>
        <x:color rgb="FF0F6E4F"/>
      </x:dataBar>
    </x:cfRule>
  </x:conditionalFormatting>
  <x:conditionalFormatting sqref="H28:H28">
    <x:cfRule type="dataBar" priority="33">
      <x:dataBar>
        <x:cfvo type="min"/>
        <x:cfvo type="max"/>
        <x:color rgb="FF0F6E4F"/>
      </x:dataBar>
    </x:cfRule>
    <x:cfRule type="dataBar" priority="11">
      <x:dataBar>
        <x:cfvo type="min"/>
        <x:cfvo type="max"/>
        <x:color rgb="FF0F6E4F"/>
      </x:dataBar>
    </x:cfRule>
    <x:cfRule type="dataBar" priority="81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{3F7F6161-BBEC-D9C2-E9D6-93FAE95196B7}</x14:id>
        </x:ext>
      </x:extLst>
    </x:cfRule>
    <x:cfRule type="dataBar" priority="59">
      <x:dataBar>
        <x:cfvo type="min"/>
        <x:cfvo type="max"/>
        <x:color rgb="FF0F6E4F"/>
      </x:dataBar>
    </x:cfRule>
  </x:conditionalFormatting>
  <x:conditionalFormatting sqref="H36:H36">
    <x:cfRule type="dataBar" priority="37">
      <x:dataBar>
        <x:cfvo type="min"/>
        <x:cfvo type="max"/>
        <x:color rgb="FF0F6E4F"/>
      </x:dataBar>
    </x:cfRule>
    <x:cfRule type="dataBar" priority="82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{7359ADFD-7BF9-5EC1-4A7E-66F2B9BBC242}</x14:id>
        </x:ext>
      </x:extLst>
    </x:cfRule>
    <x:cfRule type="dataBar" priority="60">
      <x:dataBar>
        <x:cfvo type="min"/>
        <x:cfvo type="max"/>
        <x:color rgb="FF0F6E4F"/>
      </x:dataBar>
    </x:cfRule>
    <x:cfRule type="dataBar" priority="15">
      <x:dataBar>
        <x:cfvo type="min"/>
        <x:cfvo type="max"/>
        <x:color rgb="FF0F6E4F"/>
      </x:dataBar>
    </x:cfRule>
  </x:conditionalFormatting>
  <x:conditionalFormatting sqref="H44:H44">
    <x:cfRule type="dataBar" priority="61">
      <x:dataBar>
        <x:cfvo type="min"/>
        <x:cfvo type="max"/>
        <x:color rgb="FF0F6E4F"/>
      </x:dataBar>
    </x:cfRule>
    <x:cfRule type="dataBar" priority="19">
      <x:dataBar>
        <x:cfvo type="min"/>
        <x:cfvo type="max"/>
        <x:color rgb="FF0F6E4F"/>
      </x:dataBar>
    </x:cfRule>
    <x:cfRule type="dataBar" priority="41">
      <x:dataBar>
        <x:cfvo type="min"/>
        <x:cfvo type="max"/>
        <x:color rgb="FF0F6E4F"/>
      </x:dataBar>
    </x:cfRule>
    <x:cfRule type="dataBar" priority="83">
      <x:dataBar>
        <x:cfvo type="min"/>
        <x:cfvo type="max"/>
        <x:color rgb="FF0F6E4F"/>
      </x:dataBar>
      <x:extLst>
        <x:ext xmlns:x14="http://schemas.microsoft.com/office/spreadsheetml/2009/9/main" uri="{B025F937-C7B1-47D3-B67F-A62EFF666E3E}">
          <x14:id>{B33D4428-A2E3-4309-1C52-F3E8EFAD88B3}</x14:id>
        </x:ext>
      </x:extLst>
    </x:cfRule>
  </x:conditionalFormatting>
  <x:conditionalFormatting sqref="J12:J12">
    <x:cfRule type="dataBar" priority="26">
      <x:dataBar>
        <x:cfvo type="min"/>
        <x:cfvo type="max"/>
        <x:color rgb="FFC8A951"/>
      </x:dataBar>
    </x:cfRule>
    <x:cfRule type="dataBar" priority="62">
      <x:dataBar>
        <x:cfvo type="min"/>
        <x:cfvo type="max"/>
        <x:color rgb="FFC8A951"/>
      </x:dataBar>
    </x:cfRule>
    <x:cfRule type="dataBar" priority="4">
      <x:dataBar>
        <x:cfvo type="min"/>
        <x:cfvo type="max"/>
        <x:color rgb="FFC8A951"/>
      </x:dataBar>
    </x:cfRule>
    <x:cfRule type="dataBar" priority="84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{A2EE5E00-ACCB-B02A-FF11-1E6B757F41AE}</x14:id>
        </x:ext>
      </x:extLst>
    </x:cfRule>
  </x:conditionalFormatting>
  <x:conditionalFormatting sqref="J20:J20">
    <x:cfRule type="dataBar" priority="30">
      <x:dataBar>
        <x:cfvo type="min"/>
        <x:cfvo type="max"/>
        <x:color rgb="FFC8A951"/>
      </x:dataBar>
    </x:cfRule>
    <x:cfRule type="dataBar" priority="8">
      <x:dataBar>
        <x:cfvo type="min"/>
        <x:cfvo type="max"/>
        <x:color rgb="FFC8A951"/>
      </x:dataBar>
    </x:cfRule>
    <x:cfRule type="dataBar" priority="63">
      <x:dataBar>
        <x:cfvo type="min"/>
        <x:cfvo type="max"/>
        <x:color rgb="FFC8A951"/>
      </x:dataBar>
    </x:cfRule>
    <x:cfRule type="dataBar" priority="85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{57D1EB3C-90C9-1724-C5A7-AFEC987F6DAE}</x14:id>
        </x:ext>
      </x:extLst>
    </x:cfRule>
  </x:conditionalFormatting>
  <x:conditionalFormatting sqref="J28:J28">
    <x:cfRule type="dataBar" priority="12">
      <x:dataBar>
        <x:cfvo type="min"/>
        <x:cfvo type="max"/>
        <x:color rgb="FFC8A951"/>
      </x:dataBar>
    </x:cfRule>
    <x:cfRule type="dataBar" priority="34">
      <x:dataBar>
        <x:cfvo type="min"/>
        <x:cfvo type="max"/>
        <x:color rgb="FFC8A951"/>
      </x:dataBar>
    </x:cfRule>
    <x:cfRule type="dataBar" priority="64">
      <x:dataBar>
        <x:cfvo type="min"/>
        <x:cfvo type="max"/>
        <x:color rgb="FFC8A951"/>
      </x:dataBar>
    </x:cfRule>
    <x:cfRule type="dataBar" priority="86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{E7E4170B-F18A-19E8-15DE-597EDB7FA3CC}</x14:id>
        </x:ext>
      </x:extLst>
    </x:cfRule>
  </x:conditionalFormatting>
  <x:conditionalFormatting sqref="J36:J36">
    <x:cfRule type="dataBar" priority="38">
      <x:dataBar>
        <x:cfvo type="min"/>
        <x:cfvo type="max"/>
        <x:color rgb="FFC8A951"/>
      </x:dataBar>
    </x:cfRule>
    <x:cfRule type="dataBar" priority="65">
      <x:dataBar>
        <x:cfvo type="min"/>
        <x:cfvo type="max"/>
        <x:color rgb="FFC8A951"/>
      </x:dataBar>
    </x:cfRule>
    <x:cfRule type="dataBar" priority="16">
      <x:dataBar>
        <x:cfvo type="min"/>
        <x:cfvo type="max"/>
        <x:color rgb="FFC8A951"/>
      </x:dataBar>
    </x:cfRule>
    <x:cfRule type="dataBar" priority="87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{ACB69AD4-6FFD-0976-D8B8-7FDF38E7A5DC}</x14:id>
        </x:ext>
      </x:extLst>
    </x:cfRule>
  </x:conditionalFormatting>
  <x:conditionalFormatting sqref="J44:J44">
    <x:cfRule type="dataBar" priority="20">
      <x:dataBar>
        <x:cfvo type="min"/>
        <x:cfvo type="max"/>
        <x:color rgb="FFC8A951"/>
      </x:dataBar>
    </x:cfRule>
    <x:cfRule type="dataBar" priority="42">
      <x:dataBar>
        <x:cfvo type="min"/>
        <x:cfvo type="max"/>
        <x:color rgb="FFC8A951"/>
      </x:dataBar>
    </x:cfRule>
    <x:cfRule type="dataBar" priority="66">
      <x:dataBar>
        <x:cfvo type="min"/>
        <x:cfvo type="max"/>
        <x:color rgb="FFC8A951"/>
      </x:dataBar>
    </x:cfRule>
    <x:cfRule type="dataBar" priority="88">
      <x:dataBar>
        <x:cfvo type="min"/>
        <x:cfvo type="max"/>
        <x:color rgb="FFC8A951"/>
      </x:dataBar>
      <x:extLst>
        <x:ext xmlns:x14="http://schemas.microsoft.com/office/spreadsheetml/2009/9/main" uri="{B025F937-C7B1-47D3-B67F-A62EFF666E3E}">
          <x14:id>{1037B0ED-2DAD-A84A-59CC-ACB6DFCD5C61}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7" id="{690DCC5E-B99F-A15B-94F4-94A1AA432FF0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B12:B12</xm:sqref>
        </x14:conditionalFormatting>
        <x14:conditionalFormatting>
          <x14:cfRule type="dataBar" priority="68" id="{D428CCB2-CE6A-9D48-61A9-0654F3C49839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B20:B20</xm:sqref>
        </x14:conditionalFormatting>
        <x14:conditionalFormatting>
          <x14:cfRule type="dataBar" priority="69" id="{646CB4C3-DC13-6CE6-29D9-99FCB14CE656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B28:B28</xm:sqref>
        </x14:conditionalFormatting>
        <x14:conditionalFormatting>
          <x14:cfRule type="dataBar" priority="70" id="{C3793D2D-86FD-7411-232F-79392DF73E53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B36:B36</xm:sqref>
        </x14:conditionalFormatting>
        <x14:conditionalFormatting>
          <x14:cfRule type="dataBar" priority="71" id="{DCFEFBE4-D2B1-0F62-6DAE-4B164C396FF1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B44:B44</xm:sqref>
        </x14:conditionalFormatting>
        <x14:conditionalFormatting>
          <x14:cfRule type="dataBar" priority="72" id="{40D8EA19-0F1A-9FD1-72CC-9D84CD68BEA1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B52:B52</xm:sqref>
        </x14:conditionalFormatting>
        <x14:conditionalFormatting>
          <x14:cfRule type="dataBar" priority="73" id="{4C662342-CAFD-6FE9-8EE1-D989A7F36C7B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D12:D12</xm:sqref>
        </x14:conditionalFormatting>
        <x14:conditionalFormatting>
          <x14:cfRule type="dataBar" priority="74" id="{11366895-8AAA-6042-4CA2-1CCDD4C842F9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D20:D20</xm:sqref>
        </x14:conditionalFormatting>
        <x14:conditionalFormatting>
          <x14:cfRule type="dataBar" priority="75" id="{A6A3980E-68FB-09C9-8A65-F9C05562DF3D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D28:D28</xm:sqref>
        </x14:conditionalFormatting>
        <x14:conditionalFormatting>
          <x14:cfRule type="dataBar" priority="76" id="{1F39F0E5-AE0F-3609-5381-3D24DE8B5427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D36:D36</xm:sqref>
        </x14:conditionalFormatting>
        <x14:conditionalFormatting>
          <x14:cfRule type="dataBar" priority="77" id="{6F86B3B5-094B-F651-08B8-93FF720A4A43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D44:D44</xm:sqref>
        </x14:conditionalFormatting>
        <x14:conditionalFormatting>
          <x14:cfRule type="dataBar" priority="78" id="{0DB756E3-0B5A-FC3E-6FAD-A11037A30B21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D52:D52</xm:sqref>
        </x14:conditionalFormatting>
        <x14:conditionalFormatting>
          <x14:cfRule type="dataBar" priority="79" id="{ABBB08E3-AE01-23BF-8BA6-F1C96867A30C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H12:H12</xm:sqref>
        </x14:conditionalFormatting>
        <x14:conditionalFormatting>
          <x14:cfRule type="dataBar" priority="80" id="{910955DD-557B-6AA2-4D23-5BE7E34C9239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H20:H20</xm:sqref>
        </x14:conditionalFormatting>
        <x14:conditionalFormatting>
          <x14:cfRule type="dataBar" priority="81" id="{3F7F6161-BBEC-D9C2-E9D6-93FAE95196B7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H28:H28</xm:sqref>
        </x14:conditionalFormatting>
        <x14:conditionalFormatting>
          <x14:cfRule type="dataBar" priority="82" id="{7359ADFD-7BF9-5EC1-4A7E-66F2B9BBC242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H36:H36</xm:sqref>
        </x14:conditionalFormatting>
        <x14:conditionalFormatting>
          <x14:cfRule type="dataBar" priority="83" id="{B33D4428-A2E3-4309-1C52-F3E8EFAD88B3}">
            <x14:dataBar>
              <x14:cfvo type="min"/>
              <x14:cfvo type="max"/>
              <x14:fillColor rgb="FF0F6E4F"/>
              <x14:negativeFillColor auto="1"/>
              <x14:axisColor auto="1"/>
            </x14:dataBar>
          </x14:cfRule>
          <xm:sqref>H44:H44</xm:sqref>
        </x14:conditionalFormatting>
        <x14:conditionalFormatting>
          <x14:cfRule type="dataBar" priority="84" id="{A2EE5E00-ACCB-B02A-FF11-1E6B757F41AE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J12:J12</xm:sqref>
        </x14:conditionalFormatting>
        <x14:conditionalFormatting>
          <x14:cfRule type="dataBar" priority="85" id="{57D1EB3C-90C9-1724-C5A7-AFEC987F6DAE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J20:J20</xm:sqref>
        </x14:conditionalFormatting>
        <x14:conditionalFormatting>
          <x14:cfRule type="dataBar" priority="86" id="{E7E4170B-F18A-19E8-15DE-597EDB7FA3CC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J28:J28</xm:sqref>
        </x14:conditionalFormatting>
        <x14:conditionalFormatting>
          <x14:cfRule type="dataBar" priority="87" id="{ACB69AD4-6FFD-0976-D8B8-7FDF38E7A5DC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J36:J36</xm:sqref>
        </x14:conditionalFormatting>
        <x14:conditionalFormatting>
          <x14:cfRule type="dataBar" priority="88" id="{1037B0ED-2DAD-A84A-59CC-ACB6DFCD5C61}">
            <x14:dataBar>
              <x14:cfvo type="min"/>
              <x14:cfvo type="max"/>
              <x14:fillColor rgb="FFC8A951"/>
              <x14:negativeFillColor auto="1"/>
              <x14:axisColor auto="1"/>
            </x14:dataBar>
          </x14:cfRule>
          <xm:sqref>J44:J44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8" customWidth="1"/>
    <x:col min="2" max="2" width="70" customWidth="1"/>
    <x:col min="3" max="8" width="18" customWidth="1"/>
  </x:cols>
  <x:sheetData>
    <x:row r="1" ht="24">
      <x:c r="A1" s="13" t="s">
        <x:v>283</x:v>
      </x:c>
      <x:c r="B1" s="13"/>
      <x:c r="C1" s="13"/>
      <x:c r="D1" s="13"/>
      <x:c r="E1" s="13"/>
      <x:c r="F1" s="13"/>
      <x:c r="G1" s="13"/>
      <x:c r="H1" s="13"/>
    </x:row>
    <x:row r="3" ht="30">
      <x:c r="A3" s="9" t="s">
        <x:v>284</x:v>
      </x:c>
      <x:c r="B3" s="9"/>
      <x:c r="C3" s="9"/>
      <x:c r="D3" s="9"/>
      <x:c r="E3" s="9"/>
      <x:c r="F3" s="9"/>
      <x:c r="G3" s="9"/>
      <x:c r="H3" s="9"/>
    </x:row>
    <x:row r="4">
      <x:c r="A4" s="28" t="s">
        <x:v>285</x:v>
      </x:c>
      <x:c r="B4" s="28" t="str">
        <x:v>افتح ورقة: جدول الاصول الثابته الجديد (الشيت المعتمد)</x:v>
      </x:c>
      <x:c r="C4" s="28"/>
      <x:c r="D4" s="28"/>
      <x:c r="E4" s="28"/>
      <x:c r="F4" s="28"/>
      <x:c r="G4" s="28"/>
      <x:c r="H4" s="28"/>
    </x:row>
    <x:row r="5">
      <x:c r="A5" s="28" t="s">
        <x:v>286</x:v>
      </x:c>
      <x:c r="B5" s="28" t="s">
        <x:v>287</x:v>
      </x:c>
      <x:c r="C5" s="28"/>
      <x:c r="D5" s="28"/>
      <x:c r="E5" s="28"/>
      <x:c r="F5" s="28"/>
      <x:c r="G5" s="28"/>
      <x:c r="H5" s="28"/>
    </x:row>
    <x:row r="6">
      <x:c r="A6" s="28" t="s">
        <x:v>288</x:v>
      </x:c>
      <x:c r="B6" s="28" t="s">
        <x:v>289</x:v>
      </x:c>
      <x:c r="C6" s="28"/>
      <x:c r="D6" s="28"/>
      <x:c r="E6" s="28"/>
      <x:c r="F6" s="28"/>
      <x:c r="G6" s="28"/>
      <x:c r="H6" s="28"/>
    </x:row>
    <x:row r="7">
      <x:c r="A7" s="28" t="s">
        <x:v>290</x:v>
      </x:c>
      <x:c r="B7" s="28" t="s">
        <x:v>291</x:v>
      </x:c>
      <x:c r="C7" s="28"/>
      <x:c r="D7" s="28"/>
      <x:c r="E7" s="28"/>
      <x:c r="F7" s="28"/>
      <x:c r="G7" s="28"/>
      <x:c r="H7" s="28"/>
    </x:row>
    <x:row r="8">
      <x:c r="A8" s="28" t="s">
        <x:v>292</x:v>
      </x:c>
      <x:c r="B8" s="28" t="s">
        <x:v>293</x:v>
      </x:c>
      <x:c r="C8" s="28"/>
      <x:c r="D8" s="28"/>
      <x:c r="E8" s="28"/>
      <x:c r="F8" s="28"/>
      <x:c r="G8" s="28"/>
      <x:c r="H8" s="28"/>
    </x:row>
    <x:row r="10">
      <x:c r="A10" s="29" t="s">
        <x:v>294</x:v>
      </x:c>
      <x:c r="B10" s="29"/>
      <x:c r="C10" s="29"/>
      <x:c r="D10" s="29"/>
      <x:c r="E10" s="29"/>
      <x:c r="F10" s="29"/>
      <x:c r="G10" s="29"/>
      <x:c r="H10" s="29"/>
    </x:row>
    <x:row r="11" ht="240">
      <x:c r="A11" s="30" t="s">
        <x:v>295</x:v>
      </x:c>
      <x:c r="B11" s="30"/>
      <x:c r="C11" s="30"/>
      <x:c r="D11" s="30"/>
      <x:c r="E11" s="30"/>
      <x:c r="F11" s="30"/>
      <x:c r="G11" s="30"/>
      <x:c r="H11" s="30"/>
    </x:row>
    <x:row r="12" ht="90">
      <x:c r="A12" s="30" t="str">
        <x:v>أول صف متاح حاليًا للإضافة:</x:v>
      </x:c>
      <x:c r="B12" s="30" t="str">
        <x:v>508</x:v>
      </x:c>
      <x:c r="C12" s="30"/>
      <x:c r="D12" s="30"/>
      <x:c r="E12" s="30"/>
      <x:c r="F12" s="30"/>
      <x:c r="G12" s="30"/>
      <x:c r="H12" s="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customWidth="1"/>
    <x:col min="2" max="2" width="17" customWidth="1"/>
    <x:col min="3" max="3" width="34" customWidth="1"/>
    <x:col min="4" max="4" width="22" customWidth="1"/>
    <x:col min="5" max="5" width="43.5703125" customWidth="1"/>
    <x:col min="6" max="6" width="22" customWidth="1"/>
    <x:col min="7" max="7" width="46.28515625" customWidth="1"/>
    <x:col min="8" max="8" width="28" customWidth="1"/>
    <x:col min="10" max="10" width="25" customWidth="1"/>
    <x:col min="11" max="11" width="14" customWidth="1"/>
  </x:cols>
  <x:sheetData>
    <x:row r="1" ht="30" customHeight="1">
      <x:c r="A1" s="72" t="s">
        <x:v>296</x:v>
      </x:c>
      <x:c r="B1" s="72"/>
      <x:c r="C1" s="72"/>
      <x:c r="D1" s="72"/>
      <x:c r="E1" s="72"/>
      <x:c r="F1" s="72"/>
      <x:c r="G1" s="72"/>
      <x:c r="H1" s="72"/>
    </x:row>
    <x:row r="2" ht="42" customHeight="1">
      <x:c r="A2" s="73" t="s">
        <x:v>297</x:v>
      </x:c>
      <x:c r="B2" s="73"/>
      <x:c r="C2" s="73"/>
      <x:c r="D2" s="73"/>
      <x:c r="E2" s="73"/>
      <x:c r="F2" s="73"/>
      <x:c r="G2" s="73"/>
      <x:c r="H2" s="73"/>
    </x:row>
    <x:row r="4" ht="33.95000076293945" customHeight="1">
      <x:c r="A4" s="32" t="s">
        <x:v>298</x:v>
      </x:c>
      <x:c r="B4" s="32" t="s">
        <x:v>299</x:v>
      </x:c>
      <x:c r="C4" s="32" t="s">
        <x:v>300</x:v>
      </x:c>
      <x:c r="D4" s="32" t="s">
        <x:v>301</x:v>
      </x:c>
      <x:c r="E4" s="32" t="s">
        <x:v>302</x:v>
      </x:c>
      <x:c r="F4" s="32" t="s">
        <x:v>303</x:v>
      </x:c>
      <x:c r="G4" s="32" t="s">
        <x:v>304</x:v>
      </x:c>
      <x:c r="H4" s="32" t="s">
        <x:v>305</x:v>
      </x:c>
      <x:c r="J4" s="38" t="s">
        <x:v>306</x:v>
      </x:c>
      <x:c r="K4" s="38" t="s">
        <x:v>307</x:v>
      </x:c>
    </x:row>
    <x:row r="5">
      <x:c r="A5" s="34">
        <x:v>1</x:v>
      </x:c>
      <x:c r="B5" s="36" t="s">
        <x:v>308</x:v>
      </x:c>
      <x:c r="C5" s="33" t="s">
        <x:v>66</x:v>
      </x:c>
      <x:c r="D5" s="37" t="s">
        <x:v>309</x:v>
      </x:c>
      <x:c r="E5" s="33" t="s">
        <x:v>310</x:v>
      </x:c>
      <x:c r="F5" s="37" t="s">
        <x:v>311</x:v>
      </x:c>
      <x:c r="G5" s="33" t="s">
        <x:v>312</x:v>
      </x:c>
      <x:c r="H5" s="35"/>
      <x:c r="J5" t="s">
        <x:v>313</x:v>
      </x:c>
      <x:c r="K5" s="39" t="n">
        <x:f>COUNTA(B5:B14)</x:f>
        <x:v>10</x:v>
      </x:c>
    </x:row>
    <x:row r="6">
      <x:c r="A6" s="34">
        <x:v>2</x:v>
      </x:c>
      <x:c r="B6" s="36" t="s">
        <x:v>314</x:v>
      </x:c>
      <x:c r="C6" s="33" t="s">
        <x:v>180</x:v>
      </x:c>
      <x:c r="D6" s="37" t="s">
        <x:v>315</x:v>
      </x:c>
      <x:c r="E6" s="33" t="s">
        <x:v>316</x:v>
      </x:c>
      <x:c r="F6" s="37" t="s">
        <x:v>317</x:v>
      </x:c>
      <x:c r="G6" s="33" t="s">
        <x:v>318</x:v>
      </x:c>
      <x:c r="H6" s="35"/>
      <x:c r="J6" t="s">
        <x:v>319</x:v>
      </x:c>
      <x:c r="K6" s="39" t="n">
        <x:f>COUNTIF(D5:D14,"&lt;&gt;")</x:f>
        <x:v>10</x:v>
      </x:c>
    </x:row>
    <x:row r="7">
      <x:c r="A7" s="34">
        <x:v>3</x:v>
      </x:c>
      <x:c r="B7" s="36" t="s">
        <x:v>320</x:v>
      </x:c>
      <x:c r="C7" s="33" t="s">
        <x:v>189</x:v>
      </x:c>
      <x:c r="D7" s="37" t="s">
        <x:v>321</x:v>
      </x:c>
      <x:c r="E7" s="33" t="s">
        <x:v>322</x:v>
      </x:c>
      <x:c r="F7" s="37" t="s">
        <x:v>323</x:v>
      </x:c>
      <x:c r="G7" s="33" t="s">
        <x:v>324</x:v>
      </x:c>
      <x:c r="H7" s="35"/>
      <x:c r="J7" t="s">
        <x:v>325</x:v>
      </x:c>
      <x:c r="K7" s="39" t="n">
        <x:f>COUNTIF(F5:F14,"&lt;&gt;")</x:f>
        <x:v>10</x:v>
      </x:c>
    </x:row>
    <x:row r="8">
      <x:c r="A8" s="34">
        <x:v>4</x:v>
      </x:c>
      <x:c r="B8" s="36" t="s">
        <x:v>326</x:v>
      </x:c>
      <x:c r="C8" s="33" t="s">
        <x:v>150</x:v>
      </x:c>
      <x:c r="D8" s="37" t="s">
        <x:v>327</x:v>
      </x:c>
      <x:c r="E8" s="33" t="s">
        <x:v>328</x:v>
      </x:c>
      <x:c r="F8" s="37" t="s">
        <x:v>329</x:v>
      </x:c>
      <x:c r="G8" s="33" t="s">
        <x:v>330</x:v>
      </x:c>
      <x:c r="H8" s="35"/>
      <x:c r="J8" t="s">
        <x:v>331</x:v>
      </x:c>
      <x:c r="K8" s="39" t="n">
        <x:f>COUNTIFS(D5:D14,"&lt;&gt;",F5:F14,"&lt;&gt;")</x:f>
        <x:v>10</x:v>
      </x:c>
    </x:row>
    <x:row r="9" ht="12.75" customHeight="1">
      <x:c r="A9" s="34">
        <x:v>5</x:v>
      </x:c>
      <x:c r="B9" s="36" t="s">
        <x:v>332</x:v>
      </x:c>
      <x:c r="C9" s="33" t="s">
        <x:v>27</x:v>
      </x:c>
      <x:c r="D9" s="37" t="s">
        <x:v>333</x:v>
      </x:c>
      <x:c r="E9" s="33" t="s">
        <x:v>334</x:v>
      </x:c>
      <x:c r="F9" s="37" t="s">
        <x:v>335</x:v>
      </x:c>
      <x:c r="G9" s="33" t="s">
        <x:v>336</x:v>
      </x:c>
      <x:c r="H9" s="35"/>
    </x:row>
    <x:row r="10">
      <x:c r="A10" s="34">
        <x:v>6</x:v>
      </x:c>
      <x:c r="B10" s="36" t="s">
        <x:v>337</x:v>
      </x:c>
      <x:c r="C10" s="33" t="s">
        <x:v>16</x:v>
      </x:c>
      <x:c r="D10" s="37" t="s">
        <x:v>338</x:v>
      </x:c>
      <x:c r="E10" s="33" t="s">
        <x:v>339</x:v>
      </x:c>
      <x:c r="F10" s="37" t="s">
        <x:v>340</x:v>
      </x:c>
      <x:c r="G10" s="33" t="s">
        <x:v>341</x:v>
      </x:c>
      <x:c r="H10" s="35"/>
    </x:row>
    <x:row r="11">
      <x:c r="A11" s="34">
        <x:v>7</x:v>
      </x:c>
      <x:c r="B11" s="36" t="s">
        <x:v>342</x:v>
      </x:c>
      <x:c r="C11" s="33" t="s">
        <x:v>41</x:v>
      </x:c>
      <x:c r="D11" s="37" t="s">
        <x:v>343</x:v>
      </x:c>
      <x:c r="E11" s="33" t="s">
        <x:v>344</x:v>
      </x:c>
      <x:c r="F11" s="37" t="s">
        <x:v>345</x:v>
      </x:c>
      <x:c r="G11" s="33" t="s">
        <x:v>346</x:v>
      </x:c>
      <x:c r="H11" s="35"/>
    </x:row>
    <x:row r="12">
      <x:c r="A12" s="34">
        <x:v>8</x:v>
      </x:c>
      <x:c r="B12" s="36" t="s">
        <x:v>347</x:v>
      </x:c>
      <x:c r="C12" s="33" t="s">
        <x:v>43</x:v>
      </x:c>
      <x:c r="D12" s="37" t="s">
        <x:v>348</x:v>
      </x:c>
      <x:c r="E12" s="33" t="s">
        <x:v>349</x:v>
      </x:c>
      <x:c r="F12" s="37" t="s">
        <x:v>350</x:v>
      </x:c>
      <x:c r="G12" s="33" t="s">
        <x:v>351</x:v>
      </x:c>
      <x:c r="H12" s="35"/>
    </x:row>
    <x:row r="13">
      <x:c r="A13" s="34">
        <x:v>9</x:v>
      </x:c>
      <x:c r="B13" s="36" t="s">
        <x:v>352</x:v>
      </x:c>
      <x:c r="C13" s="33" t="s">
        <x:v>23</x:v>
      </x:c>
      <x:c r="D13" s="37" t="s">
        <x:v>353</x:v>
      </x:c>
      <x:c r="E13" s="33" t="s">
        <x:v>354</x:v>
      </x:c>
      <x:c r="F13" s="37" t="s">
        <x:v>355</x:v>
      </x:c>
      <x:c r="G13" s="33" t="s">
        <x:v>356</x:v>
      </x:c>
      <x:c r="H13" s="35"/>
    </x:row>
    <x:row r="14">
      <x:c r="A14" s="34">
        <x:v>10</x:v>
      </x:c>
      <x:c r="B14" s="36" t="s">
        <x:v>357</x:v>
      </x:c>
      <x:c r="C14" s="33" t="s">
        <x:v>21</x:v>
      </x:c>
      <x:c r="D14" s="37" t="s">
        <x:v>358</x:v>
      </x:c>
      <x:c r="E14" s="33" t="s">
        <x:v>359</x:v>
      </x:c>
      <x:c r="F14" s="37" t="s">
        <x:v>360</x:v>
      </x:c>
      <x:c r="G14" s="33" t="s">
        <x:v>361</x:v>
      </x:c>
      <x:c r="H14" s="35"/>
    </x:row>
  </x:sheetData>
  <x:mergeCells>
    <x:mergeCell ref="A1:H1"/>
    <x:mergeCell ref="A2:H2"/>
  </x:mergeCells>
  <x:conditionalFormatting sqref="D5:D14">
    <x:cfRule type="expression" dxfId="1" priority="1">
      <x:formula>D5=""</x:formula>
    </x:cfRule>
  </x:conditionalFormatting>
  <x:conditionalFormatting sqref="F5:F14">
    <x:cfRule type="expression" dxfId="0" priority="2">
      <x:formula>F5=""</x:formula>
    </x:cfRule>
  </x:conditionalFormatting>
  <x:pageMargins left="0.7" right="0.7" top="0.75" bottom="0.75" header="0.3" footer="0.3"/>
</x:worksheet>
</file>